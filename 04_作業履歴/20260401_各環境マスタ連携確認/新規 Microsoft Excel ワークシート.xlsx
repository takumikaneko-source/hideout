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マイドライブ\04_作業履歴\20260401_各環境マスタ連携確認\"/>
    </mc:Choice>
  </mc:AlternateContent>
  <xr:revisionPtr revIDLastSave="0" documentId="13_ncr:1_{3CE08F15-99F2-4164-985E-854B9F039A2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QL" sheetId="1" r:id="rId1"/>
    <sheet name="Sheet5" sheetId="7" r:id="rId2"/>
    <sheet name="比較" sheetId="6" r:id="rId3"/>
    <sheet name="aegis" sheetId="3" r:id="rId4"/>
    <sheet name="duel" sheetId="4" r:id="rId5"/>
    <sheet name="blitz" sheetId="5" r:id="rId6"/>
  </sheets>
  <definedNames>
    <definedName name="_xlnm._FilterDatabase" localSheetId="2" hidden="1">比較!$B$4:$CY$157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7" l="1"/>
  <c r="P32" i="7"/>
  <c r="O32" i="7"/>
  <c r="P31" i="7"/>
  <c r="O31" i="7"/>
  <c r="P30" i="7"/>
  <c r="O30" i="7"/>
  <c r="P29" i="7"/>
  <c r="O29" i="7"/>
  <c r="P28" i="7"/>
  <c r="O28" i="7"/>
  <c r="P27" i="7"/>
  <c r="O27" i="7"/>
  <c r="P26" i="7"/>
  <c r="O26" i="7"/>
  <c r="P25" i="7"/>
  <c r="O25" i="7"/>
  <c r="P24" i="7"/>
  <c r="O24" i="7"/>
  <c r="P23" i="7"/>
  <c r="O23" i="7"/>
  <c r="P22" i="7"/>
  <c r="O22" i="7"/>
  <c r="P21" i="7"/>
  <c r="O21" i="7"/>
  <c r="P20" i="7"/>
  <c r="O20" i="7"/>
  <c r="O2" i="7"/>
  <c r="O13" i="7"/>
  <c r="O12" i="7"/>
  <c r="O11" i="7"/>
  <c r="O10" i="7"/>
  <c r="O9" i="7"/>
  <c r="O8" i="7"/>
  <c r="O7" i="7"/>
  <c r="O6" i="7"/>
  <c r="O5" i="7"/>
  <c r="O4" i="7"/>
  <c r="O3" i="7"/>
  <c r="I1" i="7"/>
  <c r="G1" i="7"/>
  <c r="F1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CX157" i="6"/>
  <c r="CW157" i="6"/>
  <c r="CV157" i="6"/>
  <c r="CT157" i="6"/>
  <c r="CS157" i="6"/>
  <c r="CR157" i="6"/>
  <c r="CP157" i="6"/>
  <c r="CO157" i="6"/>
  <c r="CN157" i="6"/>
  <c r="CL157" i="6"/>
  <c r="CK157" i="6"/>
  <c r="CJ157" i="6"/>
  <c r="CH157" i="6"/>
  <c r="CG157" i="6"/>
  <c r="CF157" i="6"/>
  <c r="CD157" i="6"/>
  <c r="CC157" i="6"/>
  <c r="CB157" i="6"/>
  <c r="BZ157" i="6"/>
  <c r="BY157" i="6"/>
  <c r="BX157" i="6"/>
  <c r="BV157" i="6"/>
  <c r="BU157" i="6"/>
  <c r="BT157" i="6"/>
  <c r="BR157" i="6"/>
  <c r="BQ157" i="6"/>
  <c r="BP157" i="6"/>
  <c r="BN157" i="6"/>
  <c r="BM157" i="6"/>
  <c r="BL157" i="6"/>
  <c r="BJ157" i="6"/>
  <c r="BI157" i="6"/>
  <c r="BH157" i="6"/>
  <c r="BF157" i="6"/>
  <c r="BE157" i="6"/>
  <c r="BD157" i="6"/>
  <c r="BB157" i="6"/>
  <c r="BA157" i="6"/>
  <c r="AZ157" i="6"/>
  <c r="AX157" i="6"/>
  <c r="AW157" i="6"/>
  <c r="AV157" i="6"/>
  <c r="AT157" i="6"/>
  <c r="AS157" i="6"/>
  <c r="AR157" i="6"/>
  <c r="AP157" i="6"/>
  <c r="AO157" i="6"/>
  <c r="AN157" i="6"/>
  <c r="AL157" i="6"/>
  <c r="AK157" i="6"/>
  <c r="AJ157" i="6"/>
  <c r="AH157" i="6"/>
  <c r="AG157" i="6"/>
  <c r="AF157" i="6"/>
  <c r="AD157" i="6"/>
  <c r="AC157" i="6"/>
  <c r="AB157" i="6"/>
  <c r="Z157" i="6"/>
  <c r="Y157" i="6"/>
  <c r="X157" i="6"/>
  <c r="V157" i="6"/>
  <c r="U157" i="6"/>
  <c r="T157" i="6"/>
  <c r="R157" i="6"/>
  <c r="Q157" i="6"/>
  <c r="P157" i="6"/>
  <c r="N157" i="6"/>
  <c r="M157" i="6"/>
  <c r="L157" i="6"/>
  <c r="J157" i="6"/>
  <c r="I157" i="6"/>
  <c r="H157" i="6"/>
  <c r="F157" i="6"/>
  <c r="E157" i="6"/>
  <c r="D157" i="6"/>
  <c r="CX156" i="6"/>
  <c r="CW156" i="6"/>
  <c r="CV156" i="6"/>
  <c r="CT156" i="6"/>
  <c r="CS156" i="6"/>
  <c r="CR156" i="6"/>
  <c r="CP156" i="6"/>
  <c r="CO156" i="6"/>
  <c r="CN156" i="6"/>
  <c r="CL156" i="6"/>
  <c r="CK156" i="6"/>
  <c r="CJ156" i="6"/>
  <c r="CH156" i="6"/>
  <c r="CG156" i="6"/>
  <c r="CF156" i="6"/>
  <c r="CD156" i="6"/>
  <c r="CC156" i="6"/>
  <c r="CB156" i="6"/>
  <c r="BZ156" i="6"/>
  <c r="BY156" i="6"/>
  <c r="BX156" i="6"/>
  <c r="BV156" i="6"/>
  <c r="BU156" i="6"/>
  <c r="BT156" i="6"/>
  <c r="BR156" i="6"/>
  <c r="BQ156" i="6"/>
  <c r="BP156" i="6"/>
  <c r="BN156" i="6"/>
  <c r="BM156" i="6"/>
  <c r="BL156" i="6"/>
  <c r="BJ156" i="6"/>
  <c r="BI156" i="6"/>
  <c r="BH156" i="6"/>
  <c r="BF156" i="6"/>
  <c r="BE156" i="6"/>
  <c r="BD156" i="6"/>
  <c r="BB156" i="6"/>
  <c r="BA156" i="6"/>
  <c r="AZ156" i="6"/>
  <c r="AX156" i="6"/>
  <c r="AW156" i="6"/>
  <c r="AV156" i="6"/>
  <c r="AT156" i="6"/>
  <c r="AS156" i="6"/>
  <c r="AR156" i="6"/>
  <c r="AP156" i="6"/>
  <c r="AO156" i="6"/>
  <c r="AN156" i="6"/>
  <c r="AL156" i="6"/>
  <c r="AK156" i="6"/>
  <c r="AJ156" i="6"/>
  <c r="AH156" i="6"/>
  <c r="AG156" i="6"/>
  <c r="AF156" i="6"/>
  <c r="AD156" i="6"/>
  <c r="AC156" i="6"/>
  <c r="AB156" i="6"/>
  <c r="Z156" i="6"/>
  <c r="Y156" i="6"/>
  <c r="X156" i="6"/>
  <c r="V156" i="6"/>
  <c r="U156" i="6"/>
  <c r="T156" i="6"/>
  <c r="R156" i="6"/>
  <c r="Q156" i="6"/>
  <c r="P156" i="6"/>
  <c r="N156" i="6"/>
  <c r="M156" i="6"/>
  <c r="L156" i="6"/>
  <c r="J156" i="6"/>
  <c r="I156" i="6"/>
  <c r="H156" i="6"/>
  <c r="F156" i="6"/>
  <c r="E156" i="6"/>
  <c r="D156" i="6"/>
  <c r="CX155" i="6"/>
  <c r="CW155" i="6"/>
  <c r="CV155" i="6"/>
  <c r="CT155" i="6"/>
  <c r="CS155" i="6"/>
  <c r="CR155" i="6"/>
  <c r="CP155" i="6"/>
  <c r="CO155" i="6"/>
  <c r="CN155" i="6"/>
  <c r="CL155" i="6"/>
  <c r="CK155" i="6"/>
  <c r="CJ155" i="6"/>
  <c r="CH155" i="6"/>
  <c r="CG155" i="6"/>
  <c r="CF155" i="6"/>
  <c r="CD155" i="6"/>
  <c r="CC155" i="6"/>
  <c r="CB155" i="6"/>
  <c r="BZ155" i="6"/>
  <c r="BY155" i="6"/>
  <c r="BX155" i="6"/>
  <c r="BV155" i="6"/>
  <c r="BU155" i="6"/>
  <c r="BT155" i="6"/>
  <c r="BR155" i="6"/>
  <c r="BQ155" i="6"/>
  <c r="BP155" i="6"/>
  <c r="BN155" i="6"/>
  <c r="BM155" i="6"/>
  <c r="BL155" i="6"/>
  <c r="BJ155" i="6"/>
  <c r="BI155" i="6"/>
  <c r="BH155" i="6"/>
  <c r="BF155" i="6"/>
  <c r="BE155" i="6"/>
  <c r="BD155" i="6"/>
  <c r="BB155" i="6"/>
  <c r="BA155" i="6"/>
  <c r="AZ155" i="6"/>
  <c r="AX155" i="6"/>
  <c r="AW155" i="6"/>
  <c r="AV155" i="6"/>
  <c r="AT155" i="6"/>
  <c r="AS155" i="6"/>
  <c r="AR155" i="6"/>
  <c r="AP155" i="6"/>
  <c r="AO155" i="6"/>
  <c r="AN155" i="6"/>
  <c r="AL155" i="6"/>
  <c r="AK155" i="6"/>
  <c r="AJ155" i="6"/>
  <c r="AH155" i="6"/>
  <c r="AG155" i="6"/>
  <c r="AF155" i="6"/>
  <c r="AD155" i="6"/>
  <c r="AC155" i="6"/>
  <c r="AB155" i="6"/>
  <c r="Z155" i="6"/>
  <c r="Y155" i="6"/>
  <c r="X155" i="6"/>
  <c r="V155" i="6"/>
  <c r="U155" i="6"/>
  <c r="T155" i="6"/>
  <c r="R155" i="6"/>
  <c r="Q155" i="6"/>
  <c r="P155" i="6"/>
  <c r="N155" i="6"/>
  <c r="M155" i="6"/>
  <c r="L155" i="6"/>
  <c r="J155" i="6"/>
  <c r="I155" i="6"/>
  <c r="H155" i="6"/>
  <c r="F155" i="6"/>
  <c r="E155" i="6"/>
  <c r="D155" i="6"/>
  <c r="CX154" i="6"/>
  <c r="CW154" i="6"/>
  <c r="CV154" i="6"/>
  <c r="CT154" i="6"/>
  <c r="CS154" i="6"/>
  <c r="CR154" i="6"/>
  <c r="CP154" i="6"/>
  <c r="CO154" i="6"/>
  <c r="CN154" i="6"/>
  <c r="CL154" i="6"/>
  <c r="CK154" i="6"/>
  <c r="CJ154" i="6"/>
  <c r="CH154" i="6"/>
  <c r="CG154" i="6"/>
  <c r="CF154" i="6"/>
  <c r="CD154" i="6"/>
  <c r="CC154" i="6"/>
  <c r="CB154" i="6"/>
  <c r="BZ154" i="6"/>
  <c r="BY154" i="6"/>
  <c r="BX154" i="6"/>
  <c r="BV154" i="6"/>
  <c r="BU154" i="6"/>
  <c r="BT154" i="6"/>
  <c r="BR154" i="6"/>
  <c r="BQ154" i="6"/>
  <c r="BP154" i="6"/>
  <c r="BN154" i="6"/>
  <c r="BM154" i="6"/>
  <c r="BL154" i="6"/>
  <c r="BJ154" i="6"/>
  <c r="BI154" i="6"/>
  <c r="BH154" i="6"/>
  <c r="BF154" i="6"/>
  <c r="BE154" i="6"/>
  <c r="BD154" i="6"/>
  <c r="BB154" i="6"/>
  <c r="BA154" i="6"/>
  <c r="AZ154" i="6"/>
  <c r="AX154" i="6"/>
  <c r="AW154" i="6"/>
  <c r="AV154" i="6"/>
  <c r="AT154" i="6"/>
  <c r="AS154" i="6"/>
  <c r="AR154" i="6"/>
  <c r="AP154" i="6"/>
  <c r="AO154" i="6"/>
  <c r="AN154" i="6"/>
  <c r="AL154" i="6"/>
  <c r="AK154" i="6"/>
  <c r="AJ154" i="6"/>
  <c r="AH154" i="6"/>
  <c r="AG154" i="6"/>
  <c r="AF154" i="6"/>
  <c r="AD154" i="6"/>
  <c r="AC154" i="6"/>
  <c r="AB154" i="6"/>
  <c r="Z154" i="6"/>
  <c r="Y154" i="6"/>
  <c r="X154" i="6"/>
  <c r="V154" i="6"/>
  <c r="U154" i="6"/>
  <c r="T154" i="6"/>
  <c r="R154" i="6"/>
  <c r="Q154" i="6"/>
  <c r="P154" i="6"/>
  <c r="N154" i="6"/>
  <c r="M154" i="6"/>
  <c r="L154" i="6"/>
  <c r="J154" i="6"/>
  <c r="I154" i="6"/>
  <c r="H154" i="6"/>
  <c r="F154" i="6"/>
  <c r="E154" i="6"/>
  <c r="D154" i="6"/>
  <c r="CX153" i="6"/>
  <c r="CW153" i="6"/>
  <c r="CV153" i="6"/>
  <c r="CT153" i="6"/>
  <c r="CS153" i="6"/>
  <c r="CR153" i="6"/>
  <c r="CP153" i="6"/>
  <c r="CO153" i="6"/>
  <c r="CN153" i="6"/>
  <c r="CL153" i="6"/>
  <c r="CK153" i="6"/>
  <c r="CJ153" i="6"/>
  <c r="CH153" i="6"/>
  <c r="CG153" i="6"/>
  <c r="CF153" i="6"/>
  <c r="CD153" i="6"/>
  <c r="CC153" i="6"/>
  <c r="CB153" i="6"/>
  <c r="BZ153" i="6"/>
  <c r="BY153" i="6"/>
  <c r="BX153" i="6"/>
  <c r="BV153" i="6"/>
  <c r="BU153" i="6"/>
  <c r="BT153" i="6"/>
  <c r="BR153" i="6"/>
  <c r="BQ153" i="6"/>
  <c r="BP153" i="6"/>
  <c r="BN153" i="6"/>
  <c r="BM153" i="6"/>
  <c r="BL153" i="6"/>
  <c r="BJ153" i="6"/>
  <c r="BI153" i="6"/>
  <c r="BH153" i="6"/>
  <c r="BF153" i="6"/>
  <c r="BE153" i="6"/>
  <c r="BD153" i="6"/>
  <c r="BB153" i="6"/>
  <c r="BA153" i="6"/>
  <c r="AZ153" i="6"/>
  <c r="AX153" i="6"/>
  <c r="AW153" i="6"/>
  <c r="AV153" i="6"/>
  <c r="AT153" i="6"/>
  <c r="AS153" i="6"/>
  <c r="AR153" i="6"/>
  <c r="AP153" i="6"/>
  <c r="AO153" i="6"/>
  <c r="AN153" i="6"/>
  <c r="AL153" i="6"/>
  <c r="AK153" i="6"/>
  <c r="AJ153" i="6"/>
  <c r="AH153" i="6"/>
  <c r="AG153" i="6"/>
  <c r="AF153" i="6"/>
  <c r="AD153" i="6"/>
  <c r="AC153" i="6"/>
  <c r="AB153" i="6"/>
  <c r="Z153" i="6"/>
  <c r="Y153" i="6"/>
  <c r="X153" i="6"/>
  <c r="V153" i="6"/>
  <c r="U153" i="6"/>
  <c r="T153" i="6"/>
  <c r="R153" i="6"/>
  <c r="Q153" i="6"/>
  <c r="P153" i="6"/>
  <c r="N153" i="6"/>
  <c r="M153" i="6"/>
  <c r="L153" i="6"/>
  <c r="J153" i="6"/>
  <c r="I153" i="6"/>
  <c r="H153" i="6"/>
  <c r="F153" i="6"/>
  <c r="E153" i="6"/>
  <c r="D153" i="6"/>
  <c r="CX152" i="6"/>
  <c r="CW152" i="6"/>
  <c r="CV152" i="6"/>
  <c r="CT152" i="6"/>
  <c r="CS152" i="6"/>
  <c r="CR152" i="6"/>
  <c r="CP152" i="6"/>
  <c r="CO152" i="6"/>
  <c r="CN152" i="6"/>
  <c r="CL152" i="6"/>
  <c r="CK152" i="6"/>
  <c r="CJ152" i="6"/>
  <c r="CH152" i="6"/>
  <c r="CG152" i="6"/>
  <c r="CF152" i="6"/>
  <c r="CD152" i="6"/>
  <c r="CC152" i="6"/>
  <c r="CB152" i="6"/>
  <c r="BZ152" i="6"/>
  <c r="BY152" i="6"/>
  <c r="BX152" i="6"/>
  <c r="BV152" i="6"/>
  <c r="BU152" i="6"/>
  <c r="BT152" i="6"/>
  <c r="BR152" i="6"/>
  <c r="BQ152" i="6"/>
  <c r="BP152" i="6"/>
  <c r="BN152" i="6"/>
  <c r="BM152" i="6"/>
  <c r="BL152" i="6"/>
  <c r="BJ152" i="6"/>
  <c r="BI152" i="6"/>
  <c r="BH152" i="6"/>
  <c r="BF152" i="6"/>
  <c r="BE152" i="6"/>
  <c r="BD152" i="6"/>
  <c r="BB152" i="6"/>
  <c r="BA152" i="6"/>
  <c r="AZ152" i="6"/>
  <c r="AX152" i="6"/>
  <c r="AW152" i="6"/>
  <c r="AV152" i="6"/>
  <c r="AT152" i="6"/>
  <c r="AS152" i="6"/>
  <c r="AR152" i="6"/>
  <c r="AP152" i="6"/>
  <c r="AO152" i="6"/>
  <c r="AN152" i="6"/>
  <c r="AL152" i="6"/>
  <c r="AK152" i="6"/>
  <c r="AJ152" i="6"/>
  <c r="AH152" i="6"/>
  <c r="AG152" i="6"/>
  <c r="AF152" i="6"/>
  <c r="AD152" i="6"/>
  <c r="AC152" i="6"/>
  <c r="AB152" i="6"/>
  <c r="Z152" i="6"/>
  <c r="Y152" i="6"/>
  <c r="X152" i="6"/>
  <c r="V152" i="6"/>
  <c r="U152" i="6"/>
  <c r="T152" i="6"/>
  <c r="R152" i="6"/>
  <c r="Q152" i="6"/>
  <c r="P152" i="6"/>
  <c r="N152" i="6"/>
  <c r="M152" i="6"/>
  <c r="L152" i="6"/>
  <c r="J152" i="6"/>
  <c r="I152" i="6"/>
  <c r="H152" i="6"/>
  <c r="F152" i="6"/>
  <c r="E152" i="6"/>
  <c r="D152" i="6"/>
  <c r="CX151" i="6"/>
  <c r="CW151" i="6"/>
  <c r="CV151" i="6"/>
  <c r="CT151" i="6"/>
  <c r="CS151" i="6"/>
  <c r="CR151" i="6"/>
  <c r="CP151" i="6"/>
  <c r="CO151" i="6"/>
  <c r="CN151" i="6"/>
  <c r="CL151" i="6"/>
  <c r="CK151" i="6"/>
  <c r="CJ151" i="6"/>
  <c r="CH151" i="6"/>
  <c r="CG151" i="6"/>
  <c r="CF151" i="6"/>
  <c r="CD151" i="6"/>
  <c r="CC151" i="6"/>
  <c r="CB151" i="6"/>
  <c r="BZ151" i="6"/>
  <c r="BY151" i="6"/>
  <c r="BX151" i="6"/>
  <c r="BV151" i="6"/>
  <c r="BU151" i="6"/>
  <c r="BT151" i="6"/>
  <c r="BR151" i="6"/>
  <c r="BQ151" i="6"/>
  <c r="BP151" i="6"/>
  <c r="BN151" i="6"/>
  <c r="BM151" i="6"/>
  <c r="BL151" i="6"/>
  <c r="BJ151" i="6"/>
  <c r="BI151" i="6"/>
  <c r="BH151" i="6"/>
  <c r="BF151" i="6"/>
  <c r="BE151" i="6"/>
  <c r="BD151" i="6"/>
  <c r="BB151" i="6"/>
  <c r="BA151" i="6"/>
  <c r="AZ151" i="6"/>
  <c r="AX151" i="6"/>
  <c r="AW151" i="6"/>
  <c r="AV151" i="6"/>
  <c r="AT151" i="6"/>
  <c r="AS151" i="6"/>
  <c r="AR151" i="6"/>
  <c r="AP151" i="6"/>
  <c r="AO151" i="6"/>
  <c r="AN151" i="6"/>
  <c r="AL151" i="6"/>
  <c r="AK151" i="6"/>
  <c r="AJ151" i="6"/>
  <c r="AH151" i="6"/>
  <c r="AG151" i="6"/>
  <c r="AF151" i="6"/>
  <c r="AD151" i="6"/>
  <c r="AC151" i="6"/>
  <c r="AB151" i="6"/>
  <c r="Z151" i="6"/>
  <c r="Y151" i="6"/>
  <c r="X151" i="6"/>
  <c r="V151" i="6"/>
  <c r="U151" i="6"/>
  <c r="T151" i="6"/>
  <c r="R151" i="6"/>
  <c r="Q151" i="6"/>
  <c r="P151" i="6"/>
  <c r="N151" i="6"/>
  <c r="M151" i="6"/>
  <c r="L151" i="6"/>
  <c r="J151" i="6"/>
  <c r="I151" i="6"/>
  <c r="H151" i="6"/>
  <c r="F151" i="6"/>
  <c r="E151" i="6"/>
  <c r="D151" i="6"/>
  <c r="CX150" i="6"/>
  <c r="CW150" i="6"/>
  <c r="CV150" i="6"/>
  <c r="CT150" i="6"/>
  <c r="CS150" i="6"/>
  <c r="CR150" i="6"/>
  <c r="CP150" i="6"/>
  <c r="CO150" i="6"/>
  <c r="CN150" i="6"/>
  <c r="CL150" i="6"/>
  <c r="CK150" i="6"/>
  <c r="CJ150" i="6"/>
  <c r="CH150" i="6"/>
  <c r="CG150" i="6"/>
  <c r="CF150" i="6"/>
  <c r="CD150" i="6"/>
  <c r="CC150" i="6"/>
  <c r="CB150" i="6"/>
  <c r="BZ150" i="6"/>
  <c r="BY150" i="6"/>
  <c r="BX150" i="6"/>
  <c r="BV150" i="6"/>
  <c r="BU150" i="6"/>
  <c r="BT150" i="6"/>
  <c r="BR150" i="6"/>
  <c r="BQ150" i="6"/>
  <c r="BP150" i="6"/>
  <c r="BN150" i="6"/>
  <c r="BM150" i="6"/>
  <c r="BL150" i="6"/>
  <c r="BJ150" i="6"/>
  <c r="BI150" i="6"/>
  <c r="BH150" i="6"/>
  <c r="BF150" i="6"/>
  <c r="BE150" i="6"/>
  <c r="BD150" i="6"/>
  <c r="BB150" i="6"/>
  <c r="BA150" i="6"/>
  <c r="AZ150" i="6"/>
  <c r="AX150" i="6"/>
  <c r="AW150" i="6"/>
  <c r="AV150" i="6"/>
  <c r="AT150" i="6"/>
  <c r="AS150" i="6"/>
  <c r="AR150" i="6"/>
  <c r="AP150" i="6"/>
  <c r="AO150" i="6"/>
  <c r="AN150" i="6"/>
  <c r="AL150" i="6"/>
  <c r="AK150" i="6"/>
  <c r="AJ150" i="6"/>
  <c r="AH150" i="6"/>
  <c r="AG150" i="6"/>
  <c r="AF150" i="6"/>
  <c r="AD150" i="6"/>
  <c r="AC150" i="6"/>
  <c r="AB150" i="6"/>
  <c r="Z150" i="6"/>
  <c r="Y150" i="6"/>
  <c r="X150" i="6"/>
  <c r="V150" i="6"/>
  <c r="U150" i="6"/>
  <c r="T150" i="6"/>
  <c r="R150" i="6"/>
  <c r="Q150" i="6"/>
  <c r="P150" i="6"/>
  <c r="N150" i="6"/>
  <c r="M150" i="6"/>
  <c r="L150" i="6"/>
  <c r="J150" i="6"/>
  <c r="I150" i="6"/>
  <c r="H150" i="6"/>
  <c r="F150" i="6"/>
  <c r="E150" i="6"/>
  <c r="D150" i="6"/>
  <c r="CX149" i="6"/>
  <c r="CW149" i="6"/>
  <c r="CV149" i="6"/>
  <c r="CT149" i="6"/>
  <c r="CS149" i="6"/>
  <c r="CR149" i="6"/>
  <c r="CP149" i="6"/>
  <c r="CO149" i="6"/>
  <c r="CN149" i="6"/>
  <c r="CL149" i="6"/>
  <c r="CK149" i="6"/>
  <c r="CJ149" i="6"/>
  <c r="CH149" i="6"/>
  <c r="CG149" i="6"/>
  <c r="CF149" i="6"/>
  <c r="CD149" i="6"/>
  <c r="CC149" i="6"/>
  <c r="CB149" i="6"/>
  <c r="BZ149" i="6"/>
  <c r="BY149" i="6"/>
  <c r="BX149" i="6"/>
  <c r="BV149" i="6"/>
  <c r="BU149" i="6"/>
  <c r="BT149" i="6"/>
  <c r="BR149" i="6"/>
  <c r="BQ149" i="6"/>
  <c r="BP149" i="6"/>
  <c r="BN149" i="6"/>
  <c r="BM149" i="6"/>
  <c r="BL149" i="6"/>
  <c r="BJ149" i="6"/>
  <c r="BI149" i="6"/>
  <c r="BH149" i="6"/>
  <c r="BF149" i="6"/>
  <c r="BE149" i="6"/>
  <c r="BD149" i="6"/>
  <c r="BB149" i="6"/>
  <c r="BA149" i="6"/>
  <c r="AZ149" i="6"/>
  <c r="AX149" i="6"/>
  <c r="AW149" i="6"/>
  <c r="AV149" i="6"/>
  <c r="AT149" i="6"/>
  <c r="AS149" i="6"/>
  <c r="AR149" i="6"/>
  <c r="AP149" i="6"/>
  <c r="AO149" i="6"/>
  <c r="AN149" i="6"/>
  <c r="AL149" i="6"/>
  <c r="AK149" i="6"/>
  <c r="AJ149" i="6"/>
  <c r="AH149" i="6"/>
  <c r="AG149" i="6"/>
  <c r="AF149" i="6"/>
  <c r="AD149" i="6"/>
  <c r="AC149" i="6"/>
  <c r="AB149" i="6"/>
  <c r="Z149" i="6"/>
  <c r="Y149" i="6"/>
  <c r="X149" i="6"/>
  <c r="V149" i="6"/>
  <c r="U149" i="6"/>
  <c r="T149" i="6"/>
  <c r="R149" i="6"/>
  <c r="Q149" i="6"/>
  <c r="P149" i="6"/>
  <c r="N149" i="6"/>
  <c r="M149" i="6"/>
  <c r="L149" i="6"/>
  <c r="J149" i="6"/>
  <c r="I149" i="6"/>
  <c r="H149" i="6"/>
  <c r="F149" i="6"/>
  <c r="E149" i="6"/>
  <c r="D149" i="6"/>
  <c r="CX148" i="6"/>
  <c r="CW148" i="6"/>
  <c r="CV148" i="6"/>
  <c r="CT148" i="6"/>
  <c r="CS148" i="6"/>
  <c r="CR148" i="6"/>
  <c r="CP148" i="6"/>
  <c r="CO148" i="6"/>
  <c r="CN148" i="6"/>
  <c r="CL148" i="6"/>
  <c r="CK148" i="6"/>
  <c r="CJ148" i="6"/>
  <c r="CH148" i="6"/>
  <c r="CG148" i="6"/>
  <c r="CF148" i="6"/>
  <c r="CD148" i="6"/>
  <c r="CC148" i="6"/>
  <c r="CB148" i="6"/>
  <c r="BZ148" i="6"/>
  <c r="BY148" i="6"/>
  <c r="BX148" i="6"/>
  <c r="BV148" i="6"/>
  <c r="BU148" i="6"/>
  <c r="BT148" i="6"/>
  <c r="BR148" i="6"/>
  <c r="BQ148" i="6"/>
  <c r="BP148" i="6"/>
  <c r="BN148" i="6"/>
  <c r="BM148" i="6"/>
  <c r="BL148" i="6"/>
  <c r="BJ148" i="6"/>
  <c r="BI148" i="6"/>
  <c r="BH148" i="6"/>
  <c r="BF148" i="6"/>
  <c r="BE148" i="6"/>
  <c r="BD148" i="6"/>
  <c r="BB148" i="6"/>
  <c r="BA148" i="6"/>
  <c r="AZ148" i="6"/>
  <c r="AX148" i="6"/>
  <c r="AW148" i="6"/>
  <c r="AV148" i="6"/>
  <c r="AT148" i="6"/>
  <c r="AS148" i="6"/>
  <c r="AR148" i="6"/>
  <c r="AP148" i="6"/>
  <c r="AO148" i="6"/>
  <c r="AN148" i="6"/>
  <c r="AL148" i="6"/>
  <c r="AK148" i="6"/>
  <c r="AJ148" i="6"/>
  <c r="AH148" i="6"/>
  <c r="AG148" i="6"/>
  <c r="AF148" i="6"/>
  <c r="AD148" i="6"/>
  <c r="AC148" i="6"/>
  <c r="AB148" i="6"/>
  <c r="Z148" i="6"/>
  <c r="Y148" i="6"/>
  <c r="X148" i="6"/>
  <c r="V148" i="6"/>
  <c r="U148" i="6"/>
  <c r="T148" i="6"/>
  <c r="R148" i="6"/>
  <c r="Q148" i="6"/>
  <c r="P148" i="6"/>
  <c r="N148" i="6"/>
  <c r="M148" i="6"/>
  <c r="L148" i="6"/>
  <c r="J148" i="6"/>
  <c r="I148" i="6"/>
  <c r="H148" i="6"/>
  <c r="F148" i="6"/>
  <c r="E148" i="6"/>
  <c r="D148" i="6"/>
  <c r="CX147" i="6"/>
  <c r="CW147" i="6"/>
  <c r="CV147" i="6"/>
  <c r="CT147" i="6"/>
  <c r="CS147" i="6"/>
  <c r="CR147" i="6"/>
  <c r="CP147" i="6"/>
  <c r="CO147" i="6"/>
  <c r="CN147" i="6"/>
  <c r="CL147" i="6"/>
  <c r="CK147" i="6"/>
  <c r="CJ147" i="6"/>
  <c r="CH147" i="6"/>
  <c r="CG147" i="6"/>
  <c r="CF147" i="6"/>
  <c r="CD147" i="6"/>
  <c r="CC147" i="6"/>
  <c r="CB147" i="6"/>
  <c r="BZ147" i="6"/>
  <c r="BY147" i="6"/>
  <c r="BX147" i="6"/>
  <c r="BV147" i="6"/>
  <c r="BU147" i="6"/>
  <c r="BT147" i="6"/>
  <c r="BR147" i="6"/>
  <c r="BQ147" i="6"/>
  <c r="BP147" i="6"/>
  <c r="BN147" i="6"/>
  <c r="BM147" i="6"/>
  <c r="BL147" i="6"/>
  <c r="BJ147" i="6"/>
  <c r="BI147" i="6"/>
  <c r="BH147" i="6"/>
  <c r="BF147" i="6"/>
  <c r="BE147" i="6"/>
  <c r="BD147" i="6"/>
  <c r="BB147" i="6"/>
  <c r="BA147" i="6"/>
  <c r="AZ147" i="6"/>
  <c r="AX147" i="6"/>
  <c r="AW147" i="6"/>
  <c r="AV147" i="6"/>
  <c r="AT147" i="6"/>
  <c r="AS147" i="6"/>
  <c r="AR147" i="6"/>
  <c r="AP147" i="6"/>
  <c r="AO147" i="6"/>
  <c r="AN147" i="6"/>
  <c r="AL147" i="6"/>
  <c r="AK147" i="6"/>
  <c r="AJ147" i="6"/>
  <c r="AH147" i="6"/>
  <c r="AG147" i="6"/>
  <c r="AF147" i="6"/>
  <c r="AD147" i="6"/>
  <c r="AC147" i="6"/>
  <c r="AB147" i="6"/>
  <c r="Z147" i="6"/>
  <c r="Y147" i="6"/>
  <c r="X147" i="6"/>
  <c r="V147" i="6"/>
  <c r="U147" i="6"/>
  <c r="T147" i="6"/>
  <c r="R147" i="6"/>
  <c r="Q147" i="6"/>
  <c r="P147" i="6"/>
  <c r="N147" i="6"/>
  <c r="M147" i="6"/>
  <c r="L147" i="6"/>
  <c r="J147" i="6"/>
  <c r="I147" i="6"/>
  <c r="H147" i="6"/>
  <c r="F147" i="6"/>
  <c r="E147" i="6"/>
  <c r="D147" i="6"/>
  <c r="CX146" i="6"/>
  <c r="CW146" i="6"/>
  <c r="CV146" i="6"/>
  <c r="CT146" i="6"/>
  <c r="CS146" i="6"/>
  <c r="CR146" i="6"/>
  <c r="CP146" i="6"/>
  <c r="CO146" i="6"/>
  <c r="CN146" i="6"/>
  <c r="CL146" i="6"/>
  <c r="CK146" i="6"/>
  <c r="CJ146" i="6"/>
  <c r="CH146" i="6"/>
  <c r="CG146" i="6"/>
  <c r="CF146" i="6"/>
  <c r="CD146" i="6"/>
  <c r="CC146" i="6"/>
  <c r="CB146" i="6"/>
  <c r="BZ146" i="6"/>
  <c r="BY146" i="6"/>
  <c r="BX146" i="6"/>
  <c r="BV146" i="6"/>
  <c r="BU146" i="6"/>
  <c r="BT146" i="6"/>
  <c r="BR146" i="6"/>
  <c r="BQ146" i="6"/>
  <c r="BP146" i="6"/>
  <c r="BN146" i="6"/>
  <c r="BM146" i="6"/>
  <c r="BL146" i="6"/>
  <c r="BJ146" i="6"/>
  <c r="BI146" i="6"/>
  <c r="BH146" i="6"/>
  <c r="BF146" i="6"/>
  <c r="BE146" i="6"/>
  <c r="BD146" i="6"/>
  <c r="BB146" i="6"/>
  <c r="BA146" i="6"/>
  <c r="AZ146" i="6"/>
  <c r="AX146" i="6"/>
  <c r="AW146" i="6"/>
  <c r="AV146" i="6"/>
  <c r="AT146" i="6"/>
  <c r="AS146" i="6"/>
  <c r="AR146" i="6"/>
  <c r="AP146" i="6"/>
  <c r="AO146" i="6"/>
  <c r="AN146" i="6"/>
  <c r="AL146" i="6"/>
  <c r="AK146" i="6"/>
  <c r="AJ146" i="6"/>
  <c r="AH146" i="6"/>
  <c r="AG146" i="6"/>
  <c r="AF146" i="6"/>
  <c r="AD146" i="6"/>
  <c r="AC146" i="6"/>
  <c r="AB146" i="6"/>
  <c r="Z146" i="6"/>
  <c r="Y146" i="6"/>
  <c r="X146" i="6"/>
  <c r="V146" i="6"/>
  <c r="U146" i="6"/>
  <c r="T146" i="6"/>
  <c r="R146" i="6"/>
  <c r="Q146" i="6"/>
  <c r="P146" i="6"/>
  <c r="N146" i="6"/>
  <c r="M146" i="6"/>
  <c r="L146" i="6"/>
  <c r="J146" i="6"/>
  <c r="I146" i="6"/>
  <c r="H146" i="6"/>
  <c r="F146" i="6"/>
  <c r="E146" i="6"/>
  <c r="D146" i="6"/>
  <c r="CX145" i="6"/>
  <c r="CW145" i="6"/>
  <c r="CV145" i="6"/>
  <c r="CT145" i="6"/>
  <c r="CS145" i="6"/>
  <c r="CR145" i="6"/>
  <c r="CP145" i="6"/>
  <c r="CO145" i="6"/>
  <c r="CN145" i="6"/>
  <c r="CL145" i="6"/>
  <c r="CK145" i="6"/>
  <c r="CJ145" i="6"/>
  <c r="CH145" i="6"/>
  <c r="CG145" i="6"/>
  <c r="CF145" i="6"/>
  <c r="CD145" i="6"/>
  <c r="CC145" i="6"/>
  <c r="CB145" i="6"/>
  <c r="BZ145" i="6"/>
  <c r="BY145" i="6"/>
  <c r="BX145" i="6"/>
  <c r="BV145" i="6"/>
  <c r="BU145" i="6"/>
  <c r="BT145" i="6"/>
  <c r="BR145" i="6"/>
  <c r="BQ145" i="6"/>
  <c r="BP145" i="6"/>
  <c r="BN145" i="6"/>
  <c r="BM145" i="6"/>
  <c r="BL145" i="6"/>
  <c r="BJ145" i="6"/>
  <c r="BI145" i="6"/>
  <c r="BH145" i="6"/>
  <c r="BF145" i="6"/>
  <c r="BE145" i="6"/>
  <c r="BD145" i="6"/>
  <c r="BB145" i="6"/>
  <c r="BA145" i="6"/>
  <c r="AZ145" i="6"/>
  <c r="AX145" i="6"/>
  <c r="AW145" i="6"/>
  <c r="AV145" i="6"/>
  <c r="AT145" i="6"/>
  <c r="AS145" i="6"/>
  <c r="AR145" i="6"/>
  <c r="AP145" i="6"/>
  <c r="AO145" i="6"/>
  <c r="AN145" i="6"/>
  <c r="AL145" i="6"/>
  <c r="AK145" i="6"/>
  <c r="AJ145" i="6"/>
  <c r="AH145" i="6"/>
  <c r="AG145" i="6"/>
  <c r="AF145" i="6"/>
  <c r="AD145" i="6"/>
  <c r="AC145" i="6"/>
  <c r="AB145" i="6"/>
  <c r="Z145" i="6"/>
  <c r="Y145" i="6"/>
  <c r="X145" i="6"/>
  <c r="V145" i="6"/>
  <c r="U145" i="6"/>
  <c r="T145" i="6"/>
  <c r="R145" i="6"/>
  <c r="Q145" i="6"/>
  <c r="P145" i="6"/>
  <c r="N145" i="6"/>
  <c r="M145" i="6"/>
  <c r="L145" i="6"/>
  <c r="J145" i="6"/>
  <c r="I145" i="6"/>
  <c r="H145" i="6"/>
  <c r="F145" i="6"/>
  <c r="E145" i="6"/>
  <c r="D145" i="6"/>
  <c r="CX144" i="6"/>
  <c r="CW144" i="6"/>
  <c r="CV144" i="6"/>
  <c r="CT144" i="6"/>
  <c r="CS144" i="6"/>
  <c r="CR144" i="6"/>
  <c r="CP144" i="6"/>
  <c r="CO144" i="6"/>
  <c r="CN144" i="6"/>
  <c r="CL144" i="6"/>
  <c r="CK144" i="6"/>
  <c r="CJ144" i="6"/>
  <c r="CH144" i="6"/>
  <c r="CG144" i="6"/>
  <c r="CF144" i="6"/>
  <c r="CD144" i="6"/>
  <c r="CC144" i="6"/>
  <c r="CB144" i="6"/>
  <c r="BZ144" i="6"/>
  <c r="BY144" i="6"/>
  <c r="BX144" i="6"/>
  <c r="BV144" i="6"/>
  <c r="BU144" i="6"/>
  <c r="BT144" i="6"/>
  <c r="BR144" i="6"/>
  <c r="BQ144" i="6"/>
  <c r="BP144" i="6"/>
  <c r="BN144" i="6"/>
  <c r="BM144" i="6"/>
  <c r="BL144" i="6"/>
  <c r="BJ144" i="6"/>
  <c r="BI144" i="6"/>
  <c r="BH144" i="6"/>
  <c r="BF144" i="6"/>
  <c r="BE144" i="6"/>
  <c r="BD144" i="6"/>
  <c r="BB144" i="6"/>
  <c r="BA144" i="6"/>
  <c r="AZ144" i="6"/>
  <c r="AX144" i="6"/>
  <c r="AW144" i="6"/>
  <c r="AV144" i="6"/>
  <c r="AT144" i="6"/>
  <c r="AS144" i="6"/>
  <c r="AR144" i="6"/>
  <c r="AP144" i="6"/>
  <c r="AO144" i="6"/>
  <c r="AN144" i="6"/>
  <c r="AL144" i="6"/>
  <c r="AK144" i="6"/>
  <c r="AJ144" i="6"/>
  <c r="AH144" i="6"/>
  <c r="AG144" i="6"/>
  <c r="AF144" i="6"/>
  <c r="AD144" i="6"/>
  <c r="AC144" i="6"/>
  <c r="AB144" i="6"/>
  <c r="Z144" i="6"/>
  <c r="Y144" i="6"/>
  <c r="X144" i="6"/>
  <c r="V144" i="6"/>
  <c r="U144" i="6"/>
  <c r="T144" i="6"/>
  <c r="R144" i="6"/>
  <c r="Q144" i="6"/>
  <c r="P144" i="6"/>
  <c r="N144" i="6"/>
  <c r="M144" i="6"/>
  <c r="L144" i="6"/>
  <c r="J144" i="6"/>
  <c r="I144" i="6"/>
  <c r="H144" i="6"/>
  <c r="F144" i="6"/>
  <c r="E144" i="6"/>
  <c r="D144" i="6"/>
  <c r="CX143" i="6"/>
  <c r="CW143" i="6"/>
  <c r="CV143" i="6"/>
  <c r="CT143" i="6"/>
  <c r="CS143" i="6"/>
  <c r="CR143" i="6"/>
  <c r="CP143" i="6"/>
  <c r="CO143" i="6"/>
  <c r="CN143" i="6"/>
  <c r="CL143" i="6"/>
  <c r="CK143" i="6"/>
  <c r="CJ143" i="6"/>
  <c r="CH143" i="6"/>
  <c r="CG143" i="6"/>
  <c r="CF143" i="6"/>
  <c r="CD143" i="6"/>
  <c r="CC143" i="6"/>
  <c r="CB143" i="6"/>
  <c r="BZ143" i="6"/>
  <c r="BY143" i="6"/>
  <c r="BX143" i="6"/>
  <c r="BV143" i="6"/>
  <c r="BU143" i="6"/>
  <c r="BT143" i="6"/>
  <c r="BR143" i="6"/>
  <c r="BQ143" i="6"/>
  <c r="BP143" i="6"/>
  <c r="BN143" i="6"/>
  <c r="BM143" i="6"/>
  <c r="BL143" i="6"/>
  <c r="BJ143" i="6"/>
  <c r="BI143" i="6"/>
  <c r="BH143" i="6"/>
  <c r="BF143" i="6"/>
  <c r="BE143" i="6"/>
  <c r="BD143" i="6"/>
  <c r="BB143" i="6"/>
  <c r="BA143" i="6"/>
  <c r="AZ143" i="6"/>
  <c r="AX143" i="6"/>
  <c r="AW143" i="6"/>
  <c r="AV143" i="6"/>
  <c r="AT143" i="6"/>
  <c r="AS143" i="6"/>
  <c r="AR143" i="6"/>
  <c r="AP143" i="6"/>
  <c r="AO143" i="6"/>
  <c r="AN143" i="6"/>
  <c r="AL143" i="6"/>
  <c r="AK143" i="6"/>
  <c r="AJ143" i="6"/>
  <c r="AH143" i="6"/>
  <c r="AG143" i="6"/>
  <c r="AF143" i="6"/>
  <c r="AD143" i="6"/>
  <c r="AC143" i="6"/>
  <c r="AB143" i="6"/>
  <c r="Z143" i="6"/>
  <c r="Y143" i="6"/>
  <c r="X143" i="6"/>
  <c r="V143" i="6"/>
  <c r="U143" i="6"/>
  <c r="T143" i="6"/>
  <c r="R143" i="6"/>
  <c r="Q143" i="6"/>
  <c r="P143" i="6"/>
  <c r="N143" i="6"/>
  <c r="M143" i="6"/>
  <c r="L143" i="6"/>
  <c r="J143" i="6"/>
  <c r="I143" i="6"/>
  <c r="H143" i="6"/>
  <c r="F143" i="6"/>
  <c r="E143" i="6"/>
  <c r="D143" i="6"/>
  <c r="CX142" i="6"/>
  <c r="CW142" i="6"/>
  <c r="CV142" i="6"/>
  <c r="CT142" i="6"/>
  <c r="CS142" i="6"/>
  <c r="CR142" i="6"/>
  <c r="CP142" i="6"/>
  <c r="CO142" i="6"/>
  <c r="CN142" i="6"/>
  <c r="CL142" i="6"/>
  <c r="CK142" i="6"/>
  <c r="CJ142" i="6"/>
  <c r="CH142" i="6"/>
  <c r="CG142" i="6"/>
  <c r="CF142" i="6"/>
  <c r="CD142" i="6"/>
  <c r="CC142" i="6"/>
  <c r="CB142" i="6"/>
  <c r="BZ142" i="6"/>
  <c r="BY142" i="6"/>
  <c r="BX142" i="6"/>
  <c r="BV142" i="6"/>
  <c r="BU142" i="6"/>
  <c r="BT142" i="6"/>
  <c r="BR142" i="6"/>
  <c r="BQ142" i="6"/>
  <c r="BP142" i="6"/>
  <c r="BN142" i="6"/>
  <c r="BM142" i="6"/>
  <c r="BL142" i="6"/>
  <c r="BJ142" i="6"/>
  <c r="BI142" i="6"/>
  <c r="BH142" i="6"/>
  <c r="BF142" i="6"/>
  <c r="BE142" i="6"/>
  <c r="BD142" i="6"/>
  <c r="BB142" i="6"/>
  <c r="BA142" i="6"/>
  <c r="AZ142" i="6"/>
  <c r="AX142" i="6"/>
  <c r="AW142" i="6"/>
  <c r="AV142" i="6"/>
  <c r="AT142" i="6"/>
  <c r="AS142" i="6"/>
  <c r="AR142" i="6"/>
  <c r="AP142" i="6"/>
  <c r="AO142" i="6"/>
  <c r="AN142" i="6"/>
  <c r="AL142" i="6"/>
  <c r="AK142" i="6"/>
  <c r="AJ142" i="6"/>
  <c r="AH142" i="6"/>
  <c r="AG142" i="6"/>
  <c r="AF142" i="6"/>
  <c r="AD142" i="6"/>
  <c r="AC142" i="6"/>
  <c r="AB142" i="6"/>
  <c r="Z142" i="6"/>
  <c r="Y142" i="6"/>
  <c r="X142" i="6"/>
  <c r="V142" i="6"/>
  <c r="U142" i="6"/>
  <c r="T142" i="6"/>
  <c r="R142" i="6"/>
  <c r="Q142" i="6"/>
  <c r="P142" i="6"/>
  <c r="N142" i="6"/>
  <c r="M142" i="6"/>
  <c r="L142" i="6"/>
  <c r="J142" i="6"/>
  <c r="I142" i="6"/>
  <c r="H142" i="6"/>
  <c r="F142" i="6"/>
  <c r="E142" i="6"/>
  <c r="D142" i="6"/>
  <c r="CX141" i="6"/>
  <c r="CW141" i="6"/>
  <c r="CV141" i="6"/>
  <c r="CT141" i="6"/>
  <c r="CS141" i="6"/>
  <c r="CR141" i="6"/>
  <c r="CP141" i="6"/>
  <c r="CO141" i="6"/>
  <c r="CN141" i="6"/>
  <c r="CL141" i="6"/>
  <c r="CK141" i="6"/>
  <c r="CJ141" i="6"/>
  <c r="CH141" i="6"/>
  <c r="CG141" i="6"/>
  <c r="CF141" i="6"/>
  <c r="CD141" i="6"/>
  <c r="CC141" i="6"/>
  <c r="CB141" i="6"/>
  <c r="BZ141" i="6"/>
  <c r="BY141" i="6"/>
  <c r="BX141" i="6"/>
  <c r="BV141" i="6"/>
  <c r="BU141" i="6"/>
  <c r="BT141" i="6"/>
  <c r="BR141" i="6"/>
  <c r="BQ141" i="6"/>
  <c r="BP141" i="6"/>
  <c r="BN141" i="6"/>
  <c r="BM141" i="6"/>
  <c r="BL141" i="6"/>
  <c r="BJ141" i="6"/>
  <c r="BI141" i="6"/>
  <c r="BH141" i="6"/>
  <c r="BF141" i="6"/>
  <c r="BE141" i="6"/>
  <c r="BD141" i="6"/>
  <c r="BB141" i="6"/>
  <c r="BA141" i="6"/>
  <c r="AZ141" i="6"/>
  <c r="AX141" i="6"/>
  <c r="AW141" i="6"/>
  <c r="AV141" i="6"/>
  <c r="AT141" i="6"/>
  <c r="AS141" i="6"/>
  <c r="AR141" i="6"/>
  <c r="AP141" i="6"/>
  <c r="AO141" i="6"/>
  <c r="AN141" i="6"/>
  <c r="AL141" i="6"/>
  <c r="AK141" i="6"/>
  <c r="AJ141" i="6"/>
  <c r="AH141" i="6"/>
  <c r="AG141" i="6"/>
  <c r="AF141" i="6"/>
  <c r="AD141" i="6"/>
  <c r="AC141" i="6"/>
  <c r="AB141" i="6"/>
  <c r="Z141" i="6"/>
  <c r="Y141" i="6"/>
  <c r="X141" i="6"/>
  <c r="V141" i="6"/>
  <c r="U141" i="6"/>
  <c r="T141" i="6"/>
  <c r="R141" i="6"/>
  <c r="Q141" i="6"/>
  <c r="P141" i="6"/>
  <c r="N141" i="6"/>
  <c r="M141" i="6"/>
  <c r="L141" i="6"/>
  <c r="J141" i="6"/>
  <c r="I141" i="6"/>
  <c r="H141" i="6"/>
  <c r="F141" i="6"/>
  <c r="E141" i="6"/>
  <c r="D141" i="6"/>
  <c r="CX140" i="6"/>
  <c r="CW140" i="6"/>
  <c r="CV140" i="6"/>
  <c r="CT140" i="6"/>
  <c r="CS140" i="6"/>
  <c r="CR140" i="6"/>
  <c r="CP140" i="6"/>
  <c r="CO140" i="6"/>
  <c r="CN140" i="6"/>
  <c r="CL140" i="6"/>
  <c r="CK140" i="6"/>
  <c r="CJ140" i="6"/>
  <c r="CH140" i="6"/>
  <c r="CG140" i="6"/>
  <c r="CF140" i="6"/>
  <c r="CD140" i="6"/>
  <c r="CC140" i="6"/>
  <c r="CB140" i="6"/>
  <c r="BZ140" i="6"/>
  <c r="BY140" i="6"/>
  <c r="BX140" i="6"/>
  <c r="BV140" i="6"/>
  <c r="BU140" i="6"/>
  <c r="BT140" i="6"/>
  <c r="BR140" i="6"/>
  <c r="BQ140" i="6"/>
  <c r="BP140" i="6"/>
  <c r="BN140" i="6"/>
  <c r="BM140" i="6"/>
  <c r="BL140" i="6"/>
  <c r="BJ140" i="6"/>
  <c r="BI140" i="6"/>
  <c r="BH140" i="6"/>
  <c r="BF140" i="6"/>
  <c r="BE140" i="6"/>
  <c r="BD140" i="6"/>
  <c r="BB140" i="6"/>
  <c r="BA140" i="6"/>
  <c r="AZ140" i="6"/>
  <c r="AX140" i="6"/>
  <c r="AW140" i="6"/>
  <c r="AV140" i="6"/>
  <c r="AT140" i="6"/>
  <c r="AS140" i="6"/>
  <c r="AR140" i="6"/>
  <c r="AP140" i="6"/>
  <c r="AO140" i="6"/>
  <c r="AN140" i="6"/>
  <c r="AL140" i="6"/>
  <c r="AK140" i="6"/>
  <c r="AJ140" i="6"/>
  <c r="AH140" i="6"/>
  <c r="AG140" i="6"/>
  <c r="AF140" i="6"/>
  <c r="AD140" i="6"/>
  <c r="AC140" i="6"/>
  <c r="AB140" i="6"/>
  <c r="Z140" i="6"/>
  <c r="Y140" i="6"/>
  <c r="X140" i="6"/>
  <c r="V140" i="6"/>
  <c r="U140" i="6"/>
  <c r="T140" i="6"/>
  <c r="R140" i="6"/>
  <c r="Q140" i="6"/>
  <c r="P140" i="6"/>
  <c r="N140" i="6"/>
  <c r="M140" i="6"/>
  <c r="L140" i="6"/>
  <c r="J140" i="6"/>
  <c r="I140" i="6"/>
  <c r="H140" i="6"/>
  <c r="F140" i="6"/>
  <c r="E140" i="6"/>
  <c r="D140" i="6"/>
  <c r="CX139" i="6"/>
  <c r="CW139" i="6"/>
  <c r="CV139" i="6"/>
  <c r="CT139" i="6"/>
  <c r="CS139" i="6"/>
  <c r="CR139" i="6"/>
  <c r="CP139" i="6"/>
  <c r="CO139" i="6"/>
  <c r="CN139" i="6"/>
  <c r="CL139" i="6"/>
  <c r="CK139" i="6"/>
  <c r="CJ139" i="6"/>
  <c r="CH139" i="6"/>
  <c r="CG139" i="6"/>
  <c r="CF139" i="6"/>
  <c r="CD139" i="6"/>
  <c r="CC139" i="6"/>
  <c r="CB139" i="6"/>
  <c r="BZ139" i="6"/>
  <c r="BY139" i="6"/>
  <c r="BX139" i="6"/>
  <c r="BV139" i="6"/>
  <c r="BU139" i="6"/>
  <c r="BT139" i="6"/>
  <c r="BR139" i="6"/>
  <c r="BQ139" i="6"/>
  <c r="BP139" i="6"/>
  <c r="BN139" i="6"/>
  <c r="BM139" i="6"/>
  <c r="BL139" i="6"/>
  <c r="BJ139" i="6"/>
  <c r="BI139" i="6"/>
  <c r="BH139" i="6"/>
  <c r="BF139" i="6"/>
  <c r="BE139" i="6"/>
  <c r="BD139" i="6"/>
  <c r="BB139" i="6"/>
  <c r="BA139" i="6"/>
  <c r="AZ139" i="6"/>
  <c r="AX139" i="6"/>
  <c r="AW139" i="6"/>
  <c r="AV139" i="6"/>
  <c r="AT139" i="6"/>
  <c r="AS139" i="6"/>
  <c r="AR139" i="6"/>
  <c r="AP139" i="6"/>
  <c r="AO139" i="6"/>
  <c r="AN139" i="6"/>
  <c r="AL139" i="6"/>
  <c r="AK139" i="6"/>
  <c r="AJ139" i="6"/>
  <c r="AH139" i="6"/>
  <c r="AG139" i="6"/>
  <c r="AF139" i="6"/>
  <c r="AD139" i="6"/>
  <c r="AC139" i="6"/>
  <c r="AB139" i="6"/>
  <c r="Z139" i="6"/>
  <c r="Y139" i="6"/>
  <c r="X139" i="6"/>
  <c r="V139" i="6"/>
  <c r="U139" i="6"/>
  <c r="T139" i="6"/>
  <c r="R139" i="6"/>
  <c r="Q139" i="6"/>
  <c r="P139" i="6"/>
  <c r="N139" i="6"/>
  <c r="M139" i="6"/>
  <c r="L139" i="6"/>
  <c r="J139" i="6"/>
  <c r="I139" i="6"/>
  <c r="H139" i="6"/>
  <c r="F139" i="6"/>
  <c r="E139" i="6"/>
  <c r="D139" i="6"/>
  <c r="CX138" i="6"/>
  <c r="CW138" i="6"/>
  <c r="CV138" i="6"/>
  <c r="CT138" i="6"/>
  <c r="CS138" i="6"/>
  <c r="CR138" i="6"/>
  <c r="CP138" i="6"/>
  <c r="CO138" i="6"/>
  <c r="CN138" i="6"/>
  <c r="CL138" i="6"/>
  <c r="CK138" i="6"/>
  <c r="CJ138" i="6"/>
  <c r="CH138" i="6"/>
  <c r="CG138" i="6"/>
  <c r="CF138" i="6"/>
  <c r="CD138" i="6"/>
  <c r="CC138" i="6"/>
  <c r="CB138" i="6"/>
  <c r="BZ138" i="6"/>
  <c r="BY138" i="6"/>
  <c r="BX138" i="6"/>
  <c r="BV138" i="6"/>
  <c r="BU138" i="6"/>
  <c r="BT138" i="6"/>
  <c r="BR138" i="6"/>
  <c r="BQ138" i="6"/>
  <c r="BP138" i="6"/>
  <c r="BN138" i="6"/>
  <c r="BM138" i="6"/>
  <c r="BL138" i="6"/>
  <c r="BJ138" i="6"/>
  <c r="BI138" i="6"/>
  <c r="BH138" i="6"/>
  <c r="BF138" i="6"/>
  <c r="BE138" i="6"/>
  <c r="BD138" i="6"/>
  <c r="BB138" i="6"/>
  <c r="BA138" i="6"/>
  <c r="AZ138" i="6"/>
  <c r="AX138" i="6"/>
  <c r="AW138" i="6"/>
  <c r="AV138" i="6"/>
  <c r="AT138" i="6"/>
  <c r="AS138" i="6"/>
  <c r="AR138" i="6"/>
  <c r="AP138" i="6"/>
  <c r="AO138" i="6"/>
  <c r="AN138" i="6"/>
  <c r="AL138" i="6"/>
  <c r="AK138" i="6"/>
  <c r="AJ138" i="6"/>
  <c r="AH138" i="6"/>
  <c r="AG138" i="6"/>
  <c r="AF138" i="6"/>
  <c r="AD138" i="6"/>
  <c r="AC138" i="6"/>
  <c r="AB138" i="6"/>
  <c r="Z138" i="6"/>
  <c r="Y138" i="6"/>
  <c r="X138" i="6"/>
  <c r="V138" i="6"/>
  <c r="U138" i="6"/>
  <c r="T138" i="6"/>
  <c r="R138" i="6"/>
  <c r="Q138" i="6"/>
  <c r="P138" i="6"/>
  <c r="N138" i="6"/>
  <c r="M138" i="6"/>
  <c r="L138" i="6"/>
  <c r="J138" i="6"/>
  <c r="I138" i="6"/>
  <c r="H138" i="6"/>
  <c r="F138" i="6"/>
  <c r="E138" i="6"/>
  <c r="D138" i="6"/>
  <c r="CX137" i="6"/>
  <c r="CW137" i="6"/>
  <c r="CV137" i="6"/>
  <c r="CT137" i="6"/>
  <c r="CS137" i="6"/>
  <c r="CR137" i="6"/>
  <c r="CP137" i="6"/>
  <c r="CO137" i="6"/>
  <c r="CN137" i="6"/>
  <c r="CL137" i="6"/>
  <c r="CK137" i="6"/>
  <c r="CJ137" i="6"/>
  <c r="CH137" i="6"/>
  <c r="CG137" i="6"/>
  <c r="CF137" i="6"/>
  <c r="CD137" i="6"/>
  <c r="CC137" i="6"/>
  <c r="CB137" i="6"/>
  <c r="BZ137" i="6"/>
  <c r="BY137" i="6"/>
  <c r="BX137" i="6"/>
  <c r="BV137" i="6"/>
  <c r="BU137" i="6"/>
  <c r="BT137" i="6"/>
  <c r="BR137" i="6"/>
  <c r="BQ137" i="6"/>
  <c r="BP137" i="6"/>
  <c r="BN137" i="6"/>
  <c r="BM137" i="6"/>
  <c r="BL137" i="6"/>
  <c r="BJ137" i="6"/>
  <c r="BI137" i="6"/>
  <c r="BH137" i="6"/>
  <c r="BF137" i="6"/>
  <c r="BE137" i="6"/>
  <c r="BD137" i="6"/>
  <c r="BB137" i="6"/>
  <c r="BA137" i="6"/>
  <c r="AZ137" i="6"/>
  <c r="AX137" i="6"/>
  <c r="AW137" i="6"/>
  <c r="AV137" i="6"/>
  <c r="AT137" i="6"/>
  <c r="AS137" i="6"/>
  <c r="AR137" i="6"/>
  <c r="AP137" i="6"/>
  <c r="AO137" i="6"/>
  <c r="AN137" i="6"/>
  <c r="AL137" i="6"/>
  <c r="AK137" i="6"/>
  <c r="AJ137" i="6"/>
  <c r="AH137" i="6"/>
  <c r="AG137" i="6"/>
  <c r="AF137" i="6"/>
  <c r="AD137" i="6"/>
  <c r="AC137" i="6"/>
  <c r="AB137" i="6"/>
  <c r="Z137" i="6"/>
  <c r="Y137" i="6"/>
  <c r="X137" i="6"/>
  <c r="V137" i="6"/>
  <c r="U137" i="6"/>
  <c r="T137" i="6"/>
  <c r="R137" i="6"/>
  <c r="Q137" i="6"/>
  <c r="P137" i="6"/>
  <c r="N137" i="6"/>
  <c r="M137" i="6"/>
  <c r="L137" i="6"/>
  <c r="J137" i="6"/>
  <c r="I137" i="6"/>
  <c r="H137" i="6"/>
  <c r="F137" i="6"/>
  <c r="E137" i="6"/>
  <c r="D137" i="6"/>
  <c r="CX136" i="6"/>
  <c r="CW136" i="6"/>
  <c r="CV136" i="6"/>
  <c r="CT136" i="6"/>
  <c r="CS136" i="6"/>
  <c r="CR136" i="6"/>
  <c r="CP136" i="6"/>
  <c r="CO136" i="6"/>
  <c r="CN136" i="6"/>
  <c r="CL136" i="6"/>
  <c r="CK136" i="6"/>
  <c r="CJ136" i="6"/>
  <c r="CH136" i="6"/>
  <c r="CG136" i="6"/>
  <c r="CF136" i="6"/>
  <c r="CD136" i="6"/>
  <c r="CC136" i="6"/>
  <c r="CB136" i="6"/>
  <c r="BZ136" i="6"/>
  <c r="BY136" i="6"/>
  <c r="BX136" i="6"/>
  <c r="BV136" i="6"/>
  <c r="BU136" i="6"/>
  <c r="BT136" i="6"/>
  <c r="BR136" i="6"/>
  <c r="BQ136" i="6"/>
  <c r="BP136" i="6"/>
  <c r="BN136" i="6"/>
  <c r="BM136" i="6"/>
  <c r="BL136" i="6"/>
  <c r="BJ136" i="6"/>
  <c r="BI136" i="6"/>
  <c r="BH136" i="6"/>
  <c r="BF136" i="6"/>
  <c r="BE136" i="6"/>
  <c r="BD136" i="6"/>
  <c r="BB136" i="6"/>
  <c r="BA136" i="6"/>
  <c r="AZ136" i="6"/>
  <c r="AX136" i="6"/>
  <c r="AW136" i="6"/>
  <c r="AV136" i="6"/>
  <c r="AT136" i="6"/>
  <c r="AS136" i="6"/>
  <c r="AR136" i="6"/>
  <c r="AP136" i="6"/>
  <c r="AO136" i="6"/>
  <c r="AN136" i="6"/>
  <c r="AL136" i="6"/>
  <c r="AK136" i="6"/>
  <c r="AJ136" i="6"/>
  <c r="AH136" i="6"/>
  <c r="AG136" i="6"/>
  <c r="AF136" i="6"/>
  <c r="AD136" i="6"/>
  <c r="AC136" i="6"/>
  <c r="AB136" i="6"/>
  <c r="Z136" i="6"/>
  <c r="Y136" i="6"/>
  <c r="X136" i="6"/>
  <c r="V136" i="6"/>
  <c r="U136" i="6"/>
  <c r="T136" i="6"/>
  <c r="R136" i="6"/>
  <c r="Q136" i="6"/>
  <c r="P136" i="6"/>
  <c r="N136" i="6"/>
  <c r="M136" i="6"/>
  <c r="L136" i="6"/>
  <c r="J136" i="6"/>
  <c r="I136" i="6"/>
  <c r="H136" i="6"/>
  <c r="F136" i="6"/>
  <c r="E136" i="6"/>
  <c r="D136" i="6"/>
  <c r="CX135" i="6"/>
  <c r="CW135" i="6"/>
  <c r="CV135" i="6"/>
  <c r="CT135" i="6"/>
  <c r="CS135" i="6"/>
  <c r="CR135" i="6"/>
  <c r="CP135" i="6"/>
  <c r="CO135" i="6"/>
  <c r="CN135" i="6"/>
  <c r="CL135" i="6"/>
  <c r="CK135" i="6"/>
  <c r="CJ135" i="6"/>
  <c r="CH135" i="6"/>
  <c r="CG135" i="6"/>
  <c r="CF135" i="6"/>
  <c r="CD135" i="6"/>
  <c r="CC135" i="6"/>
  <c r="CB135" i="6"/>
  <c r="BZ135" i="6"/>
  <c r="BY135" i="6"/>
  <c r="BX135" i="6"/>
  <c r="BV135" i="6"/>
  <c r="BU135" i="6"/>
  <c r="BT135" i="6"/>
  <c r="BR135" i="6"/>
  <c r="BQ135" i="6"/>
  <c r="BP135" i="6"/>
  <c r="BN135" i="6"/>
  <c r="BM135" i="6"/>
  <c r="BL135" i="6"/>
  <c r="BJ135" i="6"/>
  <c r="BI135" i="6"/>
  <c r="BH135" i="6"/>
  <c r="BF135" i="6"/>
  <c r="BE135" i="6"/>
  <c r="BD135" i="6"/>
  <c r="BB135" i="6"/>
  <c r="BA135" i="6"/>
  <c r="AZ135" i="6"/>
  <c r="AX135" i="6"/>
  <c r="AW135" i="6"/>
  <c r="AV135" i="6"/>
  <c r="AT135" i="6"/>
  <c r="AS135" i="6"/>
  <c r="AR135" i="6"/>
  <c r="AP135" i="6"/>
  <c r="AO135" i="6"/>
  <c r="AN135" i="6"/>
  <c r="AL135" i="6"/>
  <c r="AK135" i="6"/>
  <c r="AJ135" i="6"/>
  <c r="AH135" i="6"/>
  <c r="AG135" i="6"/>
  <c r="AF135" i="6"/>
  <c r="AD135" i="6"/>
  <c r="AC135" i="6"/>
  <c r="AB135" i="6"/>
  <c r="Z135" i="6"/>
  <c r="Y135" i="6"/>
  <c r="X135" i="6"/>
  <c r="V135" i="6"/>
  <c r="U135" i="6"/>
  <c r="T135" i="6"/>
  <c r="R135" i="6"/>
  <c r="Q135" i="6"/>
  <c r="P135" i="6"/>
  <c r="N135" i="6"/>
  <c r="M135" i="6"/>
  <c r="L135" i="6"/>
  <c r="J135" i="6"/>
  <c r="I135" i="6"/>
  <c r="H135" i="6"/>
  <c r="F135" i="6"/>
  <c r="E135" i="6"/>
  <c r="D135" i="6"/>
  <c r="CX134" i="6"/>
  <c r="CW134" i="6"/>
  <c r="CV134" i="6"/>
  <c r="CT134" i="6"/>
  <c r="CS134" i="6"/>
  <c r="CR134" i="6"/>
  <c r="CP134" i="6"/>
  <c r="CO134" i="6"/>
  <c r="CN134" i="6"/>
  <c r="CL134" i="6"/>
  <c r="CK134" i="6"/>
  <c r="CJ134" i="6"/>
  <c r="CH134" i="6"/>
  <c r="CG134" i="6"/>
  <c r="CF134" i="6"/>
  <c r="CD134" i="6"/>
  <c r="CC134" i="6"/>
  <c r="CB134" i="6"/>
  <c r="BZ134" i="6"/>
  <c r="BY134" i="6"/>
  <c r="BX134" i="6"/>
  <c r="BV134" i="6"/>
  <c r="BU134" i="6"/>
  <c r="BT134" i="6"/>
  <c r="BR134" i="6"/>
  <c r="BQ134" i="6"/>
  <c r="BP134" i="6"/>
  <c r="BN134" i="6"/>
  <c r="BM134" i="6"/>
  <c r="BL134" i="6"/>
  <c r="BJ134" i="6"/>
  <c r="BI134" i="6"/>
  <c r="BH134" i="6"/>
  <c r="BF134" i="6"/>
  <c r="BE134" i="6"/>
  <c r="BD134" i="6"/>
  <c r="BB134" i="6"/>
  <c r="BA134" i="6"/>
  <c r="AZ134" i="6"/>
  <c r="AX134" i="6"/>
  <c r="AW134" i="6"/>
  <c r="AV134" i="6"/>
  <c r="AT134" i="6"/>
  <c r="AS134" i="6"/>
  <c r="AR134" i="6"/>
  <c r="AP134" i="6"/>
  <c r="AO134" i="6"/>
  <c r="AN134" i="6"/>
  <c r="AL134" i="6"/>
  <c r="AK134" i="6"/>
  <c r="AJ134" i="6"/>
  <c r="AH134" i="6"/>
  <c r="AG134" i="6"/>
  <c r="AF134" i="6"/>
  <c r="AD134" i="6"/>
  <c r="AC134" i="6"/>
  <c r="AB134" i="6"/>
  <c r="Z134" i="6"/>
  <c r="Y134" i="6"/>
  <c r="X134" i="6"/>
  <c r="V134" i="6"/>
  <c r="U134" i="6"/>
  <c r="T134" i="6"/>
  <c r="R134" i="6"/>
  <c r="Q134" i="6"/>
  <c r="P134" i="6"/>
  <c r="N134" i="6"/>
  <c r="M134" i="6"/>
  <c r="L134" i="6"/>
  <c r="J134" i="6"/>
  <c r="I134" i="6"/>
  <c r="H134" i="6"/>
  <c r="F134" i="6"/>
  <c r="E134" i="6"/>
  <c r="D134" i="6"/>
  <c r="CX133" i="6"/>
  <c r="CW133" i="6"/>
  <c r="CV133" i="6"/>
  <c r="CT133" i="6"/>
  <c r="CS133" i="6"/>
  <c r="CR133" i="6"/>
  <c r="CP133" i="6"/>
  <c r="CO133" i="6"/>
  <c r="CN133" i="6"/>
  <c r="CL133" i="6"/>
  <c r="CK133" i="6"/>
  <c r="CJ133" i="6"/>
  <c r="CH133" i="6"/>
  <c r="CG133" i="6"/>
  <c r="CF133" i="6"/>
  <c r="CD133" i="6"/>
  <c r="CC133" i="6"/>
  <c r="CB133" i="6"/>
  <c r="BZ133" i="6"/>
  <c r="BY133" i="6"/>
  <c r="BX133" i="6"/>
  <c r="BV133" i="6"/>
  <c r="BU133" i="6"/>
  <c r="BT133" i="6"/>
  <c r="BR133" i="6"/>
  <c r="BQ133" i="6"/>
  <c r="BP133" i="6"/>
  <c r="BN133" i="6"/>
  <c r="BM133" i="6"/>
  <c r="BL133" i="6"/>
  <c r="BJ133" i="6"/>
  <c r="BI133" i="6"/>
  <c r="BH133" i="6"/>
  <c r="BF133" i="6"/>
  <c r="BE133" i="6"/>
  <c r="BD133" i="6"/>
  <c r="BB133" i="6"/>
  <c r="BA133" i="6"/>
  <c r="AZ133" i="6"/>
  <c r="AX133" i="6"/>
  <c r="AW133" i="6"/>
  <c r="AV133" i="6"/>
  <c r="AT133" i="6"/>
  <c r="AS133" i="6"/>
  <c r="AR133" i="6"/>
  <c r="AP133" i="6"/>
  <c r="AO133" i="6"/>
  <c r="AN133" i="6"/>
  <c r="AL133" i="6"/>
  <c r="AK133" i="6"/>
  <c r="AJ133" i="6"/>
  <c r="AH133" i="6"/>
  <c r="AG133" i="6"/>
  <c r="AF133" i="6"/>
  <c r="AD133" i="6"/>
  <c r="AC133" i="6"/>
  <c r="AB133" i="6"/>
  <c r="Z133" i="6"/>
  <c r="Y133" i="6"/>
  <c r="X133" i="6"/>
  <c r="V133" i="6"/>
  <c r="U133" i="6"/>
  <c r="T133" i="6"/>
  <c r="R133" i="6"/>
  <c r="Q133" i="6"/>
  <c r="P133" i="6"/>
  <c r="N133" i="6"/>
  <c r="M133" i="6"/>
  <c r="L133" i="6"/>
  <c r="J133" i="6"/>
  <c r="I133" i="6"/>
  <c r="H133" i="6"/>
  <c r="F133" i="6"/>
  <c r="E133" i="6"/>
  <c r="D133" i="6"/>
  <c r="CX132" i="6"/>
  <c r="CW132" i="6"/>
  <c r="CV132" i="6"/>
  <c r="CT132" i="6"/>
  <c r="CS132" i="6"/>
  <c r="CR132" i="6"/>
  <c r="CP132" i="6"/>
  <c r="CO132" i="6"/>
  <c r="CN132" i="6"/>
  <c r="CL132" i="6"/>
  <c r="CK132" i="6"/>
  <c r="CJ132" i="6"/>
  <c r="CH132" i="6"/>
  <c r="CG132" i="6"/>
  <c r="CF132" i="6"/>
  <c r="CD132" i="6"/>
  <c r="CC132" i="6"/>
  <c r="CB132" i="6"/>
  <c r="BZ132" i="6"/>
  <c r="BY132" i="6"/>
  <c r="BX132" i="6"/>
  <c r="BV132" i="6"/>
  <c r="BU132" i="6"/>
  <c r="BT132" i="6"/>
  <c r="BR132" i="6"/>
  <c r="BQ132" i="6"/>
  <c r="BP132" i="6"/>
  <c r="BN132" i="6"/>
  <c r="BM132" i="6"/>
  <c r="BL132" i="6"/>
  <c r="BJ132" i="6"/>
  <c r="BI132" i="6"/>
  <c r="BH132" i="6"/>
  <c r="BF132" i="6"/>
  <c r="BE132" i="6"/>
  <c r="BD132" i="6"/>
  <c r="BB132" i="6"/>
  <c r="BA132" i="6"/>
  <c r="AZ132" i="6"/>
  <c r="AX132" i="6"/>
  <c r="AW132" i="6"/>
  <c r="AV132" i="6"/>
  <c r="AT132" i="6"/>
  <c r="AS132" i="6"/>
  <c r="AR132" i="6"/>
  <c r="AP132" i="6"/>
  <c r="AO132" i="6"/>
  <c r="AN132" i="6"/>
  <c r="AL132" i="6"/>
  <c r="AK132" i="6"/>
  <c r="AJ132" i="6"/>
  <c r="AH132" i="6"/>
  <c r="AG132" i="6"/>
  <c r="AF132" i="6"/>
  <c r="AD132" i="6"/>
  <c r="AC132" i="6"/>
  <c r="AB132" i="6"/>
  <c r="Z132" i="6"/>
  <c r="Y132" i="6"/>
  <c r="X132" i="6"/>
  <c r="V132" i="6"/>
  <c r="U132" i="6"/>
  <c r="T132" i="6"/>
  <c r="R132" i="6"/>
  <c r="Q132" i="6"/>
  <c r="P132" i="6"/>
  <c r="N132" i="6"/>
  <c r="M132" i="6"/>
  <c r="L132" i="6"/>
  <c r="J132" i="6"/>
  <c r="I132" i="6"/>
  <c r="H132" i="6"/>
  <c r="F132" i="6"/>
  <c r="E132" i="6"/>
  <c r="D132" i="6"/>
  <c r="CX131" i="6"/>
  <c r="CW131" i="6"/>
  <c r="CV131" i="6"/>
  <c r="CT131" i="6"/>
  <c r="CS131" i="6"/>
  <c r="CR131" i="6"/>
  <c r="CP131" i="6"/>
  <c r="CO131" i="6"/>
  <c r="CN131" i="6"/>
  <c r="CL131" i="6"/>
  <c r="CK131" i="6"/>
  <c r="CJ131" i="6"/>
  <c r="CH131" i="6"/>
  <c r="CG131" i="6"/>
  <c r="CF131" i="6"/>
  <c r="CD131" i="6"/>
  <c r="CC131" i="6"/>
  <c r="CB131" i="6"/>
  <c r="BZ131" i="6"/>
  <c r="BY131" i="6"/>
  <c r="BX131" i="6"/>
  <c r="BV131" i="6"/>
  <c r="BU131" i="6"/>
  <c r="BT131" i="6"/>
  <c r="BR131" i="6"/>
  <c r="BQ131" i="6"/>
  <c r="BP131" i="6"/>
  <c r="BN131" i="6"/>
  <c r="BM131" i="6"/>
  <c r="BL131" i="6"/>
  <c r="BJ131" i="6"/>
  <c r="BI131" i="6"/>
  <c r="BH131" i="6"/>
  <c r="BF131" i="6"/>
  <c r="BE131" i="6"/>
  <c r="BD131" i="6"/>
  <c r="BB131" i="6"/>
  <c r="BA131" i="6"/>
  <c r="AZ131" i="6"/>
  <c r="AX131" i="6"/>
  <c r="AW131" i="6"/>
  <c r="AV131" i="6"/>
  <c r="AT131" i="6"/>
  <c r="AS131" i="6"/>
  <c r="AR131" i="6"/>
  <c r="AP131" i="6"/>
  <c r="AO131" i="6"/>
  <c r="AN131" i="6"/>
  <c r="AL131" i="6"/>
  <c r="AK131" i="6"/>
  <c r="AJ131" i="6"/>
  <c r="AH131" i="6"/>
  <c r="AG131" i="6"/>
  <c r="AF131" i="6"/>
  <c r="AD131" i="6"/>
  <c r="AC131" i="6"/>
  <c r="AB131" i="6"/>
  <c r="Z131" i="6"/>
  <c r="Y131" i="6"/>
  <c r="X131" i="6"/>
  <c r="V131" i="6"/>
  <c r="U131" i="6"/>
  <c r="T131" i="6"/>
  <c r="R131" i="6"/>
  <c r="Q131" i="6"/>
  <c r="P131" i="6"/>
  <c r="N131" i="6"/>
  <c r="M131" i="6"/>
  <c r="L131" i="6"/>
  <c r="J131" i="6"/>
  <c r="I131" i="6"/>
  <c r="H131" i="6"/>
  <c r="F131" i="6"/>
  <c r="E131" i="6"/>
  <c r="D131" i="6"/>
  <c r="CX130" i="6"/>
  <c r="CW130" i="6"/>
  <c r="CV130" i="6"/>
  <c r="CT130" i="6"/>
  <c r="CS130" i="6"/>
  <c r="CR130" i="6"/>
  <c r="CP130" i="6"/>
  <c r="CO130" i="6"/>
  <c r="CN130" i="6"/>
  <c r="CL130" i="6"/>
  <c r="CK130" i="6"/>
  <c r="CJ130" i="6"/>
  <c r="CH130" i="6"/>
  <c r="CG130" i="6"/>
  <c r="CF130" i="6"/>
  <c r="CD130" i="6"/>
  <c r="CC130" i="6"/>
  <c r="CB130" i="6"/>
  <c r="BZ130" i="6"/>
  <c r="BY130" i="6"/>
  <c r="BX130" i="6"/>
  <c r="BV130" i="6"/>
  <c r="BU130" i="6"/>
  <c r="BT130" i="6"/>
  <c r="BR130" i="6"/>
  <c r="BQ130" i="6"/>
  <c r="BP130" i="6"/>
  <c r="BN130" i="6"/>
  <c r="BM130" i="6"/>
  <c r="BL130" i="6"/>
  <c r="BJ130" i="6"/>
  <c r="BI130" i="6"/>
  <c r="BH130" i="6"/>
  <c r="BF130" i="6"/>
  <c r="BE130" i="6"/>
  <c r="BD130" i="6"/>
  <c r="BB130" i="6"/>
  <c r="BA130" i="6"/>
  <c r="AZ130" i="6"/>
  <c r="AX130" i="6"/>
  <c r="AW130" i="6"/>
  <c r="AV130" i="6"/>
  <c r="AT130" i="6"/>
  <c r="AS130" i="6"/>
  <c r="AR130" i="6"/>
  <c r="AP130" i="6"/>
  <c r="AO130" i="6"/>
  <c r="AN130" i="6"/>
  <c r="AL130" i="6"/>
  <c r="AK130" i="6"/>
  <c r="AJ130" i="6"/>
  <c r="AH130" i="6"/>
  <c r="AG130" i="6"/>
  <c r="AF130" i="6"/>
  <c r="AD130" i="6"/>
  <c r="AC130" i="6"/>
  <c r="AB130" i="6"/>
  <c r="Z130" i="6"/>
  <c r="Y130" i="6"/>
  <c r="X130" i="6"/>
  <c r="V130" i="6"/>
  <c r="U130" i="6"/>
  <c r="T130" i="6"/>
  <c r="R130" i="6"/>
  <c r="Q130" i="6"/>
  <c r="P130" i="6"/>
  <c r="N130" i="6"/>
  <c r="M130" i="6"/>
  <c r="L130" i="6"/>
  <c r="J130" i="6"/>
  <c r="I130" i="6"/>
  <c r="H130" i="6"/>
  <c r="F130" i="6"/>
  <c r="E130" i="6"/>
  <c r="D130" i="6"/>
  <c r="CX129" i="6"/>
  <c r="CW129" i="6"/>
  <c r="CV129" i="6"/>
  <c r="CT129" i="6"/>
  <c r="CS129" i="6"/>
  <c r="CR129" i="6"/>
  <c r="CP129" i="6"/>
  <c r="CO129" i="6"/>
  <c r="CN129" i="6"/>
  <c r="CL129" i="6"/>
  <c r="CK129" i="6"/>
  <c r="CJ129" i="6"/>
  <c r="CH129" i="6"/>
  <c r="CG129" i="6"/>
  <c r="CF129" i="6"/>
  <c r="CD129" i="6"/>
  <c r="CC129" i="6"/>
  <c r="CB129" i="6"/>
  <c r="BZ129" i="6"/>
  <c r="BY129" i="6"/>
  <c r="BX129" i="6"/>
  <c r="BV129" i="6"/>
  <c r="BU129" i="6"/>
  <c r="BT129" i="6"/>
  <c r="BR129" i="6"/>
  <c r="BQ129" i="6"/>
  <c r="BP129" i="6"/>
  <c r="BN129" i="6"/>
  <c r="BM129" i="6"/>
  <c r="BL129" i="6"/>
  <c r="BJ129" i="6"/>
  <c r="BI129" i="6"/>
  <c r="BH129" i="6"/>
  <c r="BF129" i="6"/>
  <c r="BE129" i="6"/>
  <c r="BD129" i="6"/>
  <c r="BB129" i="6"/>
  <c r="BA129" i="6"/>
  <c r="AZ129" i="6"/>
  <c r="AX129" i="6"/>
  <c r="AW129" i="6"/>
  <c r="AV129" i="6"/>
  <c r="AT129" i="6"/>
  <c r="AS129" i="6"/>
  <c r="AR129" i="6"/>
  <c r="AP129" i="6"/>
  <c r="AO129" i="6"/>
  <c r="AN129" i="6"/>
  <c r="AL129" i="6"/>
  <c r="AK129" i="6"/>
  <c r="AJ129" i="6"/>
  <c r="AH129" i="6"/>
  <c r="AG129" i="6"/>
  <c r="AF129" i="6"/>
  <c r="AD129" i="6"/>
  <c r="AC129" i="6"/>
  <c r="AB129" i="6"/>
  <c r="Z129" i="6"/>
  <c r="Y129" i="6"/>
  <c r="X129" i="6"/>
  <c r="V129" i="6"/>
  <c r="U129" i="6"/>
  <c r="T129" i="6"/>
  <c r="R129" i="6"/>
  <c r="Q129" i="6"/>
  <c r="P129" i="6"/>
  <c r="N129" i="6"/>
  <c r="M129" i="6"/>
  <c r="L129" i="6"/>
  <c r="J129" i="6"/>
  <c r="I129" i="6"/>
  <c r="H129" i="6"/>
  <c r="F129" i="6"/>
  <c r="E129" i="6"/>
  <c r="D129" i="6"/>
  <c r="CX128" i="6"/>
  <c r="CW128" i="6"/>
  <c r="CV128" i="6"/>
  <c r="CT128" i="6"/>
  <c r="CS128" i="6"/>
  <c r="CR128" i="6"/>
  <c r="CP128" i="6"/>
  <c r="CO128" i="6"/>
  <c r="CN128" i="6"/>
  <c r="CL128" i="6"/>
  <c r="CK128" i="6"/>
  <c r="CJ128" i="6"/>
  <c r="CH128" i="6"/>
  <c r="CG128" i="6"/>
  <c r="CF128" i="6"/>
  <c r="CD128" i="6"/>
  <c r="CC128" i="6"/>
  <c r="CB128" i="6"/>
  <c r="BZ128" i="6"/>
  <c r="BY128" i="6"/>
  <c r="BX128" i="6"/>
  <c r="BV128" i="6"/>
  <c r="BU128" i="6"/>
  <c r="BT128" i="6"/>
  <c r="BR128" i="6"/>
  <c r="BQ128" i="6"/>
  <c r="BP128" i="6"/>
  <c r="BN128" i="6"/>
  <c r="BM128" i="6"/>
  <c r="BL128" i="6"/>
  <c r="BJ128" i="6"/>
  <c r="BI128" i="6"/>
  <c r="BH128" i="6"/>
  <c r="BF128" i="6"/>
  <c r="BE128" i="6"/>
  <c r="BD128" i="6"/>
  <c r="BB128" i="6"/>
  <c r="BA128" i="6"/>
  <c r="AZ128" i="6"/>
  <c r="AX128" i="6"/>
  <c r="AW128" i="6"/>
  <c r="AV128" i="6"/>
  <c r="AT128" i="6"/>
  <c r="AS128" i="6"/>
  <c r="AR128" i="6"/>
  <c r="AP128" i="6"/>
  <c r="AO128" i="6"/>
  <c r="AN128" i="6"/>
  <c r="AL128" i="6"/>
  <c r="AK128" i="6"/>
  <c r="AJ128" i="6"/>
  <c r="AH128" i="6"/>
  <c r="AG128" i="6"/>
  <c r="AF128" i="6"/>
  <c r="AD128" i="6"/>
  <c r="AC128" i="6"/>
  <c r="AB128" i="6"/>
  <c r="Z128" i="6"/>
  <c r="Y128" i="6"/>
  <c r="X128" i="6"/>
  <c r="V128" i="6"/>
  <c r="U128" i="6"/>
  <c r="T128" i="6"/>
  <c r="R128" i="6"/>
  <c r="Q128" i="6"/>
  <c r="P128" i="6"/>
  <c r="N128" i="6"/>
  <c r="M128" i="6"/>
  <c r="L128" i="6"/>
  <c r="J128" i="6"/>
  <c r="I128" i="6"/>
  <c r="H128" i="6"/>
  <c r="F128" i="6"/>
  <c r="E128" i="6"/>
  <c r="D128" i="6"/>
  <c r="CX127" i="6"/>
  <c r="CW127" i="6"/>
  <c r="CV127" i="6"/>
  <c r="CT127" i="6"/>
  <c r="CS127" i="6"/>
  <c r="CR127" i="6"/>
  <c r="CP127" i="6"/>
  <c r="CO127" i="6"/>
  <c r="CN127" i="6"/>
  <c r="CL127" i="6"/>
  <c r="CK127" i="6"/>
  <c r="CJ127" i="6"/>
  <c r="CH127" i="6"/>
  <c r="CG127" i="6"/>
  <c r="CF127" i="6"/>
  <c r="CD127" i="6"/>
  <c r="CC127" i="6"/>
  <c r="CB127" i="6"/>
  <c r="BZ127" i="6"/>
  <c r="BY127" i="6"/>
  <c r="BX127" i="6"/>
  <c r="BV127" i="6"/>
  <c r="BU127" i="6"/>
  <c r="BT127" i="6"/>
  <c r="BR127" i="6"/>
  <c r="BQ127" i="6"/>
  <c r="BP127" i="6"/>
  <c r="BN127" i="6"/>
  <c r="BM127" i="6"/>
  <c r="BL127" i="6"/>
  <c r="BJ127" i="6"/>
  <c r="BI127" i="6"/>
  <c r="BH127" i="6"/>
  <c r="BF127" i="6"/>
  <c r="BE127" i="6"/>
  <c r="BD127" i="6"/>
  <c r="BB127" i="6"/>
  <c r="BA127" i="6"/>
  <c r="AZ127" i="6"/>
  <c r="AX127" i="6"/>
  <c r="AW127" i="6"/>
  <c r="AV127" i="6"/>
  <c r="AT127" i="6"/>
  <c r="AS127" i="6"/>
  <c r="AR127" i="6"/>
  <c r="AP127" i="6"/>
  <c r="AO127" i="6"/>
  <c r="AN127" i="6"/>
  <c r="AL127" i="6"/>
  <c r="AK127" i="6"/>
  <c r="AJ127" i="6"/>
  <c r="AH127" i="6"/>
  <c r="AG127" i="6"/>
  <c r="AF127" i="6"/>
  <c r="AD127" i="6"/>
  <c r="AC127" i="6"/>
  <c r="AB127" i="6"/>
  <c r="Z127" i="6"/>
  <c r="Y127" i="6"/>
  <c r="X127" i="6"/>
  <c r="V127" i="6"/>
  <c r="U127" i="6"/>
  <c r="T127" i="6"/>
  <c r="R127" i="6"/>
  <c r="Q127" i="6"/>
  <c r="P127" i="6"/>
  <c r="N127" i="6"/>
  <c r="M127" i="6"/>
  <c r="L127" i="6"/>
  <c r="J127" i="6"/>
  <c r="I127" i="6"/>
  <c r="H127" i="6"/>
  <c r="F127" i="6"/>
  <c r="E127" i="6"/>
  <c r="D127" i="6"/>
  <c r="CX126" i="6"/>
  <c r="CW126" i="6"/>
  <c r="CV126" i="6"/>
  <c r="CT126" i="6"/>
  <c r="CS126" i="6"/>
  <c r="CR126" i="6"/>
  <c r="CP126" i="6"/>
  <c r="CO126" i="6"/>
  <c r="CN126" i="6"/>
  <c r="CL126" i="6"/>
  <c r="CK126" i="6"/>
  <c r="CJ126" i="6"/>
  <c r="CH126" i="6"/>
  <c r="CG126" i="6"/>
  <c r="CF126" i="6"/>
  <c r="CD126" i="6"/>
  <c r="CC126" i="6"/>
  <c r="CB126" i="6"/>
  <c r="BZ126" i="6"/>
  <c r="BY126" i="6"/>
  <c r="BX126" i="6"/>
  <c r="BV126" i="6"/>
  <c r="BU126" i="6"/>
  <c r="BT126" i="6"/>
  <c r="BR126" i="6"/>
  <c r="BQ126" i="6"/>
  <c r="BP126" i="6"/>
  <c r="BN126" i="6"/>
  <c r="BM126" i="6"/>
  <c r="BL126" i="6"/>
  <c r="BJ126" i="6"/>
  <c r="BI126" i="6"/>
  <c r="BH126" i="6"/>
  <c r="BF126" i="6"/>
  <c r="BE126" i="6"/>
  <c r="BD126" i="6"/>
  <c r="BB126" i="6"/>
  <c r="BA126" i="6"/>
  <c r="AZ126" i="6"/>
  <c r="AX126" i="6"/>
  <c r="AW126" i="6"/>
  <c r="AV126" i="6"/>
  <c r="AT126" i="6"/>
  <c r="AS126" i="6"/>
  <c r="AR126" i="6"/>
  <c r="AP126" i="6"/>
  <c r="AO126" i="6"/>
  <c r="AN126" i="6"/>
  <c r="AL126" i="6"/>
  <c r="AK126" i="6"/>
  <c r="AJ126" i="6"/>
  <c r="AH126" i="6"/>
  <c r="AG126" i="6"/>
  <c r="AF126" i="6"/>
  <c r="AD126" i="6"/>
  <c r="AC126" i="6"/>
  <c r="AB126" i="6"/>
  <c r="Z126" i="6"/>
  <c r="Y126" i="6"/>
  <c r="X126" i="6"/>
  <c r="V126" i="6"/>
  <c r="U126" i="6"/>
  <c r="T126" i="6"/>
  <c r="R126" i="6"/>
  <c r="Q126" i="6"/>
  <c r="P126" i="6"/>
  <c r="N126" i="6"/>
  <c r="M126" i="6"/>
  <c r="L126" i="6"/>
  <c r="J126" i="6"/>
  <c r="I126" i="6"/>
  <c r="H126" i="6"/>
  <c r="F126" i="6"/>
  <c r="E126" i="6"/>
  <c r="D126" i="6"/>
  <c r="CX125" i="6"/>
  <c r="CW125" i="6"/>
  <c r="CV125" i="6"/>
  <c r="CT125" i="6"/>
  <c r="CS125" i="6"/>
  <c r="CR125" i="6"/>
  <c r="CP125" i="6"/>
  <c r="CO125" i="6"/>
  <c r="CN125" i="6"/>
  <c r="CL125" i="6"/>
  <c r="CK125" i="6"/>
  <c r="CJ125" i="6"/>
  <c r="CH125" i="6"/>
  <c r="CG125" i="6"/>
  <c r="CF125" i="6"/>
  <c r="CD125" i="6"/>
  <c r="CC125" i="6"/>
  <c r="CB125" i="6"/>
  <c r="BZ125" i="6"/>
  <c r="BY125" i="6"/>
  <c r="BX125" i="6"/>
  <c r="BV125" i="6"/>
  <c r="BU125" i="6"/>
  <c r="BT125" i="6"/>
  <c r="BR125" i="6"/>
  <c r="BQ125" i="6"/>
  <c r="BP125" i="6"/>
  <c r="BN125" i="6"/>
  <c r="BM125" i="6"/>
  <c r="BL125" i="6"/>
  <c r="BJ125" i="6"/>
  <c r="BI125" i="6"/>
  <c r="BH125" i="6"/>
  <c r="BF125" i="6"/>
  <c r="BE125" i="6"/>
  <c r="BD125" i="6"/>
  <c r="BB125" i="6"/>
  <c r="BA125" i="6"/>
  <c r="AZ125" i="6"/>
  <c r="AX125" i="6"/>
  <c r="AW125" i="6"/>
  <c r="AV125" i="6"/>
  <c r="AT125" i="6"/>
  <c r="AS125" i="6"/>
  <c r="AR125" i="6"/>
  <c r="AP125" i="6"/>
  <c r="AO125" i="6"/>
  <c r="AN125" i="6"/>
  <c r="AL125" i="6"/>
  <c r="AK125" i="6"/>
  <c r="AJ125" i="6"/>
  <c r="AH125" i="6"/>
  <c r="AG125" i="6"/>
  <c r="AF125" i="6"/>
  <c r="AD125" i="6"/>
  <c r="AC125" i="6"/>
  <c r="AB125" i="6"/>
  <c r="Z125" i="6"/>
  <c r="Y125" i="6"/>
  <c r="X125" i="6"/>
  <c r="V125" i="6"/>
  <c r="U125" i="6"/>
  <c r="T125" i="6"/>
  <c r="R125" i="6"/>
  <c r="Q125" i="6"/>
  <c r="P125" i="6"/>
  <c r="N125" i="6"/>
  <c r="M125" i="6"/>
  <c r="L125" i="6"/>
  <c r="J125" i="6"/>
  <c r="I125" i="6"/>
  <c r="H125" i="6"/>
  <c r="F125" i="6"/>
  <c r="E125" i="6"/>
  <c r="D125" i="6"/>
  <c r="CX124" i="6"/>
  <c r="CW124" i="6"/>
  <c r="CV124" i="6"/>
  <c r="CT124" i="6"/>
  <c r="CS124" i="6"/>
  <c r="CR124" i="6"/>
  <c r="CP124" i="6"/>
  <c r="CO124" i="6"/>
  <c r="CN124" i="6"/>
  <c r="CL124" i="6"/>
  <c r="CK124" i="6"/>
  <c r="CJ124" i="6"/>
  <c r="CH124" i="6"/>
  <c r="CG124" i="6"/>
  <c r="CF124" i="6"/>
  <c r="CD124" i="6"/>
  <c r="CC124" i="6"/>
  <c r="CB124" i="6"/>
  <c r="BZ124" i="6"/>
  <c r="BY124" i="6"/>
  <c r="BX124" i="6"/>
  <c r="BV124" i="6"/>
  <c r="BU124" i="6"/>
  <c r="BT124" i="6"/>
  <c r="BR124" i="6"/>
  <c r="BQ124" i="6"/>
  <c r="BP124" i="6"/>
  <c r="BN124" i="6"/>
  <c r="BM124" i="6"/>
  <c r="BL124" i="6"/>
  <c r="BJ124" i="6"/>
  <c r="BI124" i="6"/>
  <c r="BH124" i="6"/>
  <c r="BF124" i="6"/>
  <c r="BE124" i="6"/>
  <c r="BD124" i="6"/>
  <c r="BB124" i="6"/>
  <c r="BA124" i="6"/>
  <c r="AZ124" i="6"/>
  <c r="AX124" i="6"/>
  <c r="AW124" i="6"/>
  <c r="AV124" i="6"/>
  <c r="AT124" i="6"/>
  <c r="AS124" i="6"/>
  <c r="AR124" i="6"/>
  <c r="AP124" i="6"/>
  <c r="AO124" i="6"/>
  <c r="AN124" i="6"/>
  <c r="AL124" i="6"/>
  <c r="AK124" i="6"/>
  <c r="AJ124" i="6"/>
  <c r="AH124" i="6"/>
  <c r="AG124" i="6"/>
  <c r="AF124" i="6"/>
  <c r="AD124" i="6"/>
  <c r="AC124" i="6"/>
  <c r="AB124" i="6"/>
  <c r="Z124" i="6"/>
  <c r="Y124" i="6"/>
  <c r="X124" i="6"/>
  <c r="V124" i="6"/>
  <c r="U124" i="6"/>
  <c r="T124" i="6"/>
  <c r="R124" i="6"/>
  <c r="Q124" i="6"/>
  <c r="P124" i="6"/>
  <c r="N124" i="6"/>
  <c r="M124" i="6"/>
  <c r="L124" i="6"/>
  <c r="J124" i="6"/>
  <c r="I124" i="6"/>
  <c r="H124" i="6"/>
  <c r="F124" i="6"/>
  <c r="E124" i="6"/>
  <c r="D124" i="6"/>
  <c r="CX123" i="6"/>
  <c r="CW123" i="6"/>
  <c r="CV123" i="6"/>
  <c r="CT123" i="6"/>
  <c r="CS123" i="6"/>
  <c r="CR123" i="6"/>
  <c r="CP123" i="6"/>
  <c r="CO123" i="6"/>
  <c r="CN123" i="6"/>
  <c r="CL123" i="6"/>
  <c r="CK123" i="6"/>
  <c r="CJ123" i="6"/>
  <c r="CH123" i="6"/>
  <c r="CG123" i="6"/>
  <c r="CF123" i="6"/>
  <c r="CD123" i="6"/>
  <c r="CC123" i="6"/>
  <c r="CB123" i="6"/>
  <c r="BZ123" i="6"/>
  <c r="BY123" i="6"/>
  <c r="BX123" i="6"/>
  <c r="BV123" i="6"/>
  <c r="BU123" i="6"/>
  <c r="BT123" i="6"/>
  <c r="BR123" i="6"/>
  <c r="BQ123" i="6"/>
  <c r="BP123" i="6"/>
  <c r="BN123" i="6"/>
  <c r="BM123" i="6"/>
  <c r="BL123" i="6"/>
  <c r="BJ123" i="6"/>
  <c r="BI123" i="6"/>
  <c r="BH123" i="6"/>
  <c r="BF123" i="6"/>
  <c r="BE123" i="6"/>
  <c r="BD123" i="6"/>
  <c r="BB123" i="6"/>
  <c r="BA123" i="6"/>
  <c r="AZ123" i="6"/>
  <c r="AX123" i="6"/>
  <c r="AW123" i="6"/>
  <c r="AV123" i="6"/>
  <c r="AT123" i="6"/>
  <c r="AS123" i="6"/>
  <c r="AR123" i="6"/>
  <c r="AP123" i="6"/>
  <c r="AO123" i="6"/>
  <c r="AN123" i="6"/>
  <c r="AL123" i="6"/>
  <c r="AK123" i="6"/>
  <c r="AJ123" i="6"/>
  <c r="AH123" i="6"/>
  <c r="AG123" i="6"/>
  <c r="AF123" i="6"/>
  <c r="AD123" i="6"/>
  <c r="AC123" i="6"/>
  <c r="AB123" i="6"/>
  <c r="Z123" i="6"/>
  <c r="Y123" i="6"/>
  <c r="X123" i="6"/>
  <c r="V123" i="6"/>
  <c r="U123" i="6"/>
  <c r="T123" i="6"/>
  <c r="R123" i="6"/>
  <c r="Q123" i="6"/>
  <c r="P123" i="6"/>
  <c r="N123" i="6"/>
  <c r="M123" i="6"/>
  <c r="L123" i="6"/>
  <c r="J123" i="6"/>
  <c r="I123" i="6"/>
  <c r="H123" i="6"/>
  <c r="F123" i="6"/>
  <c r="E123" i="6"/>
  <c r="D123" i="6"/>
  <c r="CX122" i="6"/>
  <c r="CW122" i="6"/>
  <c r="CV122" i="6"/>
  <c r="CT122" i="6"/>
  <c r="CS122" i="6"/>
  <c r="CR122" i="6"/>
  <c r="CP122" i="6"/>
  <c r="CO122" i="6"/>
  <c r="CN122" i="6"/>
  <c r="CL122" i="6"/>
  <c r="CK122" i="6"/>
  <c r="CJ122" i="6"/>
  <c r="CH122" i="6"/>
  <c r="CG122" i="6"/>
  <c r="CF122" i="6"/>
  <c r="CD122" i="6"/>
  <c r="CC122" i="6"/>
  <c r="CB122" i="6"/>
  <c r="BZ122" i="6"/>
  <c r="BY122" i="6"/>
  <c r="BX122" i="6"/>
  <c r="BV122" i="6"/>
  <c r="BU122" i="6"/>
  <c r="BT122" i="6"/>
  <c r="BR122" i="6"/>
  <c r="BQ122" i="6"/>
  <c r="BP122" i="6"/>
  <c r="BN122" i="6"/>
  <c r="BM122" i="6"/>
  <c r="BL122" i="6"/>
  <c r="BJ122" i="6"/>
  <c r="BI122" i="6"/>
  <c r="BH122" i="6"/>
  <c r="BF122" i="6"/>
  <c r="BE122" i="6"/>
  <c r="BD122" i="6"/>
  <c r="BB122" i="6"/>
  <c r="BA122" i="6"/>
  <c r="AZ122" i="6"/>
  <c r="AX122" i="6"/>
  <c r="AW122" i="6"/>
  <c r="AV122" i="6"/>
  <c r="AT122" i="6"/>
  <c r="AS122" i="6"/>
  <c r="AR122" i="6"/>
  <c r="AP122" i="6"/>
  <c r="AO122" i="6"/>
  <c r="AN122" i="6"/>
  <c r="AL122" i="6"/>
  <c r="AK122" i="6"/>
  <c r="AJ122" i="6"/>
  <c r="AH122" i="6"/>
  <c r="AG122" i="6"/>
  <c r="AF122" i="6"/>
  <c r="AD122" i="6"/>
  <c r="AC122" i="6"/>
  <c r="AB122" i="6"/>
  <c r="Z122" i="6"/>
  <c r="Y122" i="6"/>
  <c r="X122" i="6"/>
  <c r="V122" i="6"/>
  <c r="U122" i="6"/>
  <c r="T122" i="6"/>
  <c r="R122" i="6"/>
  <c r="Q122" i="6"/>
  <c r="P122" i="6"/>
  <c r="N122" i="6"/>
  <c r="M122" i="6"/>
  <c r="L122" i="6"/>
  <c r="J122" i="6"/>
  <c r="I122" i="6"/>
  <c r="H122" i="6"/>
  <c r="F122" i="6"/>
  <c r="E122" i="6"/>
  <c r="D122" i="6"/>
  <c r="CX121" i="6"/>
  <c r="CW121" i="6"/>
  <c r="CV121" i="6"/>
  <c r="CT121" i="6"/>
  <c r="CS121" i="6"/>
  <c r="CR121" i="6"/>
  <c r="CP121" i="6"/>
  <c r="CO121" i="6"/>
  <c r="CN121" i="6"/>
  <c r="CL121" i="6"/>
  <c r="CK121" i="6"/>
  <c r="CJ121" i="6"/>
  <c r="CH121" i="6"/>
  <c r="CG121" i="6"/>
  <c r="CF121" i="6"/>
  <c r="CD121" i="6"/>
  <c r="CC121" i="6"/>
  <c r="CB121" i="6"/>
  <c r="BZ121" i="6"/>
  <c r="BY121" i="6"/>
  <c r="BX121" i="6"/>
  <c r="BV121" i="6"/>
  <c r="BU121" i="6"/>
  <c r="BT121" i="6"/>
  <c r="BR121" i="6"/>
  <c r="BQ121" i="6"/>
  <c r="BP121" i="6"/>
  <c r="BN121" i="6"/>
  <c r="BM121" i="6"/>
  <c r="BL121" i="6"/>
  <c r="BJ121" i="6"/>
  <c r="BI121" i="6"/>
  <c r="BH121" i="6"/>
  <c r="BF121" i="6"/>
  <c r="BE121" i="6"/>
  <c r="BD121" i="6"/>
  <c r="BB121" i="6"/>
  <c r="BA121" i="6"/>
  <c r="AZ121" i="6"/>
  <c r="AX121" i="6"/>
  <c r="AW121" i="6"/>
  <c r="AV121" i="6"/>
  <c r="AT121" i="6"/>
  <c r="AS121" i="6"/>
  <c r="AR121" i="6"/>
  <c r="AP121" i="6"/>
  <c r="AO121" i="6"/>
  <c r="AN121" i="6"/>
  <c r="AL121" i="6"/>
  <c r="AK121" i="6"/>
  <c r="AJ121" i="6"/>
  <c r="AH121" i="6"/>
  <c r="AG121" i="6"/>
  <c r="AF121" i="6"/>
  <c r="AD121" i="6"/>
  <c r="AC121" i="6"/>
  <c r="AB121" i="6"/>
  <c r="Z121" i="6"/>
  <c r="Y121" i="6"/>
  <c r="X121" i="6"/>
  <c r="V121" i="6"/>
  <c r="U121" i="6"/>
  <c r="T121" i="6"/>
  <c r="R121" i="6"/>
  <c r="Q121" i="6"/>
  <c r="P121" i="6"/>
  <c r="N121" i="6"/>
  <c r="M121" i="6"/>
  <c r="L121" i="6"/>
  <c r="J121" i="6"/>
  <c r="I121" i="6"/>
  <c r="H121" i="6"/>
  <c r="F121" i="6"/>
  <c r="E121" i="6"/>
  <c r="D121" i="6"/>
  <c r="CX120" i="6"/>
  <c r="CW120" i="6"/>
  <c r="CV120" i="6"/>
  <c r="CT120" i="6"/>
  <c r="CS120" i="6"/>
  <c r="CR120" i="6"/>
  <c r="CP120" i="6"/>
  <c r="CO120" i="6"/>
  <c r="CN120" i="6"/>
  <c r="CL120" i="6"/>
  <c r="CK120" i="6"/>
  <c r="CJ120" i="6"/>
  <c r="CH120" i="6"/>
  <c r="CG120" i="6"/>
  <c r="CF120" i="6"/>
  <c r="CD120" i="6"/>
  <c r="CC120" i="6"/>
  <c r="CB120" i="6"/>
  <c r="BZ120" i="6"/>
  <c r="BY120" i="6"/>
  <c r="BX120" i="6"/>
  <c r="BV120" i="6"/>
  <c r="BU120" i="6"/>
  <c r="BT120" i="6"/>
  <c r="BR120" i="6"/>
  <c r="BQ120" i="6"/>
  <c r="BP120" i="6"/>
  <c r="BN120" i="6"/>
  <c r="BM120" i="6"/>
  <c r="BL120" i="6"/>
  <c r="BJ120" i="6"/>
  <c r="BI120" i="6"/>
  <c r="BH120" i="6"/>
  <c r="BF120" i="6"/>
  <c r="BE120" i="6"/>
  <c r="BD120" i="6"/>
  <c r="BB120" i="6"/>
  <c r="BA120" i="6"/>
  <c r="AZ120" i="6"/>
  <c r="AX120" i="6"/>
  <c r="AW120" i="6"/>
  <c r="AV120" i="6"/>
  <c r="AT120" i="6"/>
  <c r="AS120" i="6"/>
  <c r="AR120" i="6"/>
  <c r="AP120" i="6"/>
  <c r="AO120" i="6"/>
  <c r="AN120" i="6"/>
  <c r="AL120" i="6"/>
  <c r="AK120" i="6"/>
  <c r="AJ120" i="6"/>
  <c r="AH120" i="6"/>
  <c r="AG120" i="6"/>
  <c r="AF120" i="6"/>
  <c r="AD120" i="6"/>
  <c r="AC120" i="6"/>
  <c r="AB120" i="6"/>
  <c r="Z120" i="6"/>
  <c r="Y120" i="6"/>
  <c r="X120" i="6"/>
  <c r="V120" i="6"/>
  <c r="U120" i="6"/>
  <c r="T120" i="6"/>
  <c r="R120" i="6"/>
  <c r="Q120" i="6"/>
  <c r="P120" i="6"/>
  <c r="N120" i="6"/>
  <c r="M120" i="6"/>
  <c r="L120" i="6"/>
  <c r="J120" i="6"/>
  <c r="I120" i="6"/>
  <c r="H120" i="6"/>
  <c r="F120" i="6"/>
  <c r="E120" i="6"/>
  <c r="D120" i="6"/>
  <c r="CX119" i="6"/>
  <c r="CW119" i="6"/>
  <c r="CV119" i="6"/>
  <c r="CT119" i="6"/>
  <c r="CS119" i="6"/>
  <c r="CR119" i="6"/>
  <c r="CP119" i="6"/>
  <c r="CO119" i="6"/>
  <c r="CN119" i="6"/>
  <c r="CL119" i="6"/>
  <c r="CK119" i="6"/>
  <c r="CJ119" i="6"/>
  <c r="CH119" i="6"/>
  <c r="CG119" i="6"/>
  <c r="CF119" i="6"/>
  <c r="CD119" i="6"/>
  <c r="CC119" i="6"/>
  <c r="CB119" i="6"/>
  <c r="BZ119" i="6"/>
  <c r="BY119" i="6"/>
  <c r="BX119" i="6"/>
  <c r="BV119" i="6"/>
  <c r="BU119" i="6"/>
  <c r="BT119" i="6"/>
  <c r="BR119" i="6"/>
  <c r="BQ119" i="6"/>
  <c r="BP119" i="6"/>
  <c r="BN119" i="6"/>
  <c r="BM119" i="6"/>
  <c r="BL119" i="6"/>
  <c r="BJ119" i="6"/>
  <c r="BI119" i="6"/>
  <c r="BH119" i="6"/>
  <c r="BF119" i="6"/>
  <c r="BE119" i="6"/>
  <c r="BD119" i="6"/>
  <c r="BB119" i="6"/>
  <c r="BA119" i="6"/>
  <c r="AZ119" i="6"/>
  <c r="AX119" i="6"/>
  <c r="AW119" i="6"/>
  <c r="AV119" i="6"/>
  <c r="AT119" i="6"/>
  <c r="AS119" i="6"/>
  <c r="AR119" i="6"/>
  <c r="AP119" i="6"/>
  <c r="AO119" i="6"/>
  <c r="AN119" i="6"/>
  <c r="AL119" i="6"/>
  <c r="AK119" i="6"/>
  <c r="AJ119" i="6"/>
  <c r="AH119" i="6"/>
  <c r="AG119" i="6"/>
  <c r="AF119" i="6"/>
  <c r="AD119" i="6"/>
  <c r="AC119" i="6"/>
  <c r="AB119" i="6"/>
  <c r="Z119" i="6"/>
  <c r="Y119" i="6"/>
  <c r="X119" i="6"/>
  <c r="V119" i="6"/>
  <c r="U119" i="6"/>
  <c r="T119" i="6"/>
  <c r="R119" i="6"/>
  <c r="Q119" i="6"/>
  <c r="P119" i="6"/>
  <c r="N119" i="6"/>
  <c r="M119" i="6"/>
  <c r="L119" i="6"/>
  <c r="J119" i="6"/>
  <c r="I119" i="6"/>
  <c r="H119" i="6"/>
  <c r="F119" i="6"/>
  <c r="E119" i="6"/>
  <c r="D119" i="6"/>
  <c r="CX118" i="6"/>
  <c r="CW118" i="6"/>
  <c r="CV118" i="6"/>
  <c r="CT118" i="6"/>
  <c r="CS118" i="6"/>
  <c r="CR118" i="6"/>
  <c r="CP118" i="6"/>
  <c r="CO118" i="6"/>
  <c r="CN118" i="6"/>
  <c r="CL118" i="6"/>
  <c r="CK118" i="6"/>
  <c r="CJ118" i="6"/>
  <c r="CH118" i="6"/>
  <c r="CG118" i="6"/>
  <c r="CF118" i="6"/>
  <c r="CD118" i="6"/>
  <c r="CC118" i="6"/>
  <c r="CB118" i="6"/>
  <c r="BZ118" i="6"/>
  <c r="BY118" i="6"/>
  <c r="BX118" i="6"/>
  <c r="BV118" i="6"/>
  <c r="BU118" i="6"/>
  <c r="BT118" i="6"/>
  <c r="BR118" i="6"/>
  <c r="BQ118" i="6"/>
  <c r="BP118" i="6"/>
  <c r="BN118" i="6"/>
  <c r="BM118" i="6"/>
  <c r="BL118" i="6"/>
  <c r="BJ118" i="6"/>
  <c r="BI118" i="6"/>
  <c r="BH118" i="6"/>
  <c r="BF118" i="6"/>
  <c r="BE118" i="6"/>
  <c r="BD118" i="6"/>
  <c r="BB118" i="6"/>
  <c r="BA118" i="6"/>
  <c r="AZ118" i="6"/>
  <c r="AX118" i="6"/>
  <c r="AW118" i="6"/>
  <c r="AV118" i="6"/>
  <c r="AT118" i="6"/>
  <c r="AS118" i="6"/>
  <c r="AR118" i="6"/>
  <c r="AP118" i="6"/>
  <c r="AO118" i="6"/>
  <c r="AN118" i="6"/>
  <c r="AL118" i="6"/>
  <c r="AK118" i="6"/>
  <c r="AJ118" i="6"/>
  <c r="AH118" i="6"/>
  <c r="AG118" i="6"/>
  <c r="AF118" i="6"/>
  <c r="AD118" i="6"/>
  <c r="AC118" i="6"/>
  <c r="AB118" i="6"/>
  <c r="Z118" i="6"/>
  <c r="Y118" i="6"/>
  <c r="X118" i="6"/>
  <c r="V118" i="6"/>
  <c r="U118" i="6"/>
  <c r="T118" i="6"/>
  <c r="R118" i="6"/>
  <c r="Q118" i="6"/>
  <c r="P118" i="6"/>
  <c r="N118" i="6"/>
  <c r="M118" i="6"/>
  <c r="L118" i="6"/>
  <c r="J118" i="6"/>
  <c r="I118" i="6"/>
  <c r="H118" i="6"/>
  <c r="F118" i="6"/>
  <c r="E118" i="6"/>
  <c r="D118" i="6"/>
  <c r="CX117" i="6"/>
  <c r="CW117" i="6"/>
  <c r="CV117" i="6"/>
  <c r="CT117" i="6"/>
  <c r="CS117" i="6"/>
  <c r="CR117" i="6"/>
  <c r="CP117" i="6"/>
  <c r="CO117" i="6"/>
  <c r="CN117" i="6"/>
  <c r="CL117" i="6"/>
  <c r="CK117" i="6"/>
  <c r="CJ117" i="6"/>
  <c r="CH117" i="6"/>
  <c r="CG117" i="6"/>
  <c r="CF117" i="6"/>
  <c r="CD117" i="6"/>
  <c r="CC117" i="6"/>
  <c r="CB117" i="6"/>
  <c r="BZ117" i="6"/>
  <c r="BY117" i="6"/>
  <c r="BX117" i="6"/>
  <c r="BV117" i="6"/>
  <c r="BU117" i="6"/>
  <c r="BT117" i="6"/>
  <c r="BR117" i="6"/>
  <c r="BQ117" i="6"/>
  <c r="BP117" i="6"/>
  <c r="BN117" i="6"/>
  <c r="BM117" i="6"/>
  <c r="BL117" i="6"/>
  <c r="BJ117" i="6"/>
  <c r="BI117" i="6"/>
  <c r="BH117" i="6"/>
  <c r="BF117" i="6"/>
  <c r="BE117" i="6"/>
  <c r="BD117" i="6"/>
  <c r="BB117" i="6"/>
  <c r="BA117" i="6"/>
  <c r="AZ117" i="6"/>
  <c r="AX117" i="6"/>
  <c r="AW117" i="6"/>
  <c r="AV117" i="6"/>
  <c r="AT117" i="6"/>
  <c r="AS117" i="6"/>
  <c r="AR117" i="6"/>
  <c r="AP117" i="6"/>
  <c r="AO117" i="6"/>
  <c r="AN117" i="6"/>
  <c r="AL117" i="6"/>
  <c r="AK117" i="6"/>
  <c r="AJ117" i="6"/>
  <c r="AH117" i="6"/>
  <c r="AG117" i="6"/>
  <c r="AF117" i="6"/>
  <c r="AD117" i="6"/>
  <c r="AC117" i="6"/>
  <c r="AB117" i="6"/>
  <c r="Z117" i="6"/>
  <c r="Y117" i="6"/>
  <c r="X117" i="6"/>
  <c r="V117" i="6"/>
  <c r="U117" i="6"/>
  <c r="T117" i="6"/>
  <c r="R117" i="6"/>
  <c r="Q117" i="6"/>
  <c r="P117" i="6"/>
  <c r="N117" i="6"/>
  <c r="M117" i="6"/>
  <c r="L117" i="6"/>
  <c r="J117" i="6"/>
  <c r="I117" i="6"/>
  <c r="H117" i="6"/>
  <c r="F117" i="6"/>
  <c r="E117" i="6"/>
  <c r="D117" i="6"/>
  <c r="CX116" i="6"/>
  <c r="CW116" i="6"/>
  <c r="CV116" i="6"/>
  <c r="CT116" i="6"/>
  <c r="CS116" i="6"/>
  <c r="CR116" i="6"/>
  <c r="CP116" i="6"/>
  <c r="CO116" i="6"/>
  <c r="CN116" i="6"/>
  <c r="CL116" i="6"/>
  <c r="CK116" i="6"/>
  <c r="CJ116" i="6"/>
  <c r="CH116" i="6"/>
  <c r="CG116" i="6"/>
  <c r="CF116" i="6"/>
  <c r="CD116" i="6"/>
  <c r="CC116" i="6"/>
  <c r="CB116" i="6"/>
  <c r="BZ116" i="6"/>
  <c r="BY116" i="6"/>
  <c r="BX116" i="6"/>
  <c r="BV116" i="6"/>
  <c r="BU116" i="6"/>
  <c r="BT116" i="6"/>
  <c r="BR116" i="6"/>
  <c r="BQ116" i="6"/>
  <c r="BP116" i="6"/>
  <c r="BN116" i="6"/>
  <c r="BM116" i="6"/>
  <c r="BL116" i="6"/>
  <c r="BJ116" i="6"/>
  <c r="BI116" i="6"/>
  <c r="BH116" i="6"/>
  <c r="BF116" i="6"/>
  <c r="BE116" i="6"/>
  <c r="BD116" i="6"/>
  <c r="BB116" i="6"/>
  <c r="BA116" i="6"/>
  <c r="AZ116" i="6"/>
  <c r="AX116" i="6"/>
  <c r="AW116" i="6"/>
  <c r="AV116" i="6"/>
  <c r="AT116" i="6"/>
  <c r="AS116" i="6"/>
  <c r="AR116" i="6"/>
  <c r="AP116" i="6"/>
  <c r="AO116" i="6"/>
  <c r="AN116" i="6"/>
  <c r="AL116" i="6"/>
  <c r="AK116" i="6"/>
  <c r="AJ116" i="6"/>
  <c r="AH116" i="6"/>
  <c r="AG116" i="6"/>
  <c r="AF116" i="6"/>
  <c r="AD116" i="6"/>
  <c r="AC116" i="6"/>
  <c r="AB116" i="6"/>
  <c r="Z116" i="6"/>
  <c r="Y116" i="6"/>
  <c r="X116" i="6"/>
  <c r="V116" i="6"/>
  <c r="U116" i="6"/>
  <c r="T116" i="6"/>
  <c r="R116" i="6"/>
  <c r="Q116" i="6"/>
  <c r="P116" i="6"/>
  <c r="N116" i="6"/>
  <c r="M116" i="6"/>
  <c r="L116" i="6"/>
  <c r="J116" i="6"/>
  <c r="I116" i="6"/>
  <c r="H116" i="6"/>
  <c r="F116" i="6"/>
  <c r="E116" i="6"/>
  <c r="D116" i="6"/>
  <c r="CX115" i="6"/>
  <c r="CW115" i="6"/>
  <c r="CV115" i="6"/>
  <c r="CT115" i="6"/>
  <c r="CS115" i="6"/>
  <c r="CR115" i="6"/>
  <c r="CP115" i="6"/>
  <c r="CO115" i="6"/>
  <c r="CN115" i="6"/>
  <c r="CL115" i="6"/>
  <c r="CK115" i="6"/>
  <c r="CJ115" i="6"/>
  <c r="CH115" i="6"/>
  <c r="CG115" i="6"/>
  <c r="CF115" i="6"/>
  <c r="CD115" i="6"/>
  <c r="CC115" i="6"/>
  <c r="CB115" i="6"/>
  <c r="BZ115" i="6"/>
  <c r="BY115" i="6"/>
  <c r="BX115" i="6"/>
  <c r="BV115" i="6"/>
  <c r="BU115" i="6"/>
  <c r="BT115" i="6"/>
  <c r="BR115" i="6"/>
  <c r="BQ115" i="6"/>
  <c r="BP115" i="6"/>
  <c r="BN115" i="6"/>
  <c r="BM115" i="6"/>
  <c r="BL115" i="6"/>
  <c r="BJ115" i="6"/>
  <c r="BI115" i="6"/>
  <c r="BH115" i="6"/>
  <c r="BF115" i="6"/>
  <c r="BE115" i="6"/>
  <c r="BD115" i="6"/>
  <c r="BB115" i="6"/>
  <c r="BA115" i="6"/>
  <c r="AZ115" i="6"/>
  <c r="AX115" i="6"/>
  <c r="AW115" i="6"/>
  <c r="AV115" i="6"/>
  <c r="AT115" i="6"/>
  <c r="AS115" i="6"/>
  <c r="AR115" i="6"/>
  <c r="AP115" i="6"/>
  <c r="AO115" i="6"/>
  <c r="AN115" i="6"/>
  <c r="AL115" i="6"/>
  <c r="AK115" i="6"/>
  <c r="AJ115" i="6"/>
  <c r="AH115" i="6"/>
  <c r="AG115" i="6"/>
  <c r="AF115" i="6"/>
  <c r="AD115" i="6"/>
  <c r="AC115" i="6"/>
  <c r="AB115" i="6"/>
  <c r="Z115" i="6"/>
  <c r="Y115" i="6"/>
  <c r="X115" i="6"/>
  <c r="V115" i="6"/>
  <c r="U115" i="6"/>
  <c r="T115" i="6"/>
  <c r="R115" i="6"/>
  <c r="Q115" i="6"/>
  <c r="P115" i="6"/>
  <c r="N115" i="6"/>
  <c r="M115" i="6"/>
  <c r="L115" i="6"/>
  <c r="J115" i="6"/>
  <c r="I115" i="6"/>
  <c r="H115" i="6"/>
  <c r="F115" i="6"/>
  <c r="E115" i="6"/>
  <c r="D115" i="6"/>
  <c r="CX114" i="6"/>
  <c r="CW114" i="6"/>
  <c r="CV114" i="6"/>
  <c r="CT114" i="6"/>
  <c r="CS114" i="6"/>
  <c r="CR114" i="6"/>
  <c r="CP114" i="6"/>
  <c r="CO114" i="6"/>
  <c r="CN114" i="6"/>
  <c r="CL114" i="6"/>
  <c r="CK114" i="6"/>
  <c r="CJ114" i="6"/>
  <c r="CH114" i="6"/>
  <c r="CG114" i="6"/>
  <c r="CF114" i="6"/>
  <c r="CD114" i="6"/>
  <c r="CC114" i="6"/>
  <c r="CB114" i="6"/>
  <c r="BZ114" i="6"/>
  <c r="BY114" i="6"/>
  <c r="BX114" i="6"/>
  <c r="BV114" i="6"/>
  <c r="BU114" i="6"/>
  <c r="BT114" i="6"/>
  <c r="BR114" i="6"/>
  <c r="BQ114" i="6"/>
  <c r="BP114" i="6"/>
  <c r="BN114" i="6"/>
  <c r="BM114" i="6"/>
  <c r="BL114" i="6"/>
  <c r="BJ114" i="6"/>
  <c r="BI114" i="6"/>
  <c r="BH114" i="6"/>
  <c r="BF114" i="6"/>
  <c r="BE114" i="6"/>
  <c r="BD114" i="6"/>
  <c r="BB114" i="6"/>
  <c r="BA114" i="6"/>
  <c r="AZ114" i="6"/>
  <c r="AX114" i="6"/>
  <c r="AW114" i="6"/>
  <c r="AV114" i="6"/>
  <c r="AT114" i="6"/>
  <c r="AS114" i="6"/>
  <c r="AR114" i="6"/>
  <c r="AP114" i="6"/>
  <c r="AO114" i="6"/>
  <c r="AN114" i="6"/>
  <c r="AL114" i="6"/>
  <c r="AK114" i="6"/>
  <c r="AJ114" i="6"/>
  <c r="AH114" i="6"/>
  <c r="AG114" i="6"/>
  <c r="AF114" i="6"/>
  <c r="AD114" i="6"/>
  <c r="AC114" i="6"/>
  <c r="AB114" i="6"/>
  <c r="Z114" i="6"/>
  <c r="Y114" i="6"/>
  <c r="X114" i="6"/>
  <c r="V114" i="6"/>
  <c r="U114" i="6"/>
  <c r="T114" i="6"/>
  <c r="R114" i="6"/>
  <c r="Q114" i="6"/>
  <c r="P114" i="6"/>
  <c r="N114" i="6"/>
  <c r="M114" i="6"/>
  <c r="L114" i="6"/>
  <c r="J114" i="6"/>
  <c r="I114" i="6"/>
  <c r="H114" i="6"/>
  <c r="F114" i="6"/>
  <c r="E114" i="6"/>
  <c r="D114" i="6"/>
  <c r="CX113" i="6"/>
  <c r="CW113" i="6"/>
  <c r="CV113" i="6"/>
  <c r="CT113" i="6"/>
  <c r="CS113" i="6"/>
  <c r="CR113" i="6"/>
  <c r="CP113" i="6"/>
  <c r="CO113" i="6"/>
  <c r="CN113" i="6"/>
  <c r="CL113" i="6"/>
  <c r="CK113" i="6"/>
  <c r="CJ113" i="6"/>
  <c r="CH113" i="6"/>
  <c r="CG113" i="6"/>
  <c r="CF113" i="6"/>
  <c r="CD113" i="6"/>
  <c r="CC113" i="6"/>
  <c r="CB113" i="6"/>
  <c r="BZ113" i="6"/>
  <c r="BY113" i="6"/>
  <c r="BX113" i="6"/>
  <c r="BV113" i="6"/>
  <c r="BU113" i="6"/>
  <c r="BT113" i="6"/>
  <c r="BR113" i="6"/>
  <c r="BQ113" i="6"/>
  <c r="BP113" i="6"/>
  <c r="BN113" i="6"/>
  <c r="BM113" i="6"/>
  <c r="BL113" i="6"/>
  <c r="BJ113" i="6"/>
  <c r="BI113" i="6"/>
  <c r="BH113" i="6"/>
  <c r="BF113" i="6"/>
  <c r="BE113" i="6"/>
  <c r="BD113" i="6"/>
  <c r="BB113" i="6"/>
  <c r="BA113" i="6"/>
  <c r="AZ113" i="6"/>
  <c r="AX113" i="6"/>
  <c r="AW113" i="6"/>
  <c r="AV113" i="6"/>
  <c r="AT113" i="6"/>
  <c r="AS113" i="6"/>
  <c r="AR113" i="6"/>
  <c r="AP113" i="6"/>
  <c r="AO113" i="6"/>
  <c r="AN113" i="6"/>
  <c r="AL113" i="6"/>
  <c r="AK113" i="6"/>
  <c r="AJ113" i="6"/>
  <c r="AH113" i="6"/>
  <c r="AG113" i="6"/>
  <c r="AF113" i="6"/>
  <c r="AD113" i="6"/>
  <c r="AC113" i="6"/>
  <c r="AB113" i="6"/>
  <c r="Z113" i="6"/>
  <c r="Y113" i="6"/>
  <c r="X113" i="6"/>
  <c r="V113" i="6"/>
  <c r="U113" i="6"/>
  <c r="T113" i="6"/>
  <c r="R113" i="6"/>
  <c r="Q113" i="6"/>
  <c r="P113" i="6"/>
  <c r="N113" i="6"/>
  <c r="M113" i="6"/>
  <c r="L113" i="6"/>
  <c r="J113" i="6"/>
  <c r="I113" i="6"/>
  <c r="H113" i="6"/>
  <c r="F113" i="6"/>
  <c r="E113" i="6"/>
  <c r="D113" i="6"/>
  <c r="CX112" i="6"/>
  <c r="CW112" i="6"/>
  <c r="CV112" i="6"/>
  <c r="CT112" i="6"/>
  <c r="CS112" i="6"/>
  <c r="CR112" i="6"/>
  <c r="CP112" i="6"/>
  <c r="CO112" i="6"/>
  <c r="CN112" i="6"/>
  <c r="CL112" i="6"/>
  <c r="CK112" i="6"/>
  <c r="CJ112" i="6"/>
  <c r="CH112" i="6"/>
  <c r="CG112" i="6"/>
  <c r="CF112" i="6"/>
  <c r="CD112" i="6"/>
  <c r="CC112" i="6"/>
  <c r="CB112" i="6"/>
  <c r="BZ112" i="6"/>
  <c r="BY112" i="6"/>
  <c r="BX112" i="6"/>
  <c r="BV112" i="6"/>
  <c r="BU112" i="6"/>
  <c r="BT112" i="6"/>
  <c r="BR112" i="6"/>
  <c r="BQ112" i="6"/>
  <c r="BP112" i="6"/>
  <c r="BN112" i="6"/>
  <c r="BM112" i="6"/>
  <c r="BL112" i="6"/>
  <c r="BJ112" i="6"/>
  <c r="BI112" i="6"/>
  <c r="BH112" i="6"/>
  <c r="BF112" i="6"/>
  <c r="BE112" i="6"/>
  <c r="BD112" i="6"/>
  <c r="BB112" i="6"/>
  <c r="BA112" i="6"/>
  <c r="AZ112" i="6"/>
  <c r="AX112" i="6"/>
  <c r="AW112" i="6"/>
  <c r="AV112" i="6"/>
  <c r="AT112" i="6"/>
  <c r="AS112" i="6"/>
  <c r="AR112" i="6"/>
  <c r="AP112" i="6"/>
  <c r="AO112" i="6"/>
  <c r="AN112" i="6"/>
  <c r="AL112" i="6"/>
  <c r="AK112" i="6"/>
  <c r="AJ112" i="6"/>
  <c r="AH112" i="6"/>
  <c r="AG112" i="6"/>
  <c r="AF112" i="6"/>
  <c r="AD112" i="6"/>
  <c r="AC112" i="6"/>
  <c r="AB112" i="6"/>
  <c r="Z112" i="6"/>
  <c r="Y112" i="6"/>
  <c r="X112" i="6"/>
  <c r="V112" i="6"/>
  <c r="U112" i="6"/>
  <c r="T112" i="6"/>
  <c r="R112" i="6"/>
  <c r="Q112" i="6"/>
  <c r="P112" i="6"/>
  <c r="N112" i="6"/>
  <c r="M112" i="6"/>
  <c r="L112" i="6"/>
  <c r="J112" i="6"/>
  <c r="I112" i="6"/>
  <c r="H112" i="6"/>
  <c r="F112" i="6"/>
  <c r="E112" i="6"/>
  <c r="D112" i="6"/>
  <c r="CX111" i="6"/>
  <c r="CW111" i="6"/>
  <c r="CV111" i="6"/>
  <c r="CT111" i="6"/>
  <c r="CS111" i="6"/>
  <c r="CR111" i="6"/>
  <c r="CP111" i="6"/>
  <c r="CO111" i="6"/>
  <c r="CN111" i="6"/>
  <c r="CL111" i="6"/>
  <c r="CK111" i="6"/>
  <c r="CJ111" i="6"/>
  <c r="CH111" i="6"/>
  <c r="CG111" i="6"/>
  <c r="CF111" i="6"/>
  <c r="CD111" i="6"/>
  <c r="CC111" i="6"/>
  <c r="CB111" i="6"/>
  <c r="BZ111" i="6"/>
  <c r="BY111" i="6"/>
  <c r="BX111" i="6"/>
  <c r="BV111" i="6"/>
  <c r="BU111" i="6"/>
  <c r="BT111" i="6"/>
  <c r="BR111" i="6"/>
  <c r="BQ111" i="6"/>
  <c r="BP111" i="6"/>
  <c r="BN111" i="6"/>
  <c r="BM111" i="6"/>
  <c r="BL111" i="6"/>
  <c r="BJ111" i="6"/>
  <c r="BI111" i="6"/>
  <c r="BH111" i="6"/>
  <c r="BF111" i="6"/>
  <c r="BE111" i="6"/>
  <c r="BD111" i="6"/>
  <c r="BB111" i="6"/>
  <c r="BA111" i="6"/>
  <c r="AZ111" i="6"/>
  <c r="AX111" i="6"/>
  <c r="AW111" i="6"/>
  <c r="AV111" i="6"/>
  <c r="AT111" i="6"/>
  <c r="AS111" i="6"/>
  <c r="AR111" i="6"/>
  <c r="AP111" i="6"/>
  <c r="AO111" i="6"/>
  <c r="AN111" i="6"/>
  <c r="AL111" i="6"/>
  <c r="AK111" i="6"/>
  <c r="AJ111" i="6"/>
  <c r="AH111" i="6"/>
  <c r="AG111" i="6"/>
  <c r="AF111" i="6"/>
  <c r="AD111" i="6"/>
  <c r="AC111" i="6"/>
  <c r="AB111" i="6"/>
  <c r="Z111" i="6"/>
  <c r="Y111" i="6"/>
  <c r="X111" i="6"/>
  <c r="V111" i="6"/>
  <c r="U111" i="6"/>
  <c r="T111" i="6"/>
  <c r="R111" i="6"/>
  <c r="Q111" i="6"/>
  <c r="P111" i="6"/>
  <c r="N111" i="6"/>
  <c r="M111" i="6"/>
  <c r="L111" i="6"/>
  <c r="J111" i="6"/>
  <c r="I111" i="6"/>
  <c r="H111" i="6"/>
  <c r="F111" i="6"/>
  <c r="E111" i="6"/>
  <c r="D111" i="6"/>
  <c r="CX110" i="6"/>
  <c r="CW110" i="6"/>
  <c r="CV110" i="6"/>
  <c r="CT110" i="6"/>
  <c r="CS110" i="6"/>
  <c r="CR110" i="6"/>
  <c r="CP110" i="6"/>
  <c r="CO110" i="6"/>
  <c r="CN110" i="6"/>
  <c r="CL110" i="6"/>
  <c r="CK110" i="6"/>
  <c r="CJ110" i="6"/>
  <c r="CH110" i="6"/>
  <c r="CG110" i="6"/>
  <c r="CF110" i="6"/>
  <c r="CD110" i="6"/>
  <c r="CC110" i="6"/>
  <c r="CB110" i="6"/>
  <c r="BZ110" i="6"/>
  <c r="BY110" i="6"/>
  <c r="BX110" i="6"/>
  <c r="BV110" i="6"/>
  <c r="BU110" i="6"/>
  <c r="BT110" i="6"/>
  <c r="BR110" i="6"/>
  <c r="BQ110" i="6"/>
  <c r="BP110" i="6"/>
  <c r="BN110" i="6"/>
  <c r="BM110" i="6"/>
  <c r="BL110" i="6"/>
  <c r="BJ110" i="6"/>
  <c r="BI110" i="6"/>
  <c r="BH110" i="6"/>
  <c r="BF110" i="6"/>
  <c r="BE110" i="6"/>
  <c r="BD110" i="6"/>
  <c r="BB110" i="6"/>
  <c r="BA110" i="6"/>
  <c r="AZ110" i="6"/>
  <c r="AX110" i="6"/>
  <c r="AW110" i="6"/>
  <c r="AV110" i="6"/>
  <c r="AT110" i="6"/>
  <c r="AS110" i="6"/>
  <c r="AR110" i="6"/>
  <c r="AP110" i="6"/>
  <c r="AO110" i="6"/>
  <c r="AN110" i="6"/>
  <c r="AL110" i="6"/>
  <c r="AK110" i="6"/>
  <c r="AJ110" i="6"/>
  <c r="AH110" i="6"/>
  <c r="AG110" i="6"/>
  <c r="AF110" i="6"/>
  <c r="AD110" i="6"/>
  <c r="AC110" i="6"/>
  <c r="AB110" i="6"/>
  <c r="Z110" i="6"/>
  <c r="Y110" i="6"/>
  <c r="X110" i="6"/>
  <c r="V110" i="6"/>
  <c r="U110" i="6"/>
  <c r="T110" i="6"/>
  <c r="R110" i="6"/>
  <c r="Q110" i="6"/>
  <c r="P110" i="6"/>
  <c r="N110" i="6"/>
  <c r="M110" i="6"/>
  <c r="L110" i="6"/>
  <c r="J110" i="6"/>
  <c r="I110" i="6"/>
  <c r="H110" i="6"/>
  <c r="F110" i="6"/>
  <c r="E110" i="6"/>
  <c r="D110" i="6"/>
  <c r="CX109" i="6"/>
  <c r="CW109" i="6"/>
  <c r="CV109" i="6"/>
  <c r="CT109" i="6"/>
  <c r="CS109" i="6"/>
  <c r="CR109" i="6"/>
  <c r="CP109" i="6"/>
  <c r="CO109" i="6"/>
  <c r="CN109" i="6"/>
  <c r="CL109" i="6"/>
  <c r="CK109" i="6"/>
  <c r="CJ109" i="6"/>
  <c r="CH109" i="6"/>
  <c r="CG109" i="6"/>
  <c r="CF109" i="6"/>
  <c r="CD109" i="6"/>
  <c r="CC109" i="6"/>
  <c r="CB109" i="6"/>
  <c r="BZ109" i="6"/>
  <c r="BY109" i="6"/>
  <c r="BX109" i="6"/>
  <c r="BV109" i="6"/>
  <c r="BU109" i="6"/>
  <c r="BT109" i="6"/>
  <c r="BR109" i="6"/>
  <c r="BQ109" i="6"/>
  <c r="BP109" i="6"/>
  <c r="BN109" i="6"/>
  <c r="BM109" i="6"/>
  <c r="BL109" i="6"/>
  <c r="BJ109" i="6"/>
  <c r="BI109" i="6"/>
  <c r="BH109" i="6"/>
  <c r="BF109" i="6"/>
  <c r="BE109" i="6"/>
  <c r="BD109" i="6"/>
  <c r="BB109" i="6"/>
  <c r="BA109" i="6"/>
  <c r="AZ109" i="6"/>
  <c r="AX109" i="6"/>
  <c r="AW109" i="6"/>
  <c r="AV109" i="6"/>
  <c r="AT109" i="6"/>
  <c r="AS109" i="6"/>
  <c r="AR109" i="6"/>
  <c r="AP109" i="6"/>
  <c r="AO109" i="6"/>
  <c r="AN109" i="6"/>
  <c r="AL109" i="6"/>
  <c r="AK109" i="6"/>
  <c r="AJ109" i="6"/>
  <c r="AH109" i="6"/>
  <c r="AG109" i="6"/>
  <c r="AF109" i="6"/>
  <c r="AD109" i="6"/>
  <c r="AC109" i="6"/>
  <c r="AB109" i="6"/>
  <c r="Z109" i="6"/>
  <c r="Y109" i="6"/>
  <c r="X109" i="6"/>
  <c r="V109" i="6"/>
  <c r="U109" i="6"/>
  <c r="T109" i="6"/>
  <c r="R109" i="6"/>
  <c r="Q109" i="6"/>
  <c r="P109" i="6"/>
  <c r="N109" i="6"/>
  <c r="M109" i="6"/>
  <c r="L109" i="6"/>
  <c r="J109" i="6"/>
  <c r="I109" i="6"/>
  <c r="H109" i="6"/>
  <c r="F109" i="6"/>
  <c r="E109" i="6"/>
  <c r="D109" i="6"/>
  <c r="CX108" i="6"/>
  <c r="CW108" i="6"/>
  <c r="CV108" i="6"/>
  <c r="CT108" i="6"/>
  <c r="CS108" i="6"/>
  <c r="CR108" i="6"/>
  <c r="CP108" i="6"/>
  <c r="CO108" i="6"/>
  <c r="CN108" i="6"/>
  <c r="CL108" i="6"/>
  <c r="CK108" i="6"/>
  <c r="CJ108" i="6"/>
  <c r="CH108" i="6"/>
  <c r="CG108" i="6"/>
  <c r="CF108" i="6"/>
  <c r="CD108" i="6"/>
  <c r="CC108" i="6"/>
  <c r="CB108" i="6"/>
  <c r="BZ108" i="6"/>
  <c r="BY108" i="6"/>
  <c r="BX108" i="6"/>
  <c r="BV108" i="6"/>
  <c r="BU108" i="6"/>
  <c r="BT108" i="6"/>
  <c r="BR108" i="6"/>
  <c r="BQ108" i="6"/>
  <c r="BP108" i="6"/>
  <c r="BN108" i="6"/>
  <c r="BM108" i="6"/>
  <c r="BL108" i="6"/>
  <c r="BJ108" i="6"/>
  <c r="BI108" i="6"/>
  <c r="BH108" i="6"/>
  <c r="BF108" i="6"/>
  <c r="BE108" i="6"/>
  <c r="BD108" i="6"/>
  <c r="BB108" i="6"/>
  <c r="BA108" i="6"/>
  <c r="AZ108" i="6"/>
  <c r="AX108" i="6"/>
  <c r="AW108" i="6"/>
  <c r="AV108" i="6"/>
  <c r="AT108" i="6"/>
  <c r="AS108" i="6"/>
  <c r="AR108" i="6"/>
  <c r="AP108" i="6"/>
  <c r="AO108" i="6"/>
  <c r="AN108" i="6"/>
  <c r="AL108" i="6"/>
  <c r="AK108" i="6"/>
  <c r="AJ108" i="6"/>
  <c r="AH108" i="6"/>
  <c r="AG108" i="6"/>
  <c r="AF108" i="6"/>
  <c r="AD108" i="6"/>
  <c r="AC108" i="6"/>
  <c r="AB108" i="6"/>
  <c r="Z108" i="6"/>
  <c r="Y108" i="6"/>
  <c r="X108" i="6"/>
  <c r="V108" i="6"/>
  <c r="U108" i="6"/>
  <c r="T108" i="6"/>
  <c r="R108" i="6"/>
  <c r="Q108" i="6"/>
  <c r="P108" i="6"/>
  <c r="N108" i="6"/>
  <c r="M108" i="6"/>
  <c r="L108" i="6"/>
  <c r="J108" i="6"/>
  <c r="I108" i="6"/>
  <c r="H108" i="6"/>
  <c r="F108" i="6"/>
  <c r="E108" i="6"/>
  <c r="D108" i="6"/>
  <c r="CX107" i="6"/>
  <c r="CW107" i="6"/>
  <c r="CV107" i="6"/>
  <c r="CT107" i="6"/>
  <c r="CS107" i="6"/>
  <c r="CR107" i="6"/>
  <c r="CP107" i="6"/>
  <c r="CO107" i="6"/>
  <c r="CN107" i="6"/>
  <c r="CL107" i="6"/>
  <c r="CK107" i="6"/>
  <c r="CJ107" i="6"/>
  <c r="CH107" i="6"/>
  <c r="CG107" i="6"/>
  <c r="CF107" i="6"/>
  <c r="CD107" i="6"/>
  <c r="CC107" i="6"/>
  <c r="CB107" i="6"/>
  <c r="BZ107" i="6"/>
  <c r="BY107" i="6"/>
  <c r="BX107" i="6"/>
  <c r="BV107" i="6"/>
  <c r="BU107" i="6"/>
  <c r="BT107" i="6"/>
  <c r="BR107" i="6"/>
  <c r="BQ107" i="6"/>
  <c r="BP107" i="6"/>
  <c r="BN107" i="6"/>
  <c r="BM107" i="6"/>
  <c r="BL107" i="6"/>
  <c r="BJ107" i="6"/>
  <c r="BI107" i="6"/>
  <c r="BH107" i="6"/>
  <c r="BF107" i="6"/>
  <c r="BE107" i="6"/>
  <c r="BD107" i="6"/>
  <c r="BB107" i="6"/>
  <c r="BA107" i="6"/>
  <c r="AZ107" i="6"/>
  <c r="AX107" i="6"/>
  <c r="AW107" i="6"/>
  <c r="AV107" i="6"/>
  <c r="AT107" i="6"/>
  <c r="AS107" i="6"/>
  <c r="AR107" i="6"/>
  <c r="AP107" i="6"/>
  <c r="AO107" i="6"/>
  <c r="AN107" i="6"/>
  <c r="AL107" i="6"/>
  <c r="AK107" i="6"/>
  <c r="AJ107" i="6"/>
  <c r="AH107" i="6"/>
  <c r="AG107" i="6"/>
  <c r="AF107" i="6"/>
  <c r="AD107" i="6"/>
  <c r="AC107" i="6"/>
  <c r="AB107" i="6"/>
  <c r="Z107" i="6"/>
  <c r="Y107" i="6"/>
  <c r="X107" i="6"/>
  <c r="V107" i="6"/>
  <c r="U107" i="6"/>
  <c r="T107" i="6"/>
  <c r="R107" i="6"/>
  <c r="Q107" i="6"/>
  <c r="P107" i="6"/>
  <c r="N107" i="6"/>
  <c r="M107" i="6"/>
  <c r="L107" i="6"/>
  <c r="J107" i="6"/>
  <c r="I107" i="6"/>
  <c r="H107" i="6"/>
  <c r="F107" i="6"/>
  <c r="E107" i="6"/>
  <c r="D107" i="6"/>
  <c r="CX106" i="6"/>
  <c r="CW106" i="6"/>
  <c r="CV106" i="6"/>
  <c r="CT106" i="6"/>
  <c r="CS106" i="6"/>
  <c r="CR106" i="6"/>
  <c r="CP106" i="6"/>
  <c r="CO106" i="6"/>
  <c r="CN106" i="6"/>
  <c r="CL106" i="6"/>
  <c r="CK106" i="6"/>
  <c r="CJ106" i="6"/>
  <c r="CH106" i="6"/>
  <c r="CG106" i="6"/>
  <c r="CF106" i="6"/>
  <c r="CD106" i="6"/>
  <c r="CC106" i="6"/>
  <c r="CB106" i="6"/>
  <c r="BZ106" i="6"/>
  <c r="BY106" i="6"/>
  <c r="BX106" i="6"/>
  <c r="BV106" i="6"/>
  <c r="BU106" i="6"/>
  <c r="BT106" i="6"/>
  <c r="BR106" i="6"/>
  <c r="BQ106" i="6"/>
  <c r="BP106" i="6"/>
  <c r="BN106" i="6"/>
  <c r="BM106" i="6"/>
  <c r="BL106" i="6"/>
  <c r="BJ106" i="6"/>
  <c r="BI106" i="6"/>
  <c r="BH106" i="6"/>
  <c r="BF106" i="6"/>
  <c r="BE106" i="6"/>
  <c r="BD106" i="6"/>
  <c r="BB106" i="6"/>
  <c r="BA106" i="6"/>
  <c r="AZ106" i="6"/>
  <c r="AX106" i="6"/>
  <c r="AW106" i="6"/>
  <c r="AV106" i="6"/>
  <c r="AT106" i="6"/>
  <c r="AS106" i="6"/>
  <c r="AR106" i="6"/>
  <c r="AP106" i="6"/>
  <c r="AO106" i="6"/>
  <c r="AN106" i="6"/>
  <c r="AL106" i="6"/>
  <c r="AK106" i="6"/>
  <c r="AJ106" i="6"/>
  <c r="AH106" i="6"/>
  <c r="AG106" i="6"/>
  <c r="AF106" i="6"/>
  <c r="AD106" i="6"/>
  <c r="AC106" i="6"/>
  <c r="AB106" i="6"/>
  <c r="Z106" i="6"/>
  <c r="Y106" i="6"/>
  <c r="X106" i="6"/>
  <c r="V106" i="6"/>
  <c r="U106" i="6"/>
  <c r="T106" i="6"/>
  <c r="R106" i="6"/>
  <c r="Q106" i="6"/>
  <c r="P106" i="6"/>
  <c r="N106" i="6"/>
  <c r="M106" i="6"/>
  <c r="L106" i="6"/>
  <c r="J106" i="6"/>
  <c r="I106" i="6"/>
  <c r="H106" i="6"/>
  <c r="F106" i="6"/>
  <c r="E106" i="6"/>
  <c r="D106" i="6"/>
  <c r="CX105" i="6"/>
  <c r="CW105" i="6"/>
  <c r="CV105" i="6"/>
  <c r="CT105" i="6"/>
  <c r="CS105" i="6"/>
  <c r="CR105" i="6"/>
  <c r="CP105" i="6"/>
  <c r="CO105" i="6"/>
  <c r="CN105" i="6"/>
  <c r="CL105" i="6"/>
  <c r="CK105" i="6"/>
  <c r="CJ105" i="6"/>
  <c r="CH105" i="6"/>
  <c r="CG105" i="6"/>
  <c r="CF105" i="6"/>
  <c r="CD105" i="6"/>
  <c r="CC105" i="6"/>
  <c r="CB105" i="6"/>
  <c r="BZ105" i="6"/>
  <c r="BY105" i="6"/>
  <c r="BX105" i="6"/>
  <c r="BV105" i="6"/>
  <c r="BU105" i="6"/>
  <c r="BT105" i="6"/>
  <c r="BR105" i="6"/>
  <c r="BQ105" i="6"/>
  <c r="BP105" i="6"/>
  <c r="BN105" i="6"/>
  <c r="BM105" i="6"/>
  <c r="BL105" i="6"/>
  <c r="BJ105" i="6"/>
  <c r="BI105" i="6"/>
  <c r="BH105" i="6"/>
  <c r="BF105" i="6"/>
  <c r="BE105" i="6"/>
  <c r="BD105" i="6"/>
  <c r="BB105" i="6"/>
  <c r="BA105" i="6"/>
  <c r="AZ105" i="6"/>
  <c r="AX105" i="6"/>
  <c r="AW105" i="6"/>
  <c r="AV105" i="6"/>
  <c r="AT105" i="6"/>
  <c r="AS105" i="6"/>
  <c r="AR105" i="6"/>
  <c r="AP105" i="6"/>
  <c r="AO105" i="6"/>
  <c r="AN105" i="6"/>
  <c r="AL105" i="6"/>
  <c r="AK105" i="6"/>
  <c r="AJ105" i="6"/>
  <c r="AH105" i="6"/>
  <c r="AG105" i="6"/>
  <c r="AF105" i="6"/>
  <c r="AD105" i="6"/>
  <c r="AC105" i="6"/>
  <c r="AB105" i="6"/>
  <c r="Z105" i="6"/>
  <c r="Y105" i="6"/>
  <c r="X105" i="6"/>
  <c r="V105" i="6"/>
  <c r="U105" i="6"/>
  <c r="T105" i="6"/>
  <c r="R105" i="6"/>
  <c r="Q105" i="6"/>
  <c r="P105" i="6"/>
  <c r="N105" i="6"/>
  <c r="M105" i="6"/>
  <c r="L105" i="6"/>
  <c r="J105" i="6"/>
  <c r="I105" i="6"/>
  <c r="H105" i="6"/>
  <c r="F105" i="6"/>
  <c r="E105" i="6"/>
  <c r="D105" i="6"/>
  <c r="CX104" i="6"/>
  <c r="CW104" i="6"/>
  <c r="CV104" i="6"/>
  <c r="CT104" i="6"/>
  <c r="CS104" i="6"/>
  <c r="CR104" i="6"/>
  <c r="CP104" i="6"/>
  <c r="CO104" i="6"/>
  <c r="CN104" i="6"/>
  <c r="CL104" i="6"/>
  <c r="CK104" i="6"/>
  <c r="CJ104" i="6"/>
  <c r="CH104" i="6"/>
  <c r="CG104" i="6"/>
  <c r="CF104" i="6"/>
  <c r="CD104" i="6"/>
  <c r="CC104" i="6"/>
  <c r="CB104" i="6"/>
  <c r="BZ104" i="6"/>
  <c r="BY104" i="6"/>
  <c r="BX104" i="6"/>
  <c r="BV104" i="6"/>
  <c r="BU104" i="6"/>
  <c r="BT104" i="6"/>
  <c r="BR104" i="6"/>
  <c r="BQ104" i="6"/>
  <c r="BP104" i="6"/>
  <c r="BN104" i="6"/>
  <c r="BM104" i="6"/>
  <c r="BL104" i="6"/>
  <c r="BJ104" i="6"/>
  <c r="BI104" i="6"/>
  <c r="BH104" i="6"/>
  <c r="BF104" i="6"/>
  <c r="BE104" i="6"/>
  <c r="BD104" i="6"/>
  <c r="BB104" i="6"/>
  <c r="BA104" i="6"/>
  <c r="AZ104" i="6"/>
  <c r="AX104" i="6"/>
  <c r="AW104" i="6"/>
  <c r="AV104" i="6"/>
  <c r="AT104" i="6"/>
  <c r="AS104" i="6"/>
  <c r="AR104" i="6"/>
  <c r="AP104" i="6"/>
  <c r="AO104" i="6"/>
  <c r="AN104" i="6"/>
  <c r="AL104" i="6"/>
  <c r="AK104" i="6"/>
  <c r="AJ104" i="6"/>
  <c r="AH104" i="6"/>
  <c r="AG104" i="6"/>
  <c r="AF104" i="6"/>
  <c r="AD104" i="6"/>
  <c r="AC104" i="6"/>
  <c r="AB104" i="6"/>
  <c r="Z104" i="6"/>
  <c r="Y104" i="6"/>
  <c r="X104" i="6"/>
  <c r="V104" i="6"/>
  <c r="U104" i="6"/>
  <c r="T104" i="6"/>
  <c r="R104" i="6"/>
  <c r="Q104" i="6"/>
  <c r="P104" i="6"/>
  <c r="N104" i="6"/>
  <c r="M104" i="6"/>
  <c r="L104" i="6"/>
  <c r="J104" i="6"/>
  <c r="I104" i="6"/>
  <c r="H104" i="6"/>
  <c r="F104" i="6"/>
  <c r="E104" i="6"/>
  <c r="D104" i="6"/>
  <c r="CX103" i="6"/>
  <c r="CW103" i="6"/>
  <c r="CV103" i="6"/>
  <c r="CT103" i="6"/>
  <c r="CS103" i="6"/>
  <c r="CR103" i="6"/>
  <c r="CP103" i="6"/>
  <c r="CO103" i="6"/>
  <c r="CN103" i="6"/>
  <c r="CL103" i="6"/>
  <c r="CK103" i="6"/>
  <c r="CJ103" i="6"/>
  <c r="CH103" i="6"/>
  <c r="CG103" i="6"/>
  <c r="CF103" i="6"/>
  <c r="CD103" i="6"/>
  <c r="CC103" i="6"/>
  <c r="CB103" i="6"/>
  <c r="BZ103" i="6"/>
  <c r="BY103" i="6"/>
  <c r="BX103" i="6"/>
  <c r="BV103" i="6"/>
  <c r="BU103" i="6"/>
  <c r="BT103" i="6"/>
  <c r="BR103" i="6"/>
  <c r="BQ103" i="6"/>
  <c r="BP103" i="6"/>
  <c r="BN103" i="6"/>
  <c r="BM103" i="6"/>
  <c r="BL103" i="6"/>
  <c r="BJ103" i="6"/>
  <c r="BI103" i="6"/>
  <c r="BH103" i="6"/>
  <c r="BF103" i="6"/>
  <c r="BE103" i="6"/>
  <c r="BD103" i="6"/>
  <c r="BB103" i="6"/>
  <c r="BA103" i="6"/>
  <c r="AZ103" i="6"/>
  <c r="AX103" i="6"/>
  <c r="AW103" i="6"/>
  <c r="AV103" i="6"/>
  <c r="AT103" i="6"/>
  <c r="AS103" i="6"/>
  <c r="AR103" i="6"/>
  <c r="AP103" i="6"/>
  <c r="AO103" i="6"/>
  <c r="AN103" i="6"/>
  <c r="AL103" i="6"/>
  <c r="AK103" i="6"/>
  <c r="AJ103" i="6"/>
  <c r="AH103" i="6"/>
  <c r="AG103" i="6"/>
  <c r="AF103" i="6"/>
  <c r="AD103" i="6"/>
  <c r="AC103" i="6"/>
  <c r="AB103" i="6"/>
  <c r="Z103" i="6"/>
  <c r="Y103" i="6"/>
  <c r="X103" i="6"/>
  <c r="V103" i="6"/>
  <c r="U103" i="6"/>
  <c r="T103" i="6"/>
  <c r="R103" i="6"/>
  <c r="Q103" i="6"/>
  <c r="P103" i="6"/>
  <c r="N103" i="6"/>
  <c r="M103" i="6"/>
  <c r="L103" i="6"/>
  <c r="J103" i="6"/>
  <c r="I103" i="6"/>
  <c r="H103" i="6"/>
  <c r="F103" i="6"/>
  <c r="E103" i="6"/>
  <c r="D103" i="6"/>
  <c r="CX102" i="6"/>
  <c r="CW102" i="6"/>
  <c r="CV102" i="6"/>
  <c r="CT102" i="6"/>
  <c r="CS102" i="6"/>
  <c r="CR102" i="6"/>
  <c r="CP102" i="6"/>
  <c r="CO102" i="6"/>
  <c r="CN102" i="6"/>
  <c r="CL102" i="6"/>
  <c r="CK102" i="6"/>
  <c r="CJ102" i="6"/>
  <c r="CH102" i="6"/>
  <c r="CG102" i="6"/>
  <c r="CF102" i="6"/>
  <c r="CD102" i="6"/>
  <c r="CC102" i="6"/>
  <c r="CB102" i="6"/>
  <c r="BZ102" i="6"/>
  <c r="BY102" i="6"/>
  <c r="BX102" i="6"/>
  <c r="BV102" i="6"/>
  <c r="BU102" i="6"/>
  <c r="BT102" i="6"/>
  <c r="BR102" i="6"/>
  <c r="BQ102" i="6"/>
  <c r="BP102" i="6"/>
  <c r="BN102" i="6"/>
  <c r="BM102" i="6"/>
  <c r="BL102" i="6"/>
  <c r="BJ102" i="6"/>
  <c r="BI102" i="6"/>
  <c r="BH102" i="6"/>
  <c r="BF102" i="6"/>
  <c r="BE102" i="6"/>
  <c r="BD102" i="6"/>
  <c r="BB102" i="6"/>
  <c r="BA102" i="6"/>
  <c r="AZ102" i="6"/>
  <c r="AX102" i="6"/>
  <c r="AW102" i="6"/>
  <c r="AV102" i="6"/>
  <c r="AT102" i="6"/>
  <c r="AS102" i="6"/>
  <c r="AR102" i="6"/>
  <c r="AP102" i="6"/>
  <c r="AO102" i="6"/>
  <c r="AN102" i="6"/>
  <c r="AL102" i="6"/>
  <c r="AK102" i="6"/>
  <c r="AJ102" i="6"/>
  <c r="AH102" i="6"/>
  <c r="AG102" i="6"/>
  <c r="AF102" i="6"/>
  <c r="AD102" i="6"/>
  <c r="AC102" i="6"/>
  <c r="AB102" i="6"/>
  <c r="Z102" i="6"/>
  <c r="Y102" i="6"/>
  <c r="X102" i="6"/>
  <c r="V102" i="6"/>
  <c r="U102" i="6"/>
  <c r="T102" i="6"/>
  <c r="R102" i="6"/>
  <c r="Q102" i="6"/>
  <c r="P102" i="6"/>
  <c r="N102" i="6"/>
  <c r="M102" i="6"/>
  <c r="L102" i="6"/>
  <c r="J102" i="6"/>
  <c r="I102" i="6"/>
  <c r="H102" i="6"/>
  <c r="F102" i="6"/>
  <c r="E102" i="6"/>
  <c r="D102" i="6"/>
  <c r="CX101" i="6"/>
  <c r="CW101" i="6"/>
  <c r="CV101" i="6"/>
  <c r="CT101" i="6"/>
  <c r="CS101" i="6"/>
  <c r="CR101" i="6"/>
  <c r="CP101" i="6"/>
  <c r="CO101" i="6"/>
  <c r="CN101" i="6"/>
  <c r="CL101" i="6"/>
  <c r="CK101" i="6"/>
  <c r="CJ101" i="6"/>
  <c r="CH101" i="6"/>
  <c r="CG101" i="6"/>
  <c r="CF101" i="6"/>
  <c r="CD101" i="6"/>
  <c r="CC101" i="6"/>
  <c r="CB101" i="6"/>
  <c r="BZ101" i="6"/>
  <c r="BY101" i="6"/>
  <c r="BX101" i="6"/>
  <c r="BV101" i="6"/>
  <c r="BU101" i="6"/>
  <c r="BT101" i="6"/>
  <c r="BR101" i="6"/>
  <c r="BQ101" i="6"/>
  <c r="BP101" i="6"/>
  <c r="BN101" i="6"/>
  <c r="BM101" i="6"/>
  <c r="BL101" i="6"/>
  <c r="BJ101" i="6"/>
  <c r="BI101" i="6"/>
  <c r="BH101" i="6"/>
  <c r="BF101" i="6"/>
  <c r="BE101" i="6"/>
  <c r="BD101" i="6"/>
  <c r="BB101" i="6"/>
  <c r="BA101" i="6"/>
  <c r="AZ101" i="6"/>
  <c r="AX101" i="6"/>
  <c r="AW101" i="6"/>
  <c r="AV101" i="6"/>
  <c r="AT101" i="6"/>
  <c r="AS101" i="6"/>
  <c r="AR101" i="6"/>
  <c r="AP101" i="6"/>
  <c r="AO101" i="6"/>
  <c r="AN101" i="6"/>
  <c r="AL101" i="6"/>
  <c r="AK101" i="6"/>
  <c r="AJ101" i="6"/>
  <c r="AH101" i="6"/>
  <c r="AG101" i="6"/>
  <c r="AF101" i="6"/>
  <c r="AD101" i="6"/>
  <c r="AC101" i="6"/>
  <c r="AB101" i="6"/>
  <c r="Z101" i="6"/>
  <c r="Y101" i="6"/>
  <c r="X101" i="6"/>
  <c r="V101" i="6"/>
  <c r="U101" i="6"/>
  <c r="T101" i="6"/>
  <c r="R101" i="6"/>
  <c r="Q101" i="6"/>
  <c r="P101" i="6"/>
  <c r="N101" i="6"/>
  <c r="M101" i="6"/>
  <c r="L101" i="6"/>
  <c r="J101" i="6"/>
  <c r="I101" i="6"/>
  <c r="H101" i="6"/>
  <c r="F101" i="6"/>
  <c r="E101" i="6"/>
  <c r="D101" i="6"/>
  <c r="CX100" i="6"/>
  <c r="CW100" i="6"/>
  <c r="CV100" i="6"/>
  <c r="CT100" i="6"/>
  <c r="CS100" i="6"/>
  <c r="CR100" i="6"/>
  <c r="CP100" i="6"/>
  <c r="CO100" i="6"/>
  <c r="CN100" i="6"/>
  <c r="CL100" i="6"/>
  <c r="CK100" i="6"/>
  <c r="CJ100" i="6"/>
  <c r="CH100" i="6"/>
  <c r="CG100" i="6"/>
  <c r="CF100" i="6"/>
  <c r="CD100" i="6"/>
  <c r="CC100" i="6"/>
  <c r="CB100" i="6"/>
  <c r="BZ100" i="6"/>
  <c r="BY100" i="6"/>
  <c r="BX100" i="6"/>
  <c r="BV100" i="6"/>
  <c r="BU100" i="6"/>
  <c r="BT100" i="6"/>
  <c r="BR100" i="6"/>
  <c r="BQ100" i="6"/>
  <c r="BP100" i="6"/>
  <c r="BN100" i="6"/>
  <c r="BM100" i="6"/>
  <c r="BL100" i="6"/>
  <c r="BJ100" i="6"/>
  <c r="BI100" i="6"/>
  <c r="BH100" i="6"/>
  <c r="BF100" i="6"/>
  <c r="BE100" i="6"/>
  <c r="BD100" i="6"/>
  <c r="BB100" i="6"/>
  <c r="BA100" i="6"/>
  <c r="AZ100" i="6"/>
  <c r="AX100" i="6"/>
  <c r="AW100" i="6"/>
  <c r="AV100" i="6"/>
  <c r="AT100" i="6"/>
  <c r="AS100" i="6"/>
  <c r="AR100" i="6"/>
  <c r="AP100" i="6"/>
  <c r="AO100" i="6"/>
  <c r="AN100" i="6"/>
  <c r="AL100" i="6"/>
  <c r="AK100" i="6"/>
  <c r="AJ100" i="6"/>
  <c r="AH100" i="6"/>
  <c r="AG100" i="6"/>
  <c r="AF100" i="6"/>
  <c r="AD100" i="6"/>
  <c r="AC100" i="6"/>
  <c r="AB100" i="6"/>
  <c r="Z100" i="6"/>
  <c r="Y100" i="6"/>
  <c r="X100" i="6"/>
  <c r="V100" i="6"/>
  <c r="U100" i="6"/>
  <c r="T100" i="6"/>
  <c r="R100" i="6"/>
  <c r="Q100" i="6"/>
  <c r="P100" i="6"/>
  <c r="N100" i="6"/>
  <c r="M100" i="6"/>
  <c r="L100" i="6"/>
  <c r="J100" i="6"/>
  <c r="I100" i="6"/>
  <c r="H100" i="6"/>
  <c r="F100" i="6"/>
  <c r="E100" i="6"/>
  <c r="D100" i="6"/>
  <c r="CX99" i="6"/>
  <c r="CW99" i="6"/>
  <c r="CV99" i="6"/>
  <c r="CT99" i="6"/>
  <c r="CS99" i="6"/>
  <c r="CR99" i="6"/>
  <c r="CP99" i="6"/>
  <c r="CO99" i="6"/>
  <c r="CN99" i="6"/>
  <c r="CL99" i="6"/>
  <c r="CK99" i="6"/>
  <c r="CJ99" i="6"/>
  <c r="CH99" i="6"/>
  <c r="CG99" i="6"/>
  <c r="CF99" i="6"/>
  <c r="CD99" i="6"/>
  <c r="CC99" i="6"/>
  <c r="CB99" i="6"/>
  <c r="BZ99" i="6"/>
  <c r="BY99" i="6"/>
  <c r="BX99" i="6"/>
  <c r="BV99" i="6"/>
  <c r="BU99" i="6"/>
  <c r="BT99" i="6"/>
  <c r="BR99" i="6"/>
  <c r="BQ99" i="6"/>
  <c r="BP99" i="6"/>
  <c r="BN99" i="6"/>
  <c r="BM99" i="6"/>
  <c r="BL99" i="6"/>
  <c r="BJ99" i="6"/>
  <c r="BI99" i="6"/>
  <c r="BH99" i="6"/>
  <c r="BF99" i="6"/>
  <c r="BE99" i="6"/>
  <c r="BD99" i="6"/>
  <c r="BB99" i="6"/>
  <c r="BA99" i="6"/>
  <c r="AZ99" i="6"/>
  <c r="AX99" i="6"/>
  <c r="AW99" i="6"/>
  <c r="AV99" i="6"/>
  <c r="AT99" i="6"/>
  <c r="AS99" i="6"/>
  <c r="AR99" i="6"/>
  <c r="AP99" i="6"/>
  <c r="AO99" i="6"/>
  <c r="AN99" i="6"/>
  <c r="AL99" i="6"/>
  <c r="AK99" i="6"/>
  <c r="AJ99" i="6"/>
  <c r="AH99" i="6"/>
  <c r="AG99" i="6"/>
  <c r="AF99" i="6"/>
  <c r="AD99" i="6"/>
  <c r="AC99" i="6"/>
  <c r="AB99" i="6"/>
  <c r="Z99" i="6"/>
  <c r="Y99" i="6"/>
  <c r="X99" i="6"/>
  <c r="V99" i="6"/>
  <c r="U99" i="6"/>
  <c r="T99" i="6"/>
  <c r="R99" i="6"/>
  <c r="Q99" i="6"/>
  <c r="P99" i="6"/>
  <c r="N99" i="6"/>
  <c r="M99" i="6"/>
  <c r="L99" i="6"/>
  <c r="J99" i="6"/>
  <c r="I99" i="6"/>
  <c r="H99" i="6"/>
  <c r="F99" i="6"/>
  <c r="E99" i="6"/>
  <c r="D99" i="6"/>
  <c r="CX98" i="6"/>
  <c r="CW98" i="6"/>
  <c r="CV98" i="6"/>
  <c r="CT98" i="6"/>
  <c r="CS98" i="6"/>
  <c r="CR98" i="6"/>
  <c r="CP98" i="6"/>
  <c r="CO98" i="6"/>
  <c r="CN98" i="6"/>
  <c r="CL98" i="6"/>
  <c r="CK98" i="6"/>
  <c r="CJ98" i="6"/>
  <c r="CH98" i="6"/>
  <c r="CG98" i="6"/>
  <c r="CF98" i="6"/>
  <c r="CD98" i="6"/>
  <c r="CC98" i="6"/>
  <c r="CB98" i="6"/>
  <c r="BZ98" i="6"/>
  <c r="BY98" i="6"/>
  <c r="BX98" i="6"/>
  <c r="BV98" i="6"/>
  <c r="BU98" i="6"/>
  <c r="BT98" i="6"/>
  <c r="BR98" i="6"/>
  <c r="BQ98" i="6"/>
  <c r="BP98" i="6"/>
  <c r="BN98" i="6"/>
  <c r="BM98" i="6"/>
  <c r="BL98" i="6"/>
  <c r="BJ98" i="6"/>
  <c r="BI98" i="6"/>
  <c r="BH98" i="6"/>
  <c r="BF98" i="6"/>
  <c r="BE98" i="6"/>
  <c r="BD98" i="6"/>
  <c r="BB98" i="6"/>
  <c r="BA98" i="6"/>
  <c r="AZ98" i="6"/>
  <c r="AX98" i="6"/>
  <c r="AW98" i="6"/>
  <c r="AV98" i="6"/>
  <c r="AT98" i="6"/>
  <c r="AS98" i="6"/>
  <c r="AR98" i="6"/>
  <c r="AP98" i="6"/>
  <c r="AO98" i="6"/>
  <c r="AN98" i="6"/>
  <c r="AL98" i="6"/>
  <c r="AK98" i="6"/>
  <c r="AJ98" i="6"/>
  <c r="AH98" i="6"/>
  <c r="AG98" i="6"/>
  <c r="AF98" i="6"/>
  <c r="AD98" i="6"/>
  <c r="AC98" i="6"/>
  <c r="AB98" i="6"/>
  <c r="Z98" i="6"/>
  <c r="Y98" i="6"/>
  <c r="X98" i="6"/>
  <c r="V98" i="6"/>
  <c r="U98" i="6"/>
  <c r="T98" i="6"/>
  <c r="R98" i="6"/>
  <c r="Q98" i="6"/>
  <c r="P98" i="6"/>
  <c r="N98" i="6"/>
  <c r="M98" i="6"/>
  <c r="L98" i="6"/>
  <c r="J98" i="6"/>
  <c r="I98" i="6"/>
  <c r="H98" i="6"/>
  <c r="F98" i="6"/>
  <c r="E98" i="6"/>
  <c r="D98" i="6"/>
  <c r="CX97" i="6"/>
  <c r="CW97" i="6"/>
  <c r="CV97" i="6"/>
  <c r="CT97" i="6"/>
  <c r="CS97" i="6"/>
  <c r="CR97" i="6"/>
  <c r="CP97" i="6"/>
  <c r="CO97" i="6"/>
  <c r="CN97" i="6"/>
  <c r="CL97" i="6"/>
  <c r="CK97" i="6"/>
  <c r="CJ97" i="6"/>
  <c r="CH97" i="6"/>
  <c r="CG97" i="6"/>
  <c r="CF97" i="6"/>
  <c r="CD97" i="6"/>
  <c r="CC97" i="6"/>
  <c r="CB97" i="6"/>
  <c r="BZ97" i="6"/>
  <c r="BY97" i="6"/>
  <c r="BX97" i="6"/>
  <c r="BV97" i="6"/>
  <c r="BU97" i="6"/>
  <c r="BT97" i="6"/>
  <c r="BR97" i="6"/>
  <c r="BQ97" i="6"/>
  <c r="BP97" i="6"/>
  <c r="BN97" i="6"/>
  <c r="BM97" i="6"/>
  <c r="BL97" i="6"/>
  <c r="BJ97" i="6"/>
  <c r="BI97" i="6"/>
  <c r="BH97" i="6"/>
  <c r="BF97" i="6"/>
  <c r="BE97" i="6"/>
  <c r="BD97" i="6"/>
  <c r="BB97" i="6"/>
  <c r="BA97" i="6"/>
  <c r="AZ97" i="6"/>
  <c r="AX97" i="6"/>
  <c r="AW97" i="6"/>
  <c r="AV97" i="6"/>
  <c r="AT97" i="6"/>
  <c r="AS97" i="6"/>
  <c r="AR97" i="6"/>
  <c r="AP97" i="6"/>
  <c r="AO97" i="6"/>
  <c r="AN97" i="6"/>
  <c r="AL97" i="6"/>
  <c r="AK97" i="6"/>
  <c r="AJ97" i="6"/>
  <c r="AH97" i="6"/>
  <c r="AG97" i="6"/>
  <c r="AF97" i="6"/>
  <c r="AD97" i="6"/>
  <c r="AC97" i="6"/>
  <c r="AB97" i="6"/>
  <c r="Z97" i="6"/>
  <c r="Y97" i="6"/>
  <c r="X97" i="6"/>
  <c r="V97" i="6"/>
  <c r="U97" i="6"/>
  <c r="T97" i="6"/>
  <c r="R97" i="6"/>
  <c r="Q97" i="6"/>
  <c r="P97" i="6"/>
  <c r="N97" i="6"/>
  <c r="M97" i="6"/>
  <c r="L97" i="6"/>
  <c r="J97" i="6"/>
  <c r="I97" i="6"/>
  <c r="H97" i="6"/>
  <c r="F97" i="6"/>
  <c r="E97" i="6"/>
  <c r="D97" i="6"/>
  <c r="CX96" i="6"/>
  <c r="CW96" i="6"/>
  <c r="CV96" i="6"/>
  <c r="CT96" i="6"/>
  <c r="CS96" i="6"/>
  <c r="CR96" i="6"/>
  <c r="CP96" i="6"/>
  <c r="CO96" i="6"/>
  <c r="CN96" i="6"/>
  <c r="CL96" i="6"/>
  <c r="CK96" i="6"/>
  <c r="CJ96" i="6"/>
  <c r="CH96" i="6"/>
  <c r="CG96" i="6"/>
  <c r="CF96" i="6"/>
  <c r="CD96" i="6"/>
  <c r="CC96" i="6"/>
  <c r="CB96" i="6"/>
  <c r="BZ96" i="6"/>
  <c r="BY96" i="6"/>
  <c r="BX96" i="6"/>
  <c r="BV96" i="6"/>
  <c r="BU96" i="6"/>
  <c r="BT96" i="6"/>
  <c r="BR96" i="6"/>
  <c r="BQ96" i="6"/>
  <c r="BP96" i="6"/>
  <c r="BN96" i="6"/>
  <c r="BM96" i="6"/>
  <c r="BL96" i="6"/>
  <c r="BJ96" i="6"/>
  <c r="BI96" i="6"/>
  <c r="BH96" i="6"/>
  <c r="BF96" i="6"/>
  <c r="BE96" i="6"/>
  <c r="BD96" i="6"/>
  <c r="BB96" i="6"/>
  <c r="BA96" i="6"/>
  <c r="AZ96" i="6"/>
  <c r="AX96" i="6"/>
  <c r="AW96" i="6"/>
  <c r="AV96" i="6"/>
  <c r="AT96" i="6"/>
  <c r="AS96" i="6"/>
  <c r="AR96" i="6"/>
  <c r="AP96" i="6"/>
  <c r="AO96" i="6"/>
  <c r="AN96" i="6"/>
  <c r="AL96" i="6"/>
  <c r="AK96" i="6"/>
  <c r="AJ96" i="6"/>
  <c r="AH96" i="6"/>
  <c r="AG96" i="6"/>
  <c r="AF96" i="6"/>
  <c r="AD96" i="6"/>
  <c r="AC96" i="6"/>
  <c r="AB96" i="6"/>
  <c r="Z96" i="6"/>
  <c r="Y96" i="6"/>
  <c r="X96" i="6"/>
  <c r="V96" i="6"/>
  <c r="U96" i="6"/>
  <c r="T96" i="6"/>
  <c r="R96" i="6"/>
  <c r="Q96" i="6"/>
  <c r="P96" i="6"/>
  <c r="N96" i="6"/>
  <c r="M96" i="6"/>
  <c r="L96" i="6"/>
  <c r="J96" i="6"/>
  <c r="I96" i="6"/>
  <c r="H96" i="6"/>
  <c r="F96" i="6"/>
  <c r="E96" i="6"/>
  <c r="D96" i="6"/>
  <c r="CX95" i="6"/>
  <c r="CW95" i="6"/>
  <c r="CV95" i="6"/>
  <c r="CT95" i="6"/>
  <c r="CS95" i="6"/>
  <c r="CR95" i="6"/>
  <c r="CP95" i="6"/>
  <c r="CO95" i="6"/>
  <c r="CN95" i="6"/>
  <c r="CL95" i="6"/>
  <c r="CK95" i="6"/>
  <c r="CJ95" i="6"/>
  <c r="CH95" i="6"/>
  <c r="CG95" i="6"/>
  <c r="CF95" i="6"/>
  <c r="CD95" i="6"/>
  <c r="CC95" i="6"/>
  <c r="CB95" i="6"/>
  <c r="BZ95" i="6"/>
  <c r="BY95" i="6"/>
  <c r="BX95" i="6"/>
  <c r="BV95" i="6"/>
  <c r="BU95" i="6"/>
  <c r="BT95" i="6"/>
  <c r="BR95" i="6"/>
  <c r="BQ95" i="6"/>
  <c r="BP95" i="6"/>
  <c r="BN95" i="6"/>
  <c r="BM95" i="6"/>
  <c r="BL95" i="6"/>
  <c r="BJ95" i="6"/>
  <c r="BI95" i="6"/>
  <c r="BH95" i="6"/>
  <c r="BF95" i="6"/>
  <c r="BE95" i="6"/>
  <c r="BD95" i="6"/>
  <c r="BB95" i="6"/>
  <c r="BA95" i="6"/>
  <c r="AZ95" i="6"/>
  <c r="AX95" i="6"/>
  <c r="AW95" i="6"/>
  <c r="AV95" i="6"/>
  <c r="AT95" i="6"/>
  <c r="AS95" i="6"/>
  <c r="AR95" i="6"/>
  <c r="AP95" i="6"/>
  <c r="AO95" i="6"/>
  <c r="AN95" i="6"/>
  <c r="AL95" i="6"/>
  <c r="AK95" i="6"/>
  <c r="AJ95" i="6"/>
  <c r="AH95" i="6"/>
  <c r="AG95" i="6"/>
  <c r="AF95" i="6"/>
  <c r="AD95" i="6"/>
  <c r="AC95" i="6"/>
  <c r="AB95" i="6"/>
  <c r="Z95" i="6"/>
  <c r="Y95" i="6"/>
  <c r="X95" i="6"/>
  <c r="V95" i="6"/>
  <c r="U95" i="6"/>
  <c r="T95" i="6"/>
  <c r="R95" i="6"/>
  <c r="Q95" i="6"/>
  <c r="P95" i="6"/>
  <c r="N95" i="6"/>
  <c r="M95" i="6"/>
  <c r="L95" i="6"/>
  <c r="J95" i="6"/>
  <c r="I95" i="6"/>
  <c r="H95" i="6"/>
  <c r="F95" i="6"/>
  <c r="E95" i="6"/>
  <c r="D95" i="6"/>
  <c r="CX94" i="6"/>
  <c r="CW94" i="6"/>
  <c r="CV94" i="6"/>
  <c r="CT94" i="6"/>
  <c r="CS94" i="6"/>
  <c r="CR94" i="6"/>
  <c r="CP94" i="6"/>
  <c r="CO94" i="6"/>
  <c r="CN94" i="6"/>
  <c r="CL94" i="6"/>
  <c r="CK94" i="6"/>
  <c r="CJ94" i="6"/>
  <c r="CH94" i="6"/>
  <c r="CG94" i="6"/>
  <c r="CF94" i="6"/>
  <c r="CD94" i="6"/>
  <c r="CC94" i="6"/>
  <c r="CB94" i="6"/>
  <c r="BZ94" i="6"/>
  <c r="BY94" i="6"/>
  <c r="BX94" i="6"/>
  <c r="BV94" i="6"/>
  <c r="BU94" i="6"/>
  <c r="BT94" i="6"/>
  <c r="BR94" i="6"/>
  <c r="BQ94" i="6"/>
  <c r="BP94" i="6"/>
  <c r="BN94" i="6"/>
  <c r="BM94" i="6"/>
  <c r="BL94" i="6"/>
  <c r="BJ94" i="6"/>
  <c r="BI94" i="6"/>
  <c r="BH94" i="6"/>
  <c r="BF94" i="6"/>
  <c r="BE94" i="6"/>
  <c r="BD94" i="6"/>
  <c r="BB94" i="6"/>
  <c r="BA94" i="6"/>
  <c r="AZ94" i="6"/>
  <c r="AX94" i="6"/>
  <c r="AW94" i="6"/>
  <c r="AV94" i="6"/>
  <c r="AT94" i="6"/>
  <c r="AS94" i="6"/>
  <c r="AR94" i="6"/>
  <c r="AP94" i="6"/>
  <c r="AO94" i="6"/>
  <c r="AN94" i="6"/>
  <c r="AL94" i="6"/>
  <c r="AK94" i="6"/>
  <c r="AJ94" i="6"/>
  <c r="AH94" i="6"/>
  <c r="AG94" i="6"/>
  <c r="AF94" i="6"/>
  <c r="AD94" i="6"/>
  <c r="AC94" i="6"/>
  <c r="AB94" i="6"/>
  <c r="Z94" i="6"/>
  <c r="Y94" i="6"/>
  <c r="X94" i="6"/>
  <c r="V94" i="6"/>
  <c r="U94" i="6"/>
  <c r="T94" i="6"/>
  <c r="R94" i="6"/>
  <c r="Q94" i="6"/>
  <c r="P94" i="6"/>
  <c r="N94" i="6"/>
  <c r="M94" i="6"/>
  <c r="L94" i="6"/>
  <c r="J94" i="6"/>
  <c r="I94" i="6"/>
  <c r="H94" i="6"/>
  <c r="F94" i="6"/>
  <c r="E94" i="6"/>
  <c r="D94" i="6"/>
  <c r="CX93" i="6"/>
  <c r="CW93" i="6"/>
  <c r="CV93" i="6"/>
  <c r="CT93" i="6"/>
  <c r="CS93" i="6"/>
  <c r="CR93" i="6"/>
  <c r="CP93" i="6"/>
  <c r="CO93" i="6"/>
  <c r="CN93" i="6"/>
  <c r="CL93" i="6"/>
  <c r="CK93" i="6"/>
  <c r="CJ93" i="6"/>
  <c r="CH93" i="6"/>
  <c r="CG93" i="6"/>
  <c r="CF93" i="6"/>
  <c r="CD93" i="6"/>
  <c r="CC93" i="6"/>
  <c r="CB93" i="6"/>
  <c r="BZ93" i="6"/>
  <c r="BY93" i="6"/>
  <c r="BX93" i="6"/>
  <c r="BV93" i="6"/>
  <c r="BU93" i="6"/>
  <c r="BT93" i="6"/>
  <c r="BR93" i="6"/>
  <c r="BQ93" i="6"/>
  <c r="BP93" i="6"/>
  <c r="BN93" i="6"/>
  <c r="BM93" i="6"/>
  <c r="BL93" i="6"/>
  <c r="BJ93" i="6"/>
  <c r="BI93" i="6"/>
  <c r="BH93" i="6"/>
  <c r="BF93" i="6"/>
  <c r="BE93" i="6"/>
  <c r="BD93" i="6"/>
  <c r="BB93" i="6"/>
  <c r="BA93" i="6"/>
  <c r="AZ93" i="6"/>
  <c r="AX93" i="6"/>
  <c r="AW93" i="6"/>
  <c r="AV93" i="6"/>
  <c r="AT93" i="6"/>
  <c r="AS93" i="6"/>
  <c r="AR93" i="6"/>
  <c r="AP93" i="6"/>
  <c r="AO93" i="6"/>
  <c r="AN93" i="6"/>
  <c r="AL93" i="6"/>
  <c r="AK93" i="6"/>
  <c r="AJ93" i="6"/>
  <c r="AH93" i="6"/>
  <c r="AG93" i="6"/>
  <c r="AF93" i="6"/>
  <c r="AD93" i="6"/>
  <c r="AC93" i="6"/>
  <c r="AB93" i="6"/>
  <c r="Z93" i="6"/>
  <c r="Y93" i="6"/>
  <c r="X93" i="6"/>
  <c r="V93" i="6"/>
  <c r="U93" i="6"/>
  <c r="T93" i="6"/>
  <c r="R93" i="6"/>
  <c r="Q93" i="6"/>
  <c r="P93" i="6"/>
  <c r="N93" i="6"/>
  <c r="M93" i="6"/>
  <c r="L93" i="6"/>
  <c r="J93" i="6"/>
  <c r="I93" i="6"/>
  <c r="H93" i="6"/>
  <c r="F93" i="6"/>
  <c r="E93" i="6"/>
  <c r="D93" i="6"/>
  <c r="CX92" i="6"/>
  <c r="CW92" i="6"/>
  <c r="CV92" i="6"/>
  <c r="CT92" i="6"/>
  <c r="CS92" i="6"/>
  <c r="CR92" i="6"/>
  <c r="CP92" i="6"/>
  <c r="CO92" i="6"/>
  <c r="CN92" i="6"/>
  <c r="CL92" i="6"/>
  <c r="CK92" i="6"/>
  <c r="CJ92" i="6"/>
  <c r="CH92" i="6"/>
  <c r="CG92" i="6"/>
  <c r="CF92" i="6"/>
  <c r="CD92" i="6"/>
  <c r="CC92" i="6"/>
  <c r="CB92" i="6"/>
  <c r="BZ92" i="6"/>
  <c r="BY92" i="6"/>
  <c r="BX92" i="6"/>
  <c r="BV92" i="6"/>
  <c r="BU92" i="6"/>
  <c r="BT92" i="6"/>
  <c r="BR92" i="6"/>
  <c r="BQ92" i="6"/>
  <c r="BP92" i="6"/>
  <c r="BN92" i="6"/>
  <c r="BM92" i="6"/>
  <c r="BL92" i="6"/>
  <c r="BJ92" i="6"/>
  <c r="BI92" i="6"/>
  <c r="BH92" i="6"/>
  <c r="BF92" i="6"/>
  <c r="BE92" i="6"/>
  <c r="BD92" i="6"/>
  <c r="BB92" i="6"/>
  <c r="BA92" i="6"/>
  <c r="AZ92" i="6"/>
  <c r="AX92" i="6"/>
  <c r="AW92" i="6"/>
  <c r="AV92" i="6"/>
  <c r="AT92" i="6"/>
  <c r="AS92" i="6"/>
  <c r="AR92" i="6"/>
  <c r="AP92" i="6"/>
  <c r="AO92" i="6"/>
  <c r="AN92" i="6"/>
  <c r="AL92" i="6"/>
  <c r="AK92" i="6"/>
  <c r="AJ92" i="6"/>
  <c r="AH92" i="6"/>
  <c r="AG92" i="6"/>
  <c r="AF92" i="6"/>
  <c r="AD92" i="6"/>
  <c r="AC92" i="6"/>
  <c r="AB92" i="6"/>
  <c r="Z92" i="6"/>
  <c r="Y92" i="6"/>
  <c r="X92" i="6"/>
  <c r="V92" i="6"/>
  <c r="U92" i="6"/>
  <c r="T92" i="6"/>
  <c r="R92" i="6"/>
  <c r="Q92" i="6"/>
  <c r="P92" i="6"/>
  <c r="N92" i="6"/>
  <c r="M92" i="6"/>
  <c r="L92" i="6"/>
  <c r="J92" i="6"/>
  <c r="I92" i="6"/>
  <c r="H92" i="6"/>
  <c r="F92" i="6"/>
  <c r="E92" i="6"/>
  <c r="D92" i="6"/>
  <c r="CX91" i="6"/>
  <c r="CW91" i="6"/>
  <c r="CV91" i="6"/>
  <c r="CT91" i="6"/>
  <c r="CS91" i="6"/>
  <c r="CR91" i="6"/>
  <c r="CP91" i="6"/>
  <c r="CO91" i="6"/>
  <c r="CN91" i="6"/>
  <c r="CL91" i="6"/>
  <c r="CK91" i="6"/>
  <c r="CJ91" i="6"/>
  <c r="CH91" i="6"/>
  <c r="CG91" i="6"/>
  <c r="CF91" i="6"/>
  <c r="CD91" i="6"/>
  <c r="CC91" i="6"/>
  <c r="CB91" i="6"/>
  <c r="BZ91" i="6"/>
  <c r="BY91" i="6"/>
  <c r="BX91" i="6"/>
  <c r="BV91" i="6"/>
  <c r="BU91" i="6"/>
  <c r="BT91" i="6"/>
  <c r="BR91" i="6"/>
  <c r="BQ91" i="6"/>
  <c r="BP91" i="6"/>
  <c r="BN91" i="6"/>
  <c r="BM91" i="6"/>
  <c r="BL91" i="6"/>
  <c r="BJ91" i="6"/>
  <c r="BI91" i="6"/>
  <c r="BH91" i="6"/>
  <c r="BF91" i="6"/>
  <c r="BE91" i="6"/>
  <c r="BD91" i="6"/>
  <c r="BB91" i="6"/>
  <c r="BA91" i="6"/>
  <c r="AZ91" i="6"/>
  <c r="AX91" i="6"/>
  <c r="AW91" i="6"/>
  <c r="AV91" i="6"/>
  <c r="AT91" i="6"/>
  <c r="AS91" i="6"/>
  <c r="AR91" i="6"/>
  <c r="AP91" i="6"/>
  <c r="AO91" i="6"/>
  <c r="AN91" i="6"/>
  <c r="AL91" i="6"/>
  <c r="AK91" i="6"/>
  <c r="AJ91" i="6"/>
  <c r="AH91" i="6"/>
  <c r="AG91" i="6"/>
  <c r="AF91" i="6"/>
  <c r="AD91" i="6"/>
  <c r="AC91" i="6"/>
  <c r="AB91" i="6"/>
  <c r="Z91" i="6"/>
  <c r="Y91" i="6"/>
  <c r="X91" i="6"/>
  <c r="V91" i="6"/>
  <c r="U91" i="6"/>
  <c r="T91" i="6"/>
  <c r="R91" i="6"/>
  <c r="Q91" i="6"/>
  <c r="P91" i="6"/>
  <c r="N91" i="6"/>
  <c r="M91" i="6"/>
  <c r="L91" i="6"/>
  <c r="J91" i="6"/>
  <c r="I91" i="6"/>
  <c r="H91" i="6"/>
  <c r="F91" i="6"/>
  <c r="E91" i="6"/>
  <c r="D91" i="6"/>
  <c r="CX90" i="6"/>
  <c r="CW90" i="6"/>
  <c r="CV90" i="6"/>
  <c r="CT90" i="6"/>
  <c r="CS90" i="6"/>
  <c r="CR90" i="6"/>
  <c r="CP90" i="6"/>
  <c r="CO90" i="6"/>
  <c r="CN90" i="6"/>
  <c r="CL90" i="6"/>
  <c r="CK90" i="6"/>
  <c r="CJ90" i="6"/>
  <c r="CH90" i="6"/>
  <c r="CG90" i="6"/>
  <c r="CF90" i="6"/>
  <c r="CD90" i="6"/>
  <c r="CC90" i="6"/>
  <c r="CB90" i="6"/>
  <c r="BZ90" i="6"/>
  <c r="BY90" i="6"/>
  <c r="BX90" i="6"/>
  <c r="BV90" i="6"/>
  <c r="BU90" i="6"/>
  <c r="BT90" i="6"/>
  <c r="BR90" i="6"/>
  <c r="BQ90" i="6"/>
  <c r="BP90" i="6"/>
  <c r="BN90" i="6"/>
  <c r="BM90" i="6"/>
  <c r="BL90" i="6"/>
  <c r="BJ90" i="6"/>
  <c r="BI90" i="6"/>
  <c r="BH90" i="6"/>
  <c r="BF90" i="6"/>
  <c r="BE90" i="6"/>
  <c r="BD90" i="6"/>
  <c r="BB90" i="6"/>
  <c r="BA90" i="6"/>
  <c r="AZ90" i="6"/>
  <c r="AX90" i="6"/>
  <c r="AW90" i="6"/>
  <c r="AV90" i="6"/>
  <c r="AT90" i="6"/>
  <c r="AS90" i="6"/>
  <c r="AR90" i="6"/>
  <c r="AP90" i="6"/>
  <c r="AO90" i="6"/>
  <c r="AN90" i="6"/>
  <c r="AL90" i="6"/>
  <c r="AK90" i="6"/>
  <c r="AJ90" i="6"/>
  <c r="AH90" i="6"/>
  <c r="AG90" i="6"/>
  <c r="AF90" i="6"/>
  <c r="AD90" i="6"/>
  <c r="AC90" i="6"/>
  <c r="AB90" i="6"/>
  <c r="Z90" i="6"/>
  <c r="Y90" i="6"/>
  <c r="X90" i="6"/>
  <c r="V90" i="6"/>
  <c r="U90" i="6"/>
  <c r="T90" i="6"/>
  <c r="R90" i="6"/>
  <c r="Q90" i="6"/>
  <c r="P90" i="6"/>
  <c r="N90" i="6"/>
  <c r="M90" i="6"/>
  <c r="L90" i="6"/>
  <c r="J90" i="6"/>
  <c r="I90" i="6"/>
  <c r="H90" i="6"/>
  <c r="F90" i="6"/>
  <c r="E90" i="6"/>
  <c r="D90" i="6"/>
  <c r="CX89" i="6"/>
  <c r="CW89" i="6"/>
  <c r="CV89" i="6"/>
  <c r="CT89" i="6"/>
  <c r="CS89" i="6"/>
  <c r="CR89" i="6"/>
  <c r="CP89" i="6"/>
  <c r="CO89" i="6"/>
  <c r="CN89" i="6"/>
  <c r="CL89" i="6"/>
  <c r="CK89" i="6"/>
  <c r="CJ89" i="6"/>
  <c r="CH89" i="6"/>
  <c r="CG89" i="6"/>
  <c r="CF89" i="6"/>
  <c r="CD89" i="6"/>
  <c r="CC89" i="6"/>
  <c r="CB89" i="6"/>
  <c r="BZ89" i="6"/>
  <c r="BY89" i="6"/>
  <c r="BX89" i="6"/>
  <c r="BV89" i="6"/>
  <c r="BU89" i="6"/>
  <c r="BT89" i="6"/>
  <c r="BR89" i="6"/>
  <c r="BQ89" i="6"/>
  <c r="BP89" i="6"/>
  <c r="BN89" i="6"/>
  <c r="BM89" i="6"/>
  <c r="BL89" i="6"/>
  <c r="BJ89" i="6"/>
  <c r="BI89" i="6"/>
  <c r="BH89" i="6"/>
  <c r="BF89" i="6"/>
  <c r="BE89" i="6"/>
  <c r="BD89" i="6"/>
  <c r="BB89" i="6"/>
  <c r="BA89" i="6"/>
  <c r="AZ89" i="6"/>
  <c r="AX89" i="6"/>
  <c r="AW89" i="6"/>
  <c r="AV89" i="6"/>
  <c r="AT89" i="6"/>
  <c r="AS89" i="6"/>
  <c r="AR89" i="6"/>
  <c r="AP89" i="6"/>
  <c r="AO89" i="6"/>
  <c r="AN89" i="6"/>
  <c r="AL89" i="6"/>
  <c r="AK89" i="6"/>
  <c r="AJ89" i="6"/>
  <c r="AH89" i="6"/>
  <c r="AG89" i="6"/>
  <c r="AF89" i="6"/>
  <c r="AD89" i="6"/>
  <c r="AC89" i="6"/>
  <c r="AB89" i="6"/>
  <c r="Z89" i="6"/>
  <c r="Y89" i="6"/>
  <c r="X89" i="6"/>
  <c r="V89" i="6"/>
  <c r="U89" i="6"/>
  <c r="T89" i="6"/>
  <c r="R89" i="6"/>
  <c r="Q89" i="6"/>
  <c r="P89" i="6"/>
  <c r="N89" i="6"/>
  <c r="M89" i="6"/>
  <c r="L89" i="6"/>
  <c r="J89" i="6"/>
  <c r="I89" i="6"/>
  <c r="H89" i="6"/>
  <c r="F89" i="6"/>
  <c r="E89" i="6"/>
  <c r="D89" i="6"/>
  <c r="CX88" i="6"/>
  <c r="CW88" i="6"/>
  <c r="CV88" i="6"/>
  <c r="CT88" i="6"/>
  <c r="CS88" i="6"/>
  <c r="CR88" i="6"/>
  <c r="CP88" i="6"/>
  <c r="CO88" i="6"/>
  <c r="CN88" i="6"/>
  <c r="CL88" i="6"/>
  <c r="CK88" i="6"/>
  <c r="CJ88" i="6"/>
  <c r="CH88" i="6"/>
  <c r="CG88" i="6"/>
  <c r="CF88" i="6"/>
  <c r="CD88" i="6"/>
  <c r="CC88" i="6"/>
  <c r="CB88" i="6"/>
  <c r="BZ88" i="6"/>
  <c r="BY88" i="6"/>
  <c r="BX88" i="6"/>
  <c r="BV88" i="6"/>
  <c r="BU88" i="6"/>
  <c r="BT88" i="6"/>
  <c r="BR88" i="6"/>
  <c r="BQ88" i="6"/>
  <c r="BP88" i="6"/>
  <c r="BN88" i="6"/>
  <c r="BM88" i="6"/>
  <c r="BL88" i="6"/>
  <c r="BJ88" i="6"/>
  <c r="BI88" i="6"/>
  <c r="BH88" i="6"/>
  <c r="BF88" i="6"/>
  <c r="BE88" i="6"/>
  <c r="BD88" i="6"/>
  <c r="BB88" i="6"/>
  <c r="BA88" i="6"/>
  <c r="AZ88" i="6"/>
  <c r="AX88" i="6"/>
  <c r="AW88" i="6"/>
  <c r="AV88" i="6"/>
  <c r="AT88" i="6"/>
  <c r="AS88" i="6"/>
  <c r="AR88" i="6"/>
  <c r="AP88" i="6"/>
  <c r="AO88" i="6"/>
  <c r="AN88" i="6"/>
  <c r="AL88" i="6"/>
  <c r="AK88" i="6"/>
  <c r="AJ88" i="6"/>
  <c r="AH88" i="6"/>
  <c r="AG88" i="6"/>
  <c r="AF88" i="6"/>
  <c r="AD88" i="6"/>
  <c r="AC88" i="6"/>
  <c r="AB88" i="6"/>
  <c r="Z88" i="6"/>
  <c r="Y88" i="6"/>
  <c r="X88" i="6"/>
  <c r="V88" i="6"/>
  <c r="U88" i="6"/>
  <c r="T88" i="6"/>
  <c r="R88" i="6"/>
  <c r="Q88" i="6"/>
  <c r="P88" i="6"/>
  <c r="N88" i="6"/>
  <c r="M88" i="6"/>
  <c r="L88" i="6"/>
  <c r="J88" i="6"/>
  <c r="I88" i="6"/>
  <c r="H88" i="6"/>
  <c r="F88" i="6"/>
  <c r="E88" i="6"/>
  <c r="D88" i="6"/>
  <c r="CX87" i="6"/>
  <c r="CW87" i="6"/>
  <c r="CV87" i="6"/>
  <c r="CT87" i="6"/>
  <c r="CS87" i="6"/>
  <c r="CR87" i="6"/>
  <c r="CP87" i="6"/>
  <c r="CO87" i="6"/>
  <c r="CN87" i="6"/>
  <c r="CL87" i="6"/>
  <c r="CK87" i="6"/>
  <c r="CJ87" i="6"/>
  <c r="CH87" i="6"/>
  <c r="CG87" i="6"/>
  <c r="CF87" i="6"/>
  <c r="CD87" i="6"/>
  <c r="CC87" i="6"/>
  <c r="CB87" i="6"/>
  <c r="BZ87" i="6"/>
  <c r="BY87" i="6"/>
  <c r="BX87" i="6"/>
  <c r="BV87" i="6"/>
  <c r="BU87" i="6"/>
  <c r="BT87" i="6"/>
  <c r="BR87" i="6"/>
  <c r="BQ87" i="6"/>
  <c r="BP87" i="6"/>
  <c r="BN87" i="6"/>
  <c r="BM87" i="6"/>
  <c r="BL87" i="6"/>
  <c r="BJ87" i="6"/>
  <c r="BI87" i="6"/>
  <c r="BH87" i="6"/>
  <c r="BF87" i="6"/>
  <c r="BE87" i="6"/>
  <c r="BD87" i="6"/>
  <c r="BB87" i="6"/>
  <c r="BA87" i="6"/>
  <c r="AZ87" i="6"/>
  <c r="AX87" i="6"/>
  <c r="AW87" i="6"/>
  <c r="AV87" i="6"/>
  <c r="AT87" i="6"/>
  <c r="AS87" i="6"/>
  <c r="AR87" i="6"/>
  <c r="AP87" i="6"/>
  <c r="AO87" i="6"/>
  <c r="AN87" i="6"/>
  <c r="AL87" i="6"/>
  <c r="AK87" i="6"/>
  <c r="AJ87" i="6"/>
  <c r="AH87" i="6"/>
  <c r="AG87" i="6"/>
  <c r="AF87" i="6"/>
  <c r="AD87" i="6"/>
  <c r="AC87" i="6"/>
  <c r="AB87" i="6"/>
  <c r="Z87" i="6"/>
  <c r="Y87" i="6"/>
  <c r="X87" i="6"/>
  <c r="V87" i="6"/>
  <c r="U87" i="6"/>
  <c r="T87" i="6"/>
  <c r="R87" i="6"/>
  <c r="Q87" i="6"/>
  <c r="P87" i="6"/>
  <c r="N87" i="6"/>
  <c r="M87" i="6"/>
  <c r="L87" i="6"/>
  <c r="J87" i="6"/>
  <c r="I87" i="6"/>
  <c r="H87" i="6"/>
  <c r="F87" i="6"/>
  <c r="E87" i="6"/>
  <c r="D87" i="6"/>
  <c r="CX86" i="6"/>
  <c r="CW86" i="6"/>
  <c r="CV86" i="6"/>
  <c r="CT86" i="6"/>
  <c r="CS86" i="6"/>
  <c r="CR86" i="6"/>
  <c r="CP86" i="6"/>
  <c r="CO86" i="6"/>
  <c r="CN86" i="6"/>
  <c r="CQ86" i="6" s="1"/>
  <c r="CL86" i="6"/>
  <c r="CK86" i="6"/>
  <c r="CJ86" i="6"/>
  <c r="CH86" i="6"/>
  <c r="CG86" i="6"/>
  <c r="CF86" i="6"/>
  <c r="CD86" i="6"/>
  <c r="CC86" i="6"/>
  <c r="CB86" i="6"/>
  <c r="BZ86" i="6"/>
  <c r="BY86" i="6"/>
  <c r="BX86" i="6"/>
  <c r="BV86" i="6"/>
  <c r="BU86" i="6"/>
  <c r="BT86" i="6"/>
  <c r="BR86" i="6"/>
  <c r="BQ86" i="6"/>
  <c r="BP86" i="6"/>
  <c r="BN86" i="6"/>
  <c r="BM86" i="6"/>
  <c r="BL86" i="6"/>
  <c r="BJ86" i="6"/>
  <c r="BI86" i="6"/>
  <c r="BH86" i="6"/>
  <c r="BF86" i="6"/>
  <c r="BE86" i="6"/>
  <c r="BD86" i="6"/>
  <c r="BB86" i="6"/>
  <c r="BA86" i="6"/>
  <c r="AZ86" i="6"/>
  <c r="AX86" i="6"/>
  <c r="AW86" i="6"/>
  <c r="AV86" i="6"/>
  <c r="AT86" i="6"/>
  <c r="AS86" i="6"/>
  <c r="AR86" i="6"/>
  <c r="AP86" i="6"/>
  <c r="AO86" i="6"/>
  <c r="AN86" i="6"/>
  <c r="AL86" i="6"/>
  <c r="AK86" i="6"/>
  <c r="AJ86" i="6"/>
  <c r="AH86" i="6"/>
  <c r="AG86" i="6"/>
  <c r="AF86" i="6"/>
  <c r="AD86" i="6"/>
  <c r="AC86" i="6"/>
  <c r="AB86" i="6"/>
  <c r="Z86" i="6"/>
  <c r="Y86" i="6"/>
  <c r="X86" i="6"/>
  <c r="V86" i="6"/>
  <c r="U86" i="6"/>
  <c r="T86" i="6"/>
  <c r="R86" i="6"/>
  <c r="Q86" i="6"/>
  <c r="P86" i="6"/>
  <c r="N86" i="6"/>
  <c r="M86" i="6"/>
  <c r="L86" i="6"/>
  <c r="J86" i="6"/>
  <c r="I86" i="6"/>
  <c r="H86" i="6"/>
  <c r="F86" i="6"/>
  <c r="E86" i="6"/>
  <c r="D86" i="6"/>
  <c r="CX85" i="6"/>
  <c r="CW85" i="6"/>
  <c r="CV85" i="6"/>
  <c r="CT85" i="6"/>
  <c r="CS85" i="6"/>
  <c r="CR85" i="6"/>
  <c r="CP85" i="6"/>
  <c r="CO85" i="6"/>
  <c r="CN85" i="6"/>
  <c r="CL85" i="6"/>
  <c r="CK85" i="6"/>
  <c r="CJ85" i="6"/>
  <c r="CH85" i="6"/>
  <c r="CG85" i="6"/>
  <c r="CF85" i="6"/>
  <c r="CD85" i="6"/>
  <c r="CC85" i="6"/>
  <c r="CB85" i="6"/>
  <c r="BZ85" i="6"/>
  <c r="BY85" i="6"/>
  <c r="BX85" i="6"/>
  <c r="BV85" i="6"/>
  <c r="BU85" i="6"/>
  <c r="BT85" i="6"/>
  <c r="BR85" i="6"/>
  <c r="BQ85" i="6"/>
  <c r="BP85" i="6"/>
  <c r="BN85" i="6"/>
  <c r="BM85" i="6"/>
  <c r="BL85" i="6"/>
  <c r="BJ85" i="6"/>
  <c r="BI85" i="6"/>
  <c r="BH85" i="6"/>
  <c r="BF85" i="6"/>
  <c r="BE85" i="6"/>
  <c r="BD85" i="6"/>
  <c r="BB85" i="6"/>
  <c r="BA85" i="6"/>
  <c r="AZ85" i="6"/>
  <c r="AX85" i="6"/>
  <c r="AW85" i="6"/>
  <c r="AV85" i="6"/>
  <c r="AT85" i="6"/>
  <c r="AS85" i="6"/>
  <c r="AR85" i="6"/>
  <c r="AP85" i="6"/>
  <c r="AO85" i="6"/>
  <c r="AN85" i="6"/>
  <c r="AL85" i="6"/>
  <c r="AK85" i="6"/>
  <c r="AJ85" i="6"/>
  <c r="AH85" i="6"/>
  <c r="AG85" i="6"/>
  <c r="AF85" i="6"/>
  <c r="AD85" i="6"/>
  <c r="AC85" i="6"/>
  <c r="AB85" i="6"/>
  <c r="Z85" i="6"/>
  <c r="Y85" i="6"/>
  <c r="X85" i="6"/>
  <c r="V85" i="6"/>
  <c r="U85" i="6"/>
  <c r="T85" i="6"/>
  <c r="R85" i="6"/>
  <c r="Q85" i="6"/>
  <c r="P85" i="6"/>
  <c r="N85" i="6"/>
  <c r="M85" i="6"/>
  <c r="L85" i="6"/>
  <c r="J85" i="6"/>
  <c r="I85" i="6"/>
  <c r="H85" i="6"/>
  <c r="F85" i="6"/>
  <c r="E85" i="6"/>
  <c r="D85" i="6"/>
  <c r="CX84" i="6"/>
  <c r="CW84" i="6"/>
  <c r="CV84" i="6"/>
  <c r="CT84" i="6"/>
  <c r="CS84" i="6"/>
  <c r="CR84" i="6"/>
  <c r="CP84" i="6"/>
  <c r="CO84" i="6"/>
  <c r="CN84" i="6"/>
  <c r="CL84" i="6"/>
  <c r="CK84" i="6"/>
  <c r="CJ84" i="6"/>
  <c r="CH84" i="6"/>
  <c r="CG84" i="6"/>
  <c r="CF84" i="6"/>
  <c r="CD84" i="6"/>
  <c r="CC84" i="6"/>
  <c r="CB84" i="6"/>
  <c r="BZ84" i="6"/>
  <c r="BY84" i="6"/>
  <c r="BX84" i="6"/>
  <c r="BV84" i="6"/>
  <c r="BU84" i="6"/>
  <c r="BT84" i="6"/>
  <c r="BR84" i="6"/>
  <c r="BQ84" i="6"/>
  <c r="BP84" i="6"/>
  <c r="BN84" i="6"/>
  <c r="BM84" i="6"/>
  <c r="BL84" i="6"/>
  <c r="BJ84" i="6"/>
  <c r="BI84" i="6"/>
  <c r="BH84" i="6"/>
  <c r="BF84" i="6"/>
  <c r="BE84" i="6"/>
  <c r="BD84" i="6"/>
  <c r="BB84" i="6"/>
  <c r="BA84" i="6"/>
  <c r="AZ84" i="6"/>
  <c r="AX84" i="6"/>
  <c r="AW84" i="6"/>
  <c r="AV84" i="6"/>
  <c r="AT84" i="6"/>
  <c r="AS84" i="6"/>
  <c r="AR84" i="6"/>
  <c r="AP84" i="6"/>
  <c r="AO84" i="6"/>
  <c r="AN84" i="6"/>
  <c r="AL84" i="6"/>
  <c r="AK84" i="6"/>
  <c r="AJ84" i="6"/>
  <c r="AH84" i="6"/>
  <c r="AG84" i="6"/>
  <c r="AF84" i="6"/>
  <c r="AD84" i="6"/>
  <c r="AC84" i="6"/>
  <c r="AB84" i="6"/>
  <c r="Z84" i="6"/>
  <c r="Y84" i="6"/>
  <c r="X84" i="6"/>
  <c r="V84" i="6"/>
  <c r="U84" i="6"/>
  <c r="T84" i="6"/>
  <c r="R84" i="6"/>
  <c r="Q84" i="6"/>
  <c r="P84" i="6"/>
  <c r="N84" i="6"/>
  <c r="M84" i="6"/>
  <c r="L84" i="6"/>
  <c r="J84" i="6"/>
  <c r="I84" i="6"/>
  <c r="H84" i="6"/>
  <c r="F84" i="6"/>
  <c r="E84" i="6"/>
  <c r="D84" i="6"/>
  <c r="CX83" i="6"/>
  <c r="CW83" i="6"/>
  <c r="CV83" i="6"/>
  <c r="CT83" i="6"/>
  <c r="CS83" i="6"/>
  <c r="CR83" i="6"/>
  <c r="CP83" i="6"/>
  <c r="CO83" i="6"/>
  <c r="CN83" i="6"/>
  <c r="CL83" i="6"/>
  <c r="CK83" i="6"/>
  <c r="CJ83" i="6"/>
  <c r="CH83" i="6"/>
  <c r="CG83" i="6"/>
  <c r="CF83" i="6"/>
  <c r="CD83" i="6"/>
  <c r="CC83" i="6"/>
  <c r="CB83" i="6"/>
  <c r="BZ83" i="6"/>
  <c r="BY83" i="6"/>
  <c r="BX83" i="6"/>
  <c r="BV83" i="6"/>
  <c r="BU83" i="6"/>
  <c r="BT83" i="6"/>
  <c r="BR83" i="6"/>
  <c r="BQ83" i="6"/>
  <c r="BP83" i="6"/>
  <c r="BN83" i="6"/>
  <c r="BM83" i="6"/>
  <c r="BL83" i="6"/>
  <c r="BJ83" i="6"/>
  <c r="BI83" i="6"/>
  <c r="BH83" i="6"/>
  <c r="BF83" i="6"/>
  <c r="BE83" i="6"/>
  <c r="BD83" i="6"/>
  <c r="BB83" i="6"/>
  <c r="BA83" i="6"/>
  <c r="AZ83" i="6"/>
  <c r="AX83" i="6"/>
  <c r="AW83" i="6"/>
  <c r="AV83" i="6"/>
  <c r="AT83" i="6"/>
  <c r="AS83" i="6"/>
  <c r="AR83" i="6"/>
  <c r="AP83" i="6"/>
  <c r="AO83" i="6"/>
  <c r="AN83" i="6"/>
  <c r="AL83" i="6"/>
  <c r="AK83" i="6"/>
  <c r="AJ83" i="6"/>
  <c r="AH83" i="6"/>
  <c r="AG83" i="6"/>
  <c r="AF83" i="6"/>
  <c r="AD83" i="6"/>
  <c r="AC83" i="6"/>
  <c r="AB83" i="6"/>
  <c r="Z83" i="6"/>
  <c r="Y83" i="6"/>
  <c r="X83" i="6"/>
  <c r="V83" i="6"/>
  <c r="U83" i="6"/>
  <c r="T83" i="6"/>
  <c r="R83" i="6"/>
  <c r="Q83" i="6"/>
  <c r="P83" i="6"/>
  <c r="N83" i="6"/>
  <c r="M83" i="6"/>
  <c r="L83" i="6"/>
  <c r="J83" i="6"/>
  <c r="I83" i="6"/>
  <c r="H83" i="6"/>
  <c r="F83" i="6"/>
  <c r="E83" i="6"/>
  <c r="D83" i="6"/>
  <c r="CX82" i="6"/>
  <c r="CW82" i="6"/>
  <c r="CV82" i="6"/>
  <c r="CT82" i="6"/>
  <c r="CS82" i="6"/>
  <c r="CR82" i="6"/>
  <c r="CP82" i="6"/>
  <c r="CO82" i="6"/>
  <c r="CN82" i="6"/>
  <c r="CQ82" i="6" s="1"/>
  <c r="CL82" i="6"/>
  <c r="CK82" i="6"/>
  <c r="CJ82" i="6"/>
  <c r="CH82" i="6"/>
  <c r="CG82" i="6"/>
  <c r="CF82" i="6"/>
  <c r="CD82" i="6"/>
  <c r="CC82" i="6"/>
  <c r="CB82" i="6"/>
  <c r="BZ82" i="6"/>
  <c r="BY82" i="6"/>
  <c r="BX82" i="6"/>
  <c r="BV82" i="6"/>
  <c r="BU82" i="6"/>
  <c r="BT82" i="6"/>
  <c r="BR82" i="6"/>
  <c r="BQ82" i="6"/>
  <c r="BP82" i="6"/>
  <c r="BN82" i="6"/>
  <c r="BM82" i="6"/>
  <c r="BL82" i="6"/>
  <c r="BJ82" i="6"/>
  <c r="BI82" i="6"/>
  <c r="BH82" i="6"/>
  <c r="BF82" i="6"/>
  <c r="BE82" i="6"/>
  <c r="BD82" i="6"/>
  <c r="BB82" i="6"/>
  <c r="BA82" i="6"/>
  <c r="AZ82" i="6"/>
  <c r="AX82" i="6"/>
  <c r="AW82" i="6"/>
  <c r="AV82" i="6"/>
  <c r="AT82" i="6"/>
  <c r="AS82" i="6"/>
  <c r="AR82" i="6"/>
  <c r="AP82" i="6"/>
  <c r="AO82" i="6"/>
  <c r="AN82" i="6"/>
  <c r="AL82" i="6"/>
  <c r="AK82" i="6"/>
  <c r="AJ82" i="6"/>
  <c r="AH82" i="6"/>
  <c r="AG82" i="6"/>
  <c r="AF82" i="6"/>
  <c r="AD82" i="6"/>
  <c r="AC82" i="6"/>
  <c r="AB82" i="6"/>
  <c r="Z82" i="6"/>
  <c r="Y82" i="6"/>
  <c r="X82" i="6"/>
  <c r="V82" i="6"/>
  <c r="U82" i="6"/>
  <c r="T82" i="6"/>
  <c r="R82" i="6"/>
  <c r="Q82" i="6"/>
  <c r="P82" i="6"/>
  <c r="N82" i="6"/>
  <c r="M82" i="6"/>
  <c r="L82" i="6"/>
  <c r="J82" i="6"/>
  <c r="I82" i="6"/>
  <c r="H82" i="6"/>
  <c r="F82" i="6"/>
  <c r="E82" i="6"/>
  <c r="D82" i="6"/>
  <c r="CX81" i="6"/>
  <c r="CW81" i="6"/>
  <c r="CV81" i="6"/>
  <c r="CT81" i="6"/>
  <c r="CS81" i="6"/>
  <c r="CR81" i="6"/>
  <c r="CP81" i="6"/>
  <c r="CO81" i="6"/>
  <c r="CN81" i="6"/>
  <c r="CL81" i="6"/>
  <c r="CK81" i="6"/>
  <c r="CJ81" i="6"/>
  <c r="CH81" i="6"/>
  <c r="CG81" i="6"/>
  <c r="CF81" i="6"/>
  <c r="CD81" i="6"/>
  <c r="CC81" i="6"/>
  <c r="CB81" i="6"/>
  <c r="BZ81" i="6"/>
  <c r="BY81" i="6"/>
  <c r="BX81" i="6"/>
  <c r="BV81" i="6"/>
  <c r="BU81" i="6"/>
  <c r="BT81" i="6"/>
  <c r="BR81" i="6"/>
  <c r="BQ81" i="6"/>
  <c r="BP81" i="6"/>
  <c r="BN81" i="6"/>
  <c r="BM81" i="6"/>
  <c r="BL81" i="6"/>
  <c r="BJ81" i="6"/>
  <c r="BI81" i="6"/>
  <c r="BH81" i="6"/>
  <c r="BF81" i="6"/>
  <c r="BE81" i="6"/>
  <c r="BD81" i="6"/>
  <c r="BB81" i="6"/>
  <c r="BA81" i="6"/>
  <c r="AZ81" i="6"/>
  <c r="AX81" i="6"/>
  <c r="AW81" i="6"/>
  <c r="AV81" i="6"/>
  <c r="AT81" i="6"/>
  <c r="AS81" i="6"/>
  <c r="AR81" i="6"/>
  <c r="AP81" i="6"/>
  <c r="AO81" i="6"/>
  <c r="AN81" i="6"/>
  <c r="AL81" i="6"/>
  <c r="AK81" i="6"/>
  <c r="AJ81" i="6"/>
  <c r="AH81" i="6"/>
  <c r="AG81" i="6"/>
  <c r="AF81" i="6"/>
  <c r="AD81" i="6"/>
  <c r="AC81" i="6"/>
  <c r="AB81" i="6"/>
  <c r="Z81" i="6"/>
  <c r="Y81" i="6"/>
  <c r="X81" i="6"/>
  <c r="V81" i="6"/>
  <c r="U81" i="6"/>
  <c r="T81" i="6"/>
  <c r="R81" i="6"/>
  <c r="Q81" i="6"/>
  <c r="P81" i="6"/>
  <c r="N81" i="6"/>
  <c r="M81" i="6"/>
  <c r="L81" i="6"/>
  <c r="J81" i="6"/>
  <c r="I81" i="6"/>
  <c r="H81" i="6"/>
  <c r="F81" i="6"/>
  <c r="E81" i="6"/>
  <c r="D81" i="6"/>
  <c r="CX80" i="6"/>
  <c r="CW80" i="6"/>
  <c r="CV80" i="6"/>
  <c r="CT80" i="6"/>
  <c r="CS80" i="6"/>
  <c r="CR80" i="6"/>
  <c r="CP80" i="6"/>
  <c r="CO80" i="6"/>
  <c r="CN80" i="6"/>
  <c r="CL80" i="6"/>
  <c r="CK80" i="6"/>
  <c r="CJ80" i="6"/>
  <c r="CH80" i="6"/>
  <c r="CG80" i="6"/>
  <c r="CF80" i="6"/>
  <c r="CD80" i="6"/>
  <c r="CC80" i="6"/>
  <c r="CB80" i="6"/>
  <c r="BZ80" i="6"/>
  <c r="BY80" i="6"/>
  <c r="BX80" i="6"/>
  <c r="BV80" i="6"/>
  <c r="BU80" i="6"/>
  <c r="BT80" i="6"/>
  <c r="BR80" i="6"/>
  <c r="BQ80" i="6"/>
  <c r="BP80" i="6"/>
  <c r="BN80" i="6"/>
  <c r="BM80" i="6"/>
  <c r="BL80" i="6"/>
  <c r="BJ80" i="6"/>
  <c r="BI80" i="6"/>
  <c r="BH80" i="6"/>
  <c r="BF80" i="6"/>
  <c r="BE80" i="6"/>
  <c r="BD80" i="6"/>
  <c r="BB80" i="6"/>
  <c r="BA80" i="6"/>
  <c r="AZ80" i="6"/>
  <c r="AX80" i="6"/>
  <c r="AW80" i="6"/>
  <c r="AV80" i="6"/>
  <c r="AT80" i="6"/>
  <c r="AS80" i="6"/>
  <c r="AR80" i="6"/>
  <c r="AP80" i="6"/>
  <c r="AO80" i="6"/>
  <c r="AN80" i="6"/>
  <c r="AL80" i="6"/>
  <c r="AK80" i="6"/>
  <c r="AJ80" i="6"/>
  <c r="AH80" i="6"/>
  <c r="AG80" i="6"/>
  <c r="AF80" i="6"/>
  <c r="AD80" i="6"/>
  <c r="AC80" i="6"/>
  <c r="AB80" i="6"/>
  <c r="Z80" i="6"/>
  <c r="Y80" i="6"/>
  <c r="X80" i="6"/>
  <c r="V80" i="6"/>
  <c r="U80" i="6"/>
  <c r="T80" i="6"/>
  <c r="R80" i="6"/>
  <c r="Q80" i="6"/>
  <c r="P80" i="6"/>
  <c r="N80" i="6"/>
  <c r="M80" i="6"/>
  <c r="L80" i="6"/>
  <c r="J80" i="6"/>
  <c r="I80" i="6"/>
  <c r="H80" i="6"/>
  <c r="F80" i="6"/>
  <c r="E80" i="6"/>
  <c r="D80" i="6"/>
  <c r="CX79" i="6"/>
  <c r="CW79" i="6"/>
  <c r="CV79" i="6"/>
  <c r="CT79" i="6"/>
  <c r="CS79" i="6"/>
  <c r="CR79" i="6"/>
  <c r="CP79" i="6"/>
  <c r="CO79" i="6"/>
  <c r="CN79" i="6"/>
  <c r="CL79" i="6"/>
  <c r="CK79" i="6"/>
  <c r="CJ79" i="6"/>
  <c r="CH79" i="6"/>
  <c r="CG79" i="6"/>
  <c r="CF79" i="6"/>
  <c r="CD79" i="6"/>
  <c r="CC79" i="6"/>
  <c r="CB79" i="6"/>
  <c r="BZ79" i="6"/>
  <c r="BY79" i="6"/>
  <c r="BX79" i="6"/>
  <c r="BV79" i="6"/>
  <c r="BU79" i="6"/>
  <c r="BT79" i="6"/>
  <c r="BR79" i="6"/>
  <c r="BQ79" i="6"/>
  <c r="BP79" i="6"/>
  <c r="BN79" i="6"/>
  <c r="BM79" i="6"/>
  <c r="BL79" i="6"/>
  <c r="BJ79" i="6"/>
  <c r="BI79" i="6"/>
  <c r="BH79" i="6"/>
  <c r="BF79" i="6"/>
  <c r="BE79" i="6"/>
  <c r="BD79" i="6"/>
  <c r="BB79" i="6"/>
  <c r="BA79" i="6"/>
  <c r="AZ79" i="6"/>
  <c r="AX79" i="6"/>
  <c r="AW79" i="6"/>
  <c r="AV79" i="6"/>
  <c r="AT79" i="6"/>
  <c r="AS79" i="6"/>
  <c r="AR79" i="6"/>
  <c r="AP79" i="6"/>
  <c r="AO79" i="6"/>
  <c r="AN79" i="6"/>
  <c r="AL79" i="6"/>
  <c r="AK79" i="6"/>
  <c r="AJ79" i="6"/>
  <c r="AH79" i="6"/>
  <c r="AG79" i="6"/>
  <c r="AF79" i="6"/>
  <c r="AD79" i="6"/>
  <c r="AC79" i="6"/>
  <c r="AB79" i="6"/>
  <c r="Z79" i="6"/>
  <c r="Y79" i="6"/>
  <c r="X79" i="6"/>
  <c r="V79" i="6"/>
  <c r="U79" i="6"/>
  <c r="T79" i="6"/>
  <c r="R79" i="6"/>
  <c r="Q79" i="6"/>
  <c r="P79" i="6"/>
  <c r="N79" i="6"/>
  <c r="M79" i="6"/>
  <c r="L79" i="6"/>
  <c r="J79" i="6"/>
  <c r="I79" i="6"/>
  <c r="H79" i="6"/>
  <c r="F79" i="6"/>
  <c r="E79" i="6"/>
  <c r="D79" i="6"/>
  <c r="CX78" i="6"/>
  <c r="CW78" i="6"/>
  <c r="CV78" i="6"/>
  <c r="CT78" i="6"/>
  <c r="CS78" i="6"/>
  <c r="CR78" i="6"/>
  <c r="CP78" i="6"/>
  <c r="CO78" i="6"/>
  <c r="CN78" i="6"/>
  <c r="CL78" i="6"/>
  <c r="CK78" i="6"/>
  <c r="CJ78" i="6"/>
  <c r="CH78" i="6"/>
  <c r="CG78" i="6"/>
  <c r="CF78" i="6"/>
  <c r="CD78" i="6"/>
  <c r="CC78" i="6"/>
  <c r="CB78" i="6"/>
  <c r="BZ78" i="6"/>
  <c r="BY78" i="6"/>
  <c r="BX78" i="6"/>
  <c r="BV78" i="6"/>
  <c r="BU78" i="6"/>
  <c r="BT78" i="6"/>
  <c r="BR78" i="6"/>
  <c r="BQ78" i="6"/>
  <c r="BP78" i="6"/>
  <c r="BN78" i="6"/>
  <c r="BM78" i="6"/>
  <c r="BL78" i="6"/>
  <c r="BJ78" i="6"/>
  <c r="BI78" i="6"/>
  <c r="BH78" i="6"/>
  <c r="BF78" i="6"/>
  <c r="BE78" i="6"/>
  <c r="BD78" i="6"/>
  <c r="BB78" i="6"/>
  <c r="BA78" i="6"/>
  <c r="AZ78" i="6"/>
  <c r="AX78" i="6"/>
  <c r="AW78" i="6"/>
  <c r="AV78" i="6"/>
  <c r="AT78" i="6"/>
  <c r="AS78" i="6"/>
  <c r="AR78" i="6"/>
  <c r="AP78" i="6"/>
  <c r="AO78" i="6"/>
  <c r="AN78" i="6"/>
  <c r="AL78" i="6"/>
  <c r="AK78" i="6"/>
  <c r="AJ78" i="6"/>
  <c r="AH78" i="6"/>
  <c r="AG78" i="6"/>
  <c r="AF78" i="6"/>
  <c r="AD78" i="6"/>
  <c r="AC78" i="6"/>
  <c r="AB78" i="6"/>
  <c r="Z78" i="6"/>
  <c r="Y78" i="6"/>
  <c r="X78" i="6"/>
  <c r="V78" i="6"/>
  <c r="U78" i="6"/>
  <c r="T78" i="6"/>
  <c r="R78" i="6"/>
  <c r="Q78" i="6"/>
  <c r="P78" i="6"/>
  <c r="N78" i="6"/>
  <c r="M78" i="6"/>
  <c r="L78" i="6"/>
  <c r="J78" i="6"/>
  <c r="I78" i="6"/>
  <c r="H78" i="6"/>
  <c r="F78" i="6"/>
  <c r="E78" i="6"/>
  <c r="D78" i="6"/>
  <c r="CX77" i="6"/>
  <c r="CW77" i="6"/>
  <c r="CV77" i="6"/>
  <c r="CT77" i="6"/>
  <c r="CS77" i="6"/>
  <c r="CR77" i="6"/>
  <c r="CP77" i="6"/>
  <c r="CO77" i="6"/>
  <c r="CN77" i="6"/>
  <c r="CL77" i="6"/>
  <c r="CK77" i="6"/>
  <c r="CJ77" i="6"/>
  <c r="CH77" i="6"/>
  <c r="CG77" i="6"/>
  <c r="CF77" i="6"/>
  <c r="CD77" i="6"/>
  <c r="CC77" i="6"/>
  <c r="CB77" i="6"/>
  <c r="BZ77" i="6"/>
  <c r="BY77" i="6"/>
  <c r="BX77" i="6"/>
  <c r="BV77" i="6"/>
  <c r="BU77" i="6"/>
  <c r="BT77" i="6"/>
  <c r="BR77" i="6"/>
  <c r="BQ77" i="6"/>
  <c r="BP77" i="6"/>
  <c r="BN77" i="6"/>
  <c r="BM77" i="6"/>
  <c r="BL77" i="6"/>
  <c r="BJ77" i="6"/>
  <c r="BI77" i="6"/>
  <c r="BH77" i="6"/>
  <c r="BF77" i="6"/>
  <c r="BE77" i="6"/>
  <c r="BD77" i="6"/>
  <c r="BB77" i="6"/>
  <c r="BA77" i="6"/>
  <c r="AZ77" i="6"/>
  <c r="AX77" i="6"/>
  <c r="AW77" i="6"/>
  <c r="AV77" i="6"/>
  <c r="AT77" i="6"/>
  <c r="AS77" i="6"/>
  <c r="AR77" i="6"/>
  <c r="AP77" i="6"/>
  <c r="AO77" i="6"/>
  <c r="AN77" i="6"/>
  <c r="AL77" i="6"/>
  <c r="AK77" i="6"/>
  <c r="AJ77" i="6"/>
  <c r="AH77" i="6"/>
  <c r="AG77" i="6"/>
  <c r="AF77" i="6"/>
  <c r="AD77" i="6"/>
  <c r="AC77" i="6"/>
  <c r="AB77" i="6"/>
  <c r="Z77" i="6"/>
  <c r="Y77" i="6"/>
  <c r="X77" i="6"/>
  <c r="V77" i="6"/>
  <c r="U77" i="6"/>
  <c r="T77" i="6"/>
  <c r="R77" i="6"/>
  <c r="Q77" i="6"/>
  <c r="P77" i="6"/>
  <c r="N77" i="6"/>
  <c r="M77" i="6"/>
  <c r="L77" i="6"/>
  <c r="J77" i="6"/>
  <c r="I77" i="6"/>
  <c r="H77" i="6"/>
  <c r="F77" i="6"/>
  <c r="E77" i="6"/>
  <c r="D77" i="6"/>
  <c r="CX76" i="6"/>
  <c r="CW76" i="6"/>
  <c r="CV76" i="6"/>
  <c r="CT76" i="6"/>
  <c r="CS76" i="6"/>
  <c r="CR76" i="6"/>
  <c r="CP76" i="6"/>
  <c r="CO76" i="6"/>
  <c r="CN76" i="6"/>
  <c r="CL76" i="6"/>
  <c r="CK76" i="6"/>
  <c r="CJ76" i="6"/>
  <c r="CH76" i="6"/>
  <c r="CG76" i="6"/>
  <c r="CF76" i="6"/>
  <c r="CD76" i="6"/>
  <c r="CC76" i="6"/>
  <c r="CB76" i="6"/>
  <c r="BZ76" i="6"/>
  <c r="BY76" i="6"/>
  <c r="BX76" i="6"/>
  <c r="BV76" i="6"/>
  <c r="BU76" i="6"/>
  <c r="BT76" i="6"/>
  <c r="BR76" i="6"/>
  <c r="BQ76" i="6"/>
  <c r="BP76" i="6"/>
  <c r="BN76" i="6"/>
  <c r="BM76" i="6"/>
  <c r="BL76" i="6"/>
  <c r="BJ76" i="6"/>
  <c r="BI76" i="6"/>
  <c r="BH76" i="6"/>
  <c r="BF76" i="6"/>
  <c r="BE76" i="6"/>
  <c r="BD76" i="6"/>
  <c r="BB76" i="6"/>
  <c r="BA76" i="6"/>
  <c r="AZ76" i="6"/>
  <c r="AX76" i="6"/>
  <c r="AW76" i="6"/>
  <c r="AV76" i="6"/>
  <c r="AT76" i="6"/>
  <c r="AS76" i="6"/>
  <c r="AR76" i="6"/>
  <c r="AP76" i="6"/>
  <c r="AO76" i="6"/>
  <c r="AN76" i="6"/>
  <c r="AL76" i="6"/>
  <c r="AK76" i="6"/>
  <c r="AJ76" i="6"/>
  <c r="AH76" i="6"/>
  <c r="AG76" i="6"/>
  <c r="AF76" i="6"/>
  <c r="AD76" i="6"/>
  <c r="AC76" i="6"/>
  <c r="AB76" i="6"/>
  <c r="Z76" i="6"/>
  <c r="Y76" i="6"/>
  <c r="X76" i="6"/>
  <c r="V76" i="6"/>
  <c r="U76" i="6"/>
  <c r="T76" i="6"/>
  <c r="R76" i="6"/>
  <c r="Q76" i="6"/>
  <c r="P76" i="6"/>
  <c r="N76" i="6"/>
  <c r="M76" i="6"/>
  <c r="L76" i="6"/>
  <c r="J76" i="6"/>
  <c r="I76" i="6"/>
  <c r="H76" i="6"/>
  <c r="F76" i="6"/>
  <c r="E76" i="6"/>
  <c r="D76" i="6"/>
  <c r="CX75" i="6"/>
  <c r="CW75" i="6"/>
  <c r="CV75" i="6"/>
  <c r="CT75" i="6"/>
  <c r="CS75" i="6"/>
  <c r="CR75" i="6"/>
  <c r="CP75" i="6"/>
  <c r="CO75" i="6"/>
  <c r="CN75" i="6"/>
  <c r="CL75" i="6"/>
  <c r="CK75" i="6"/>
  <c r="CJ75" i="6"/>
  <c r="CH75" i="6"/>
  <c r="CG75" i="6"/>
  <c r="CF75" i="6"/>
  <c r="CD75" i="6"/>
  <c r="CC75" i="6"/>
  <c r="CB75" i="6"/>
  <c r="BZ75" i="6"/>
  <c r="BY75" i="6"/>
  <c r="BX75" i="6"/>
  <c r="BV75" i="6"/>
  <c r="BU75" i="6"/>
  <c r="BT75" i="6"/>
  <c r="BR75" i="6"/>
  <c r="BQ75" i="6"/>
  <c r="BP75" i="6"/>
  <c r="BN75" i="6"/>
  <c r="BM75" i="6"/>
  <c r="BL75" i="6"/>
  <c r="BJ75" i="6"/>
  <c r="BI75" i="6"/>
  <c r="BH75" i="6"/>
  <c r="BF75" i="6"/>
  <c r="BE75" i="6"/>
  <c r="BD75" i="6"/>
  <c r="BB75" i="6"/>
  <c r="BA75" i="6"/>
  <c r="AZ75" i="6"/>
  <c r="AX75" i="6"/>
  <c r="AW75" i="6"/>
  <c r="AV75" i="6"/>
  <c r="AT75" i="6"/>
  <c r="AS75" i="6"/>
  <c r="AR75" i="6"/>
  <c r="AP75" i="6"/>
  <c r="AO75" i="6"/>
  <c r="AN75" i="6"/>
  <c r="AL75" i="6"/>
  <c r="AK75" i="6"/>
  <c r="AJ75" i="6"/>
  <c r="AH75" i="6"/>
  <c r="AG75" i="6"/>
  <c r="AF75" i="6"/>
  <c r="AD75" i="6"/>
  <c r="AC75" i="6"/>
  <c r="AB75" i="6"/>
  <c r="Z75" i="6"/>
  <c r="Y75" i="6"/>
  <c r="X75" i="6"/>
  <c r="V75" i="6"/>
  <c r="U75" i="6"/>
  <c r="T75" i="6"/>
  <c r="R75" i="6"/>
  <c r="Q75" i="6"/>
  <c r="P75" i="6"/>
  <c r="N75" i="6"/>
  <c r="M75" i="6"/>
  <c r="L75" i="6"/>
  <c r="J75" i="6"/>
  <c r="I75" i="6"/>
  <c r="H75" i="6"/>
  <c r="F75" i="6"/>
  <c r="E75" i="6"/>
  <c r="D75" i="6"/>
  <c r="CX74" i="6"/>
  <c r="CW74" i="6"/>
  <c r="CV74" i="6"/>
  <c r="CT74" i="6"/>
  <c r="CS74" i="6"/>
  <c r="CR74" i="6"/>
  <c r="CP74" i="6"/>
  <c r="CO74" i="6"/>
  <c r="CN74" i="6"/>
  <c r="CL74" i="6"/>
  <c r="CK74" i="6"/>
  <c r="CJ74" i="6"/>
  <c r="CH74" i="6"/>
  <c r="CG74" i="6"/>
  <c r="CF74" i="6"/>
  <c r="CD74" i="6"/>
  <c r="CC74" i="6"/>
  <c r="CB74" i="6"/>
  <c r="BZ74" i="6"/>
  <c r="BY74" i="6"/>
  <c r="BX74" i="6"/>
  <c r="BV74" i="6"/>
  <c r="BU74" i="6"/>
  <c r="BT74" i="6"/>
  <c r="BR74" i="6"/>
  <c r="BQ74" i="6"/>
  <c r="BP74" i="6"/>
  <c r="BN74" i="6"/>
  <c r="BM74" i="6"/>
  <c r="BL74" i="6"/>
  <c r="BJ74" i="6"/>
  <c r="BI74" i="6"/>
  <c r="BH74" i="6"/>
  <c r="BF74" i="6"/>
  <c r="BE74" i="6"/>
  <c r="BD74" i="6"/>
  <c r="BB74" i="6"/>
  <c r="BA74" i="6"/>
  <c r="AZ74" i="6"/>
  <c r="AX74" i="6"/>
  <c r="AW74" i="6"/>
  <c r="AV74" i="6"/>
  <c r="AT74" i="6"/>
  <c r="AS74" i="6"/>
  <c r="AR74" i="6"/>
  <c r="AP74" i="6"/>
  <c r="AO74" i="6"/>
  <c r="AN74" i="6"/>
  <c r="AL74" i="6"/>
  <c r="AK74" i="6"/>
  <c r="AJ74" i="6"/>
  <c r="AH74" i="6"/>
  <c r="AG74" i="6"/>
  <c r="AF74" i="6"/>
  <c r="AD74" i="6"/>
  <c r="AC74" i="6"/>
  <c r="AB74" i="6"/>
  <c r="Z74" i="6"/>
  <c r="Y74" i="6"/>
  <c r="X74" i="6"/>
  <c r="V74" i="6"/>
  <c r="U74" i="6"/>
  <c r="T74" i="6"/>
  <c r="R74" i="6"/>
  <c r="Q74" i="6"/>
  <c r="P74" i="6"/>
  <c r="N74" i="6"/>
  <c r="M74" i="6"/>
  <c r="L74" i="6"/>
  <c r="J74" i="6"/>
  <c r="I74" i="6"/>
  <c r="H74" i="6"/>
  <c r="F74" i="6"/>
  <c r="E74" i="6"/>
  <c r="D74" i="6"/>
  <c r="CX73" i="6"/>
  <c r="CW73" i="6"/>
  <c r="CV73" i="6"/>
  <c r="CT73" i="6"/>
  <c r="CS73" i="6"/>
  <c r="CR73" i="6"/>
  <c r="CP73" i="6"/>
  <c r="CO73" i="6"/>
  <c r="CN73" i="6"/>
  <c r="CL73" i="6"/>
  <c r="CK73" i="6"/>
  <c r="CJ73" i="6"/>
  <c r="CH73" i="6"/>
  <c r="CG73" i="6"/>
  <c r="CF73" i="6"/>
  <c r="CD73" i="6"/>
  <c r="CC73" i="6"/>
  <c r="CB73" i="6"/>
  <c r="BZ73" i="6"/>
  <c r="BY73" i="6"/>
  <c r="BX73" i="6"/>
  <c r="BV73" i="6"/>
  <c r="BU73" i="6"/>
  <c r="BT73" i="6"/>
  <c r="BR73" i="6"/>
  <c r="BQ73" i="6"/>
  <c r="BP73" i="6"/>
  <c r="BN73" i="6"/>
  <c r="BM73" i="6"/>
  <c r="BL73" i="6"/>
  <c r="BJ73" i="6"/>
  <c r="BI73" i="6"/>
  <c r="BH73" i="6"/>
  <c r="BF73" i="6"/>
  <c r="BE73" i="6"/>
  <c r="BD73" i="6"/>
  <c r="BB73" i="6"/>
  <c r="BA73" i="6"/>
  <c r="AZ73" i="6"/>
  <c r="AX73" i="6"/>
  <c r="AW73" i="6"/>
  <c r="AV73" i="6"/>
  <c r="AT73" i="6"/>
  <c r="AS73" i="6"/>
  <c r="AR73" i="6"/>
  <c r="AP73" i="6"/>
  <c r="AO73" i="6"/>
  <c r="AN73" i="6"/>
  <c r="AL73" i="6"/>
  <c r="AK73" i="6"/>
  <c r="AJ73" i="6"/>
  <c r="AH73" i="6"/>
  <c r="AG73" i="6"/>
  <c r="AF73" i="6"/>
  <c r="AD73" i="6"/>
  <c r="AC73" i="6"/>
  <c r="AB73" i="6"/>
  <c r="Z73" i="6"/>
  <c r="Y73" i="6"/>
  <c r="X73" i="6"/>
  <c r="V73" i="6"/>
  <c r="U73" i="6"/>
  <c r="T73" i="6"/>
  <c r="R73" i="6"/>
  <c r="Q73" i="6"/>
  <c r="P73" i="6"/>
  <c r="N73" i="6"/>
  <c r="M73" i="6"/>
  <c r="L73" i="6"/>
  <c r="J73" i="6"/>
  <c r="I73" i="6"/>
  <c r="H73" i="6"/>
  <c r="F73" i="6"/>
  <c r="E73" i="6"/>
  <c r="D73" i="6"/>
  <c r="CX72" i="6"/>
  <c r="CW72" i="6"/>
  <c r="CV72" i="6"/>
  <c r="CT72" i="6"/>
  <c r="CS72" i="6"/>
  <c r="CR72" i="6"/>
  <c r="CP72" i="6"/>
  <c r="CO72" i="6"/>
  <c r="CN72" i="6"/>
  <c r="CL72" i="6"/>
  <c r="CK72" i="6"/>
  <c r="CJ72" i="6"/>
  <c r="CH72" i="6"/>
  <c r="CG72" i="6"/>
  <c r="CF72" i="6"/>
  <c r="CD72" i="6"/>
  <c r="CC72" i="6"/>
  <c r="CB72" i="6"/>
  <c r="BZ72" i="6"/>
  <c r="BY72" i="6"/>
  <c r="BX72" i="6"/>
  <c r="BV72" i="6"/>
  <c r="BU72" i="6"/>
  <c r="BT72" i="6"/>
  <c r="BR72" i="6"/>
  <c r="BQ72" i="6"/>
  <c r="BP72" i="6"/>
  <c r="BN72" i="6"/>
  <c r="BM72" i="6"/>
  <c r="BL72" i="6"/>
  <c r="BJ72" i="6"/>
  <c r="BI72" i="6"/>
  <c r="BH72" i="6"/>
  <c r="BF72" i="6"/>
  <c r="BE72" i="6"/>
  <c r="BD72" i="6"/>
  <c r="BB72" i="6"/>
  <c r="BA72" i="6"/>
  <c r="AZ72" i="6"/>
  <c r="AX72" i="6"/>
  <c r="AW72" i="6"/>
  <c r="AV72" i="6"/>
  <c r="AT72" i="6"/>
  <c r="AS72" i="6"/>
  <c r="AR72" i="6"/>
  <c r="AP72" i="6"/>
  <c r="AO72" i="6"/>
  <c r="AN72" i="6"/>
  <c r="AL72" i="6"/>
  <c r="AK72" i="6"/>
  <c r="AJ72" i="6"/>
  <c r="AH72" i="6"/>
  <c r="AG72" i="6"/>
  <c r="AF72" i="6"/>
  <c r="AD72" i="6"/>
  <c r="AC72" i="6"/>
  <c r="AB72" i="6"/>
  <c r="Z72" i="6"/>
  <c r="Y72" i="6"/>
  <c r="X72" i="6"/>
  <c r="V72" i="6"/>
  <c r="U72" i="6"/>
  <c r="T72" i="6"/>
  <c r="R72" i="6"/>
  <c r="Q72" i="6"/>
  <c r="P72" i="6"/>
  <c r="N72" i="6"/>
  <c r="M72" i="6"/>
  <c r="L72" i="6"/>
  <c r="J72" i="6"/>
  <c r="I72" i="6"/>
  <c r="H72" i="6"/>
  <c r="F72" i="6"/>
  <c r="E72" i="6"/>
  <c r="D72" i="6"/>
  <c r="CX71" i="6"/>
  <c r="CW71" i="6"/>
  <c r="CV71" i="6"/>
  <c r="CT71" i="6"/>
  <c r="CS71" i="6"/>
  <c r="CR71" i="6"/>
  <c r="CP71" i="6"/>
  <c r="CO71" i="6"/>
  <c r="CN71" i="6"/>
  <c r="CL71" i="6"/>
  <c r="CK71" i="6"/>
  <c r="CJ71" i="6"/>
  <c r="CH71" i="6"/>
  <c r="CG71" i="6"/>
  <c r="CF71" i="6"/>
  <c r="CD71" i="6"/>
  <c r="CC71" i="6"/>
  <c r="CB71" i="6"/>
  <c r="BZ71" i="6"/>
  <c r="BY71" i="6"/>
  <c r="BX71" i="6"/>
  <c r="BV71" i="6"/>
  <c r="BU71" i="6"/>
  <c r="BT71" i="6"/>
  <c r="BR71" i="6"/>
  <c r="BQ71" i="6"/>
  <c r="BP71" i="6"/>
  <c r="BN71" i="6"/>
  <c r="BM71" i="6"/>
  <c r="BL71" i="6"/>
  <c r="BJ71" i="6"/>
  <c r="BI71" i="6"/>
  <c r="BH71" i="6"/>
  <c r="BF71" i="6"/>
  <c r="BE71" i="6"/>
  <c r="BD71" i="6"/>
  <c r="BB71" i="6"/>
  <c r="BA71" i="6"/>
  <c r="AZ71" i="6"/>
  <c r="AX71" i="6"/>
  <c r="AW71" i="6"/>
  <c r="AV71" i="6"/>
  <c r="AT71" i="6"/>
  <c r="AS71" i="6"/>
  <c r="AR71" i="6"/>
  <c r="AP71" i="6"/>
  <c r="AO71" i="6"/>
  <c r="AN71" i="6"/>
  <c r="AL71" i="6"/>
  <c r="AK71" i="6"/>
  <c r="AJ71" i="6"/>
  <c r="AH71" i="6"/>
  <c r="AG71" i="6"/>
  <c r="AF71" i="6"/>
  <c r="AD71" i="6"/>
  <c r="AC71" i="6"/>
  <c r="AB71" i="6"/>
  <c r="Z71" i="6"/>
  <c r="Y71" i="6"/>
  <c r="X71" i="6"/>
  <c r="V71" i="6"/>
  <c r="U71" i="6"/>
  <c r="T71" i="6"/>
  <c r="R71" i="6"/>
  <c r="Q71" i="6"/>
  <c r="P71" i="6"/>
  <c r="N71" i="6"/>
  <c r="M71" i="6"/>
  <c r="L71" i="6"/>
  <c r="J71" i="6"/>
  <c r="I71" i="6"/>
  <c r="H71" i="6"/>
  <c r="F71" i="6"/>
  <c r="E71" i="6"/>
  <c r="D71" i="6"/>
  <c r="CX70" i="6"/>
  <c r="CW70" i="6"/>
  <c r="CV70" i="6"/>
  <c r="CT70" i="6"/>
  <c r="CS70" i="6"/>
  <c r="CR70" i="6"/>
  <c r="CP70" i="6"/>
  <c r="CO70" i="6"/>
  <c r="CN70" i="6"/>
  <c r="CL70" i="6"/>
  <c r="CK70" i="6"/>
  <c r="CJ70" i="6"/>
  <c r="CH70" i="6"/>
  <c r="CG70" i="6"/>
  <c r="CF70" i="6"/>
  <c r="CD70" i="6"/>
  <c r="CC70" i="6"/>
  <c r="CB70" i="6"/>
  <c r="BZ70" i="6"/>
  <c r="BY70" i="6"/>
  <c r="BX70" i="6"/>
  <c r="BV70" i="6"/>
  <c r="BU70" i="6"/>
  <c r="BT70" i="6"/>
  <c r="BR70" i="6"/>
  <c r="BQ70" i="6"/>
  <c r="BP70" i="6"/>
  <c r="BN70" i="6"/>
  <c r="BM70" i="6"/>
  <c r="BL70" i="6"/>
  <c r="BJ70" i="6"/>
  <c r="BI70" i="6"/>
  <c r="BH70" i="6"/>
  <c r="BF70" i="6"/>
  <c r="BE70" i="6"/>
  <c r="BD70" i="6"/>
  <c r="BB70" i="6"/>
  <c r="BA70" i="6"/>
  <c r="AZ70" i="6"/>
  <c r="AX70" i="6"/>
  <c r="AW70" i="6"/>
  <c r="AV70" i="6"/>
  <c r="AT70" i="6"/>
  <c r="AS70" i="6"/>
  <c r="AR70" i="6"/>
  <c r="AP70" i="6"/>
  <c r="AO70" i="6"/>
  <c r="AN70" i="6"/>
  <c r="AL70" i="6"/>
  <c r="AK70" i="6"/>
  <c r="AJ70" i="6"/>
  <c r="AH70" i="6"/>
  <c r="AG70" i="6"/>
  <c r="AF70" i="6"/>
  <c r="AD70" i="6"/>
  <c r="AC70" i="6"/>
  <c r="AB70" i="6"/>
  <c r="Z70" i="6"/>
  <c r="Y70" i="6"/>
  <c r="X70" i="6"/>
  <c r="V70" i="6"/>
  <c r="U70" i="6"/>
  <c r="T70" i="6"/>
  <c r="R70" i="6"/>
  <c r="Q70" i="6"/>
  <c r="P70" i="6"/>
  <c r="N70" i="6"/>
  <c r="M70" i="6"/>
  <c r="L70" i="6"/>
  <c r="J70" i="6"/>
  <c r="I70" i="6"/>
  <c r="H70" i="6"/>
  <c r="F70" i="6"/>
  <c r="E70" i="6"/>
  <c r="D70" i="6"/>
  <c r="CX69" i="6"/>
  <c r="CW69" i="6"/>
  <c r="CV69" i="6"/>
  <c r="CT69" i="6"/>
  <c r="CS69" i="6"/>
  <c r="CR69" i="6"/>
  <c r="CP69" i="6"/>
  <c r="CO69" i="6"/>
  <c r="CN69" i="6"/>
  <c r="CL69" i="6"/>
  <c r="CK69" i="6"/>
  <c r="CJ69" i="6"/>
  <c r="CH69" i="6"/>
  <c r="CG69" i="6"/>
  <c r="CF69" i="6"/>
  <c r="CD69" i="6"/>
  <c r="CC69" i="6"/>
  <c r="CB69" i="6"/>
  <c r="BZ69" i="6"/>
  <c r="BY69" i="6"/>
  <c r="BX69" i="6"/>
  <c r="BV69" i="6"/>
  <c r="BU69" i="6"/>
  <c r="BT69" i="6"/>
  <c r="BR69" i="6"/>
  <c r="BQ69" i="6"/>
  <c r="BP69" i="6"/>
  <c r="BN69" i="6"/>
  <c r="BM69" i="6"/>
  <c r="BL69" i="6"/>
  <c r="BJ69" i="6"/>
  <c r="BI69" i="6"/>
  <c r="BH69" i="6"/>
  <c r="BF69" i="6"/>
  <c r="BE69" i="6"/>
  <c r="BD69" i="6"/>
  <c r="BB69" i="6"/>
  <c r="BA69" i="6"/>
  <c r="AZ69" i="6"/>
  <c r="AX69" i="6"/>
  <c r="AW69" i="6"/>
  <c r="AV69" i="6"/>
  <c r="AT69" i="6"/>
  <c r="AS69" i="6"/>
  <c r="AR69" i="6"/>
  <c r="AP69" i="6"/>
  <c r="AO69" i="6"/>
  <c r="AN69" i="6"/>
  <c r="AL69" i="6"/>
  <c r="AK69" i="6"/>
  <c r="AJ69" i="6"/>
  <c r="AH69" i="6"/>
  <c r="AG69" i="6"/>
  <c r="AF69" i="6"/>
  <c r="AD69" i="6"/>
  <c r="AC69" i="6"/>
  <c r="AB69" i="6"/>
  <c r="Z69" i="6"/>
  <c r="Y69" i="6"/>
  <c r="X69" i="6"/>
  <c r="V69" i="6"/>
  <c r="U69" i="6"/>
  <c r="T69" i="6"/>
  <c r="R69" i="6"/>
  <c r="Q69" i="6"/>
  <c r="P69" i="6"/>
  <c r="N69" i="6"/>
  <c r="M69" i="6"/>
  <c r="L69" i="6"/>
  <c r="J69" i="6"/>
  <c r="I69" i="6"/>
  <c r="H69" i="6"/>
  <c r="F69" i="6"/>
  <c r="E69" i="6"/>
  <c r="D69" i="6"/>
  <c r="CX68" i="6"/>
  <c r="CW68" i="6"/>
  <c r="CV68" i="6"/>
  <c r="CT68" i="6"/>
  <c r="CS68" i="6"/>
  <c r="CR68" i="6"/>
  <c r="CP68" i="6"/>
  <c r="CO68" i="6"/>
  <c r="CN68" i="6"/>
  <c r="CL68" i="6"/>
  <c r="CK68" i="6"/>
  <c r="CJ68" i="6"/>
  <c r="CH68" i="6"/>
  <c r="CG68" i="6"/>
  <c r="CF68" i="6"/>
  <c r="CD68" i="6"/>
  <c r="CC68" i="6"/>
  <c r="CB68" i="6"/>
  <c r="BZ68" i="6"/>
  <c r="BY68" i="6"/>
  <c r="BX68" i="6"/>
  <c r="BV68" i="6"/>
  <c r="BU68" i="6"/>
  <c r="BT68" i="6"/>
  <c r="BR68" i="6"/>
  <c r="BQ68" i="6"/>
  <c r="BP68" i="6"/>
  <c r="BN68" i="6"/>
  <c r="BM68" i="6"/>
  <c r="BL68" i="6"/>
  <c r="BJ68" i="6"/>
  <c r="BI68" i="6"/>
  <c r="BH68" i="6"/>
  <c r="BF68" i="6"/>
  <c r="BE68" i="6"/>
  <c r="BD68" i="6"/>
  <c r="BB68" i="6"/>
  <c r="BA68" i="6"/>
  <c r="AZ68" i="6"/>
  <c r="AX68" i="6"/>
  <c r="AW68" i="6"/>
  <c r="AV68" i="6"/>
  <c r="AT68" i="6"/>
  <c r="AS68" i="6"/>
  <c r="AR68" i="6"/>
  <c r="AP68" i="6"/>
  <c r="AO68" i="6"/>
  <c r="AN68" i="6"/>
  <c r="AL68" i="6"/>
  <c r="AK68" i="6"/>
  <c r="AJ68" i="6"/>
  <c r="AH68" i="6"/>
  <c r="AG68" i="6"/>
  <c r="AF68" i="6"/>
  <c r="AD68" i="6"/>
  <c r="AC68" i="6"/>
  <c r="AB68" i="6"/>
  <c r="Z68" i="6"/>
  <c r="Y68" i="6"/>
  <c r="X68" i="6"/>
  <c r="V68" i="6"/>
  <c r="U68" i="6"/>
  <c r="T68" i="6"/>
  <c r="R68" i="6"/>
  <c r="Q68" i="6"/>
  <c r="P68" i="6"/>
  <c r="N68" i="6"/>
  <c r="M68" i="6"/>
  <c r="L68" i="6"/>
  <c r="J68" i="6"/>
  <c r="I68" i="6"/>
  <c r="H68" i="6"/>
  <c r="F68" i="6"/>
  <c r="E68" i="6"/>
  <c r="D68" i="6"/>
  <c r="CX67" i="6"/>
  <c r="CW67" i="6"/>
  <c r="CV67" i="6"/>
  <c r="CT67" i="6"/>
  <c r="CS67" i="6"/>
  <c r="CR67" i="6"/>
  <c r="CP67" i="6"/>
  <c r="CO67" i="6"/>
  <c r="CN67" i="6"/>
  <c r="CL67" i="6"/>
  <c r="CK67" i="6"/>
  <c r="CJ67" i="6"/>
  <c r="CH67" i="6"/>
  <c r="CG67" i="6"/>
  <c r="CF67" i="6"/>
  <c r="CD67" i="6"/>
  <c r="CC67" i="6"/>
  <c r="CB67" i="6"/>
  <c r="BZ67" i="6"/>
  <c r="BY67" i="6"/>
  <c r="BX67" i="6"/>
  <c r="BV67" i="6"/>
  <c r="BU67" i="6"/>
  <c r="BT67" i="6"/>
  <c r="BR67" i="6"/>
  <c r="BQ67" i="6"/>
  <c r="BP67" i="6"/>
  <c r="BN67" i="6"/>
  <c r="BM67" i="6"/>
  <c r="BL67" i="6"/>
  <c r="BJ67" i="6"/>
  <c r="BI67" i="6"/>
  <c r="BH67" i="6"/>
  <c r="BF67" i="6"/>
  <c r="BE67" i="6"/>
  <c r="BD67" i="6"/>
  <c r="BB67" i="6"/>
  <c r="BA67" i="6"/>
  <c r="AZ67" i="6"/>
  <c r="AX67" i="6"/>
  <c r="AW67" i="6"/>
  <c r="AV67" i="6"/>
  <c r="AT67" i="6"/>
  <c r="AS67" i="6"/>
  <c r="AR67" i="6"/>
  <c r="AP67" i="6"/>
  <c r="AO67" i="6"/>
  <c r="AN67" i="6"/>
  <c r="AL67" i="6"/>
  <c r="AK67" i="6"/>
  <c r="AJ67" i="6"/>
  <c r="AH67" i="6"/>
  <c r="AG67" i="6"/>
  <c r="AF67" i="6"/>
  <c r="AD67" i="6"/>
  <c r="AC67" i="6"/>
  <c r="AB67" i="6"/>
  <c r="Z67" i="6"/>
  <c r="Y67" i="6"/>
  <c r="X67" i="6"/>
  <c r="V67" i="6"/>
  <c r="U67" i="6"/>
  <c r="T67" i="6"/>
  <c r="R67" i="6"/>
  <c r="Q67" i="6"/>
  <c r="P67" i="6"/>
  <c r="N67" i="6"/>
  <c r="M67" i="6"/>
  <c r="L67" i="6"/>
  <c r="J67" i="6"/>
  <c r="I67" i="6"/>
  <c r="H67" i="6"/>
  <c r="F67" i="6"/>
  <c r="E67" i="6"/>
  <c r="D67" i="6"/>
  <c r="CX66" i="6"/>
  <c r="CW66" i="6"/>
  <c r="CV66" i="6"/>
  <c r="CT66" i="6"/>
  <c r="CS66" i="6"/>
  <c r="CR66" i="6"/>
  <c r="CP66" i="6"/>
  <c r="CO66" i="6"/>
  <c r="CN66" i="6"/>
  <c r="CL66" i="6"/>
  <c r="CK66" i="6"/>
  <c r="CJ66" i="6"/>
  <c r="CH66" i="6"/>
  <c r="CG66" i="6"/>
  <c r="CF66" i="6"/>
  <c r="CD66" i="6"/>
  <c r="CC66" i="6"/>
  <c r="CB66" i="6"/>
  <c r="BZ66" i="6"/>
  <c r="BY66" i="6"/>
  <c r="BX66" i="6"/>
  <c r="BV66" i="6"/>
  <c r="BU66" i="6"/>
  <c r="BT66" i="6"/>
  <c r="BR66" i="6"/>
  <c r="BQ66" i="6"/>
  <c r="BP66" i="6"/>
  <c r="BN66" i="6"/>
  <c r="BM66" i="6"/>
  <c r="BL66" i="6"/>
  <c r="BJ66" i="6"/>
  <c r="BI66" i="6"/>
  <c r="BH66" i="6"/>
  <c r="BF66" i="6"/>
  <c r="BE66" i="6"/>
  <c r="BD66" i="6"/>
  <c r="BB66" i="6"/>
  <c r="BA66" i="6"/>
  <c r="AZ66" i="6"/>
  <c r="AX66" i="6"/>
  <c r="AW66" i="6"/>
  <c r="AV66" i="6"/>
  <c r="AT66" i="6"/>
  <c r="AS66" i="6"/>
  <c r="AR66" i="6"/>
  <c r="AP66" i="6"/>
  <c r="AO66" i="6"/>
  <c r="AN66" i="6"/>
  <c r="AL66" i="6"/>
  <c r="AK66" i="6"/>
  <c r="AJ66" i="6"/>
  <c r="AH66" i="6"/>
  <c r="AG66" i="6"/>
  <c r="AF66" i="6"/>
  <c r="AD66" i="6"/>
  <c r="AC66" i="6"/>
  <c r="AB66" i="6"/>
  <c r="Z66" i="6"/>
  <c r="Y66" i="6"/>
  <c r="X66" i="6"/>
  <c r="V66" i="6"/>
  <c r="U66" i="6"/>
  <c r="T66" i="6"/>
  <c r="R66" i="6"/>
  <c r="Q66" i="6"/>
  <c r="P66" i="6"/>
  <c r="N66" i="6"/>
  <c r="M66" i="6"/>
  <c r="L66" i="6"/>
  <c r="J66" i="6"/>
  <c r="I66" i="6"/>
  <c r="H66" i="6"/>
  <c r="F66" i="6"/>
  <c r="E66" i="6"/>
  <c r="D66" i="6"/>
  <c r="CX65" i="6"/>
  <c r="CW65" i="6"/>
  <c r="CV65" i="6"/>
  <c r="CT65" i="6"/>
  <c r="CS65" i="6"/>
  <c r="CR65" i="6"/>
  <c r="CP65" i="6"/>
  <c r="CO65" i="6"/>
  <c r="CN65" i="6"/>
  <c r="CL65" i="6"/>
  <c r="CK65" i="6"/>
  <c r="CJ65" i="6"/>
  <c r="CH65" i="6"/>
  <c r="CG65" i="6"/>
  <c r="CF65" i="6"/>
  <c r="CD65" i="6"/>
  <c r="CC65" i="6"/>
  <c r="CB65" i="6"/>
  <c r="BZ65" i="6"/>
  <c r="BY65" i="6"/>
  <c r="BX65" i="6"/>
  <c r="BV65" i="6"/>
  <c r="BU65" i="6"/>
  <c r="BT65" i="6"/>
  <c r="BR65" i="6"/>
  <c r="BQ65" i="6"/>
  <c r="BP65" i="6"/>
  <c r="BN65" i="6"/>
  <c r="BM65" i="6"/>
  <c r="BL65" i="6"/>
  <c r="BJ65" i="6"/>
  <c r="BI65" i="6"/>
  <c r="BH65" i="6"/>
  <c r="BF65" i="6"/>
  <c r="BE65" i="6"/>
  <c r="BD65" i="6"/>
  <c r="BB65" i="6"/>
  <c r="BA65" i="6"/>
  <c r="AZ65" i="6"/>
  <c r="AX65" i="6"/>
  <c r="AW65" i="6"/>
  <c r="AV65" i="6"/>
  <c r="AT65" i="6"/>
  <c r="AS65" i="6"/>
  <c r="AR65" i="6"/>
  <c r="AP65" i="6"/>
  <c r="AO65" i="6"/>
  <c r="AN65" i="6"/>
  <c r="AL65" i="6"/>
  <c r="AK65" i="6"/>
  <c r="AJ65" i="6"/>
  <c r="AH65" i="6"/>
  <c r="AG65" i="6"/>
  <c r="AF65" i="6"/>
  <c r="AD65" i="6"/>
  <c r="AC65" i="6"/>
  <c r="AB65" i="6"/>
  <c r="Z65" i="6"/>
  <c r="Y65" i="6"/>
  <c r="X65" i="6"/>
  <c r="V65" i="6"/>
  <c r="U65" i="6"/>
  <c r="T65" i="6"/>
  <c r="R65" i="6"/>
  <c r="Q65" i="6"/>
  <c r="P65" i="6"/>
  <c r="N65" i="6"/>
  <c r="M65" i="6"/>
  <c r="L65" i="6"/>
  <c r="J65" i="6"/>
  <c r="I65" i="6"/>
  <c r="H65" i="6"/>
  <c r="F65" i="6"/>
  <c r="E65" i="6"/>
  <c r="D65" i="6"/>
  <c r="CX64" i="6"/>
  <c r="CW64" i="6"/>
  <c r="CV64" i="6"/>
  <c r="CT64" i="6"/>
  <c r="CS64" i="6"/>
  <c r="CR64" i="6"/>
  <c r="CP64" i="6"/>
  <c r="CO64" i="6"/>
  <c r="CN64" i="6"/>
  <c r="CL64" i="6"/>
  <c r="CK64" i="6"/>
  <c r="CJ64" i="6"/>
  <c r="CH64" i="6"/>
  <c r="CG64" i="6"/>
  <c r="CF64" i="6"/>
  <c r="CD64" i="6"/>
  <c r="CC64" i="6"/>
  <c r="CB64" i="6"/>
  <c r="BZ64" i="6"/>
  <c r="BY64" i="6"/>
  <c r="BX64" i="6"/>
  <c r="BV64" i="6"/>
  <c r="BU64" i="6"/>
  <c r="BT64" i="6"/>
  <c r="BR64" i="6"/>
  <c r="BQ64" i="6"/>
  <c r="BP64" i="6"/>
  <c r="BN64" i="6"/>
  <c r="BM64" i="6"/>
  <c r="BL64" i="6"/>
  <c r="BJ64" i="6"/>
  <c r="BI64" i="6"/>
  <c r="BH64" i="6"/>
  <c r="BF64" i="6"/>
  <c r="BE64" i="6"/>
  <c r="BD64" i="6"/>
  <c r="BB64" i="6"/>
  <c r="BA64" i="6"/>
  <c r="AZ64" i="6"/>
  <c r="AX64" i="6"/>
  <c r="AW64" i="6"/>
  <c r="AV64" i="6"/>
  <c r="AT64" i="6"/>
  <c r="AS64" i="6"/>
  <c r="AR64" i="6"/>
  <c r="AP64" i="6"/>
  <c r="AO64" i="6"/>
  <c r="AN64" i="6"/>
  <c r="AL64" i="6"/>
  <c r="AK64" i="6"/>
  <c r="AJ64" i="6"/>
  <c r="AH64" i="6"/>
  <c r="AG64" i="6"/>
  <c r="AF64" i="6"/>
  <c r="AD64" i="6"/>
  <c r="AC64" i="6"/>
  <c r="AB64" i="6"/>
  <c r="Z64" i="6"/>
  <c r="Y64" i="6"/>
  <c r="X64" i="6"/>
  <c r="V64" i="6"/>
  <c r="U64" i="6"/>
  <c r="T64" i="6"/>
  <c r="R64" i="6"/>
  <c r="Q64" i="6"/>
  <c r="P64" i="6"/>
  <c r="N64" i="6"/>
  <c r="M64" i="6"/>
  <c r="L64" i="6"/>
  <c r="J64" i="6"/>
  <c r="I64" i="6"/>
  <c r="H64" i="6"/>
  <c r="F64" i="6"/>
  <c r="E64" i="6"/>
  <c r="D64" i="6"/>
  <c r="CX63" i="6"/>
  <c r="CW63" i="6"/>
  <c r="CV63" i="6"/>
  <c r="CT63" i="6"/>
  <c r="CS63" i="6"/>
  <c r="CR63" i="6"/>
  <c r="CP63" i="6"/>
  <c r="CO63" i="6"/>
  <c r="CN63" i="6"/>
  <c r="CL63" i="6"/>
  <c r="CK63" i="6"/>
  <c r="CJ63" i="6"/>
  <c r="CH63" i="6"/>
  <c r="CG63" i="6"/>
  <c r="CF63" i="6"/>
  <c r="CD63" i="6"/>
  <c r="CC63" i="6"/>
  <c r="CB63" i="6"/>
  <c r="BZ63" i="6"/>
  <c r="BY63" i="6"/>
  <c r="BX63" i="6"/>
  <c r="BV63" i="6"/>
  <c r="BU63" i="6"/>
  <c r="BT63" i="6"/>
  <c r="BR63" i="6"/>
  <c r="BQ63" i="6"/>
  <c r="BP63" i="6"/>
  <c r="BN63" i="6"/>
  <c r="BM63" i="6"/>
  <c r="BL63" i="6"/>
  <c r="BJ63" i="6"/>
  <c r="BI63" i="6"/>
  <c r="BH63" i="6"/>
  <c r="BF63" i="6"/>
  <c r="BE63" i="6"/>
  <c r="BD63" i="6"/>
  <c r="BB63" i="6"/>
  <c r="BA63" i="6"/>
  <c r="AZ63" i="6"/>
  <c r="AX63" i="6"/>
  <c r="AW63" i="6"/>
  <c r="AV63" i="6"/>
  <c r="AT63" i="6"/>
  <c r="AS63" i="6"/>
  <c r="AR63" i="6"/>
  <c r="AP63" i="6"/>
  <c r="AO63" i="6"/>
  <c r="AN63" i="6"/>
  <c r="AL63" i="6"/>
  <c r="AK63" i="6"/>
  <c r="AJ63" i="6"/>
  <c r="AH63" i="6"/>
  <c r="AG63" i="6"/>
  <c r="AF63" i="6"/>
  <c r="AD63" i="6"/>
  <c r="AC63" i="6"/>
  <c r="AB63" i="6"/>
  <c r="Z63" i="6"/>
  <c r="Y63" i="6"/>
  <c r="X63" i="6"/>
  <c r="V63" i="6"/>
  <c r="U63" i="6"/>
  <c r="T63" i="6"/>
  <c r="R63" i="6"/>
  <c r="Q63" i="6"/>
  <c r="P63" i="6"/>
  <c r="N63" i="6"/>
  <c r="M63" i="6"/>
  <c r="L63" i="6"/>
  <c r="J63" i="6"/>
  <c r="I63" i="6"/>
  <c r="H63" i="6"/>
  <c r="F63" i="6"/>
  <c r="E63" i="6"/>
  <c r="D63" i="6"/>
  <c r="CX62" i="6"/>
  <c r="CW62" i="6"/>
  <c r="CV62" i="6"/>
  <c r="CT62" i="6"/>
  <c r="CS62" i="6"/>
  <c r="CR62" i="6"/>
  <c r="CP62" i="6"/>
  <c r="CO62" i="6"/>
  <c r="CN62" i="6"/>
  <c r="CL62" i="6"/>
  <c r="CK62" i="6"/>
  <c r="CJ62" i="6"/>
  <c r="CH62" i="6"/>
  <c r="CG62" i="6"/>
  <c r="CF62" i="6"/>
  <c r="CD62" i="6"/>
  <c r="CC62" i="6"/>
  <c r="CB62" i="6"/>
  <c r="BZ62" i="6"/>
  <c r="BY62" i="6"/>
  <c r="BX62" i="6"/>
  <c r="BV62" i="6"/>
  <c r="BU62" i="6"/>
  <c r="BT62" i="6"/>
  <c r="BR62" i="6"/>
  <c r="BQ62" i="6"/>
  <c r="BP62" i="6"/>
  <c r="BN62" i="6"/>
  <c r="BM62" i="6"/>
  <c r="BL62" i="6"/>
  <c r="BJ62" i="6"/>
  <c r="BI62" i="6"/>
  <c r="BH62" i="6"/>
  <c r="BF62" i="6"/>
  <c r="BE62" i="6"/>
  <c r="BD62" i="6"/>
  <c r="BB62" i="6"/>
  <c r="BA62" i="6"/>
  <c r="AZ62" i="6"/>
  <c r="AX62" i="6"/>
  <c r="AW62" i="6"/>
  <c r="AV62" i="6"/>
  <c r="AT62" i="6"/>
  <c r="AS62" i="6"/>
  <c r="AR62" i="6"/>
  <c r="AP62" i="6"/>
  <c r="AO62" i="6"/>
  <c r="AN62" i="6"/>
  <c r="AL62" i="6"/>
  <c r="AK62" i="6"/>
  <c r="AJ62" i="6"/>
  <c r="AH62" i="6"/>
  <c r="AG62" i="6"/>
  <c r="AF62" i="6"/>
  <c r="AD62" i="6"/>
  <c r="AC62" i="6"/>
  <c r="AB62" i="6"/>
  <c r="Z62" i="6"/>
  <c r="Y62" i="6"/>
  <c r="X62" i="6"/>
  <c r="V62" i="6"/>
  <c r="U62" i="6"/>
  <c r="T62" i="6"/>
  <c r="R62" i="6"/>
  <c r="Q62" i="6"/>
  <c r="P62" i="6"/>
  <c r="N62" i="6"/>
  <c r="M62" i="6"/>
  <c r="L62" i="6"/>
  <c r="J62" i="6"/>
  <c r="I62" i="6"/>
  <c r="H62" i="6"/>
  <c r="F62" i="6"/>
  <c r="E62" i="6"/>
  <c r="D62" i="6"/>
  <c r="CX61" i="6"/>
  <c r="CW61" i="6"/>
  <c r="CV61" i="6"/>
  <c r="CT61" i="6"/>
  <c r="CS61" i="6"/>
  <c r="CR61" i="6"/>
  <c r="CP61" i="6"/>
  <c r="CO61" i="6"/>
  <c r="CN61" i="6"/>
  <c r="CL61" i="6"/>
  <c r="CK61" i="6"/>
  <c r="CJ61" i="6"/>
  <c r="CH61" i="6"/>
  <c r="CG61" i="6"/>
  <c r="CF61" i="6"/>
  <c r="CD61" i="6"/>
  <c r="CC61" i="6"/>
  <c r="CB61" i="6"/>
  <c r="BZ61" i="6"/>
  <c r="BY61" i="6"/>
  <c r="BX61" i="6"/>
  <c r="BV61" i="6"/>
  <c r="BU61" i="6"/>
  <c r="BT61" i="6"/>
  <c r="BR61" i="6"/>
  <c r="BQ61" i="6"/>
  <c r="BP61" i="6"/>
  <c r="BN61" i="6"/>
  <c r="BM61" i="6"/>
  <c r="BL61" i="6"/>
  <c r="BJ61" i="6"/>
  <c r="BI61" i="6"/>
  <c r="BH61" i="6"/>
  <c r="BF61" i="6"/>
  <c r="BE61" i="6"/>
  <c r="BD61" i="6"/>
  <c r="BB61" i="6"/>
  <c r="BA61" i="6"/>
  <c r="AZ61" i="6"/>
  <c r="AX61" i="6"/>
  <c r="AW61" i="6"/>
  <c r="AV61" i="6"/>
  <c r="AT61" i="6"/>
  <c r="AS61" i="6"/>
  <c r="AR61" i="6"/>
  <c r="AP61" i="6"/>
  <c r="AO61" i="6"/>
  <c r="AN61" i="6"/>
  <c r="AL61" i="6"/>
  <c r="AK61" i="6"/>
  <c r="AJ61" i="6"/>
  <c r="AH61" i="6"/>
  <c r="AG61" i="6"/>
  <c r="AF61" i="6"/>
  <c r="AD61" i="6"/>
  <c r="AC61" i="6"/>
  <c r="AB61" i="6"/>
  <c r="Z61" i="6"/>
  <c r="Y61" i="6"/>
  <c r="X61" i="6"/>
  <c r="V61" i="6"/>
  <c r="U61" i="6"/>
  <c r="T61" i="6"/>
  <c r="R61" i="6"/>
  <c r="Q61" i="6"/>
  <c r="P61" i="6"/>
  <c r="N61" i="6"/>
  <c r="M61" i="6"/>
  <c r="L61" i="6"/>
  <c r="J61" i="6"/>
  <c r="I61" i="6"/>
  <c r="H61" i="6"/>
  <c r="F61" i="6"/>
  <c r="E61" i="6"/>
  <c r="D61" i="6"/>
  <c r="CX60" i="6"/>
  <c r="CW60" i="6"/>
  <c r="CV60" i="6"/>
  <c r="CT60" i="6"/>
  <c r="CS60" i="6"/>
  <c r="CR60" i="6"/>
  <c r="CP60" i="6"/>
  <c r="CO60" i="6"/>
  <c r="CN60" i="6"/>
  <c r="CL60" i="6"/>
  <c r="CK60" i="6"/>
  <c r="CJ60" i="6"/>
  <c r="CH60" i="6"/>
  <c r="CG60" i="6"/>
  <c r="CF60" i="6"/>
  <c r="CD60" i="6"/>
  <c r="CC60" i="6"/>
  <c r="CB60" i="6"/>
  <c r="BZ60" i="6"/>
  <c r="BY60" i="6"/>
  <c r="BX60" i="6"/>
  <c r="BV60" i="6"/>
  <c r="BU60" i="6"/>
  <c r="BT60" i="6"/>
  <c r="BR60" i="6"/>
  <c r="BQ60" i="6"/>
  <c r="BP60" i="6"/>
  <c r="BN60" i="6"/>
  <c r="BM60" i="6"/>
  <c r="BL60" i="6"/>
  <c r="BJ60" i="6"/>
  <c r="BI60" i="6"/>
  <c r="BH60" i="6"/>
  <c r="BF60" i="6"/>
  <c r="BE60" i="6"/>
  <c r="BD60" i="6"/>
  <c r="BB60" i="6"/>
  <c r="BA60" i="6"/>
  <c r="AZ60" i="6"/>
  <c r="AX60" i="6"/>
  <c r="AW60" i="6"/>
  <c r="AV60" i="6"/>
  <c r="AT60" i="6"/>
  <c r="AS60" i="6"/>
  <c r="AR60" i="6"/>
  <c r="AP60" i="6"/>
  <c r="AO60" i="6"/>
  <c r="AN60" i="6"/>
  <c r="AL60" i="6"/>
  <c r="AK60" i="6"/>
  <c r="AJ60" i="6"/>
  <c r="AH60" i="6"/>
  <c r="AG60" i="6"/>
  <c r="AF60" i="6"/>
  <c r="AD60" i="6"/>
  <c r="AC60" i="6"/>
  <c r="AB60" i="6"/>
  <c r="Z60" i="6"/>
  <c r="Y60" i="6"/>
  <c r="X60" i="6"/>
  <c r="V60" i="6"/>
  <c r="U60" i="6"/>
  <c r="T60" i="6"/>
  <c r="R60" i="6"/>
  <c r="Q60" i="6"/>
  <c r="P60" i="6"/>
  <c r="N60" i="6"/>
  <c r="M60" i="6"/>
  <c r="L60" i="6"/>
  <c r="J60" i="6"/>
  <c r="I60" i="6"/>
  <c r="H60" i="6"/>
  <c r="F60" i="6"/>
  <c r="E60" i="6"/>
  <c r="D60" i="6"/>
  <c r="CX59" i="6"/>
  <c r="CW59" i="6"/>
  <c r="CV59" i="6"/>
  <c r="CT59" i="6"/>
  <c r="CS59" i="6"/>
  <c r="CR59" i="6"/>
  <c r="CP59" i="6"/>
  <c r="CO59" i="6"/>
  <c r="CN59" i="6"/>
  <c r="CL59" i="6"/>
  <c r="CK59" i="6"/>
  <c r="CJ59" i="6"/>
  <c r="CH59" i="6"/>
  <c r="CG59" i="6"/>
  <c r="CF59" i="6"/>
  <c r="CD59" i="6"/>
  <c r="CC59" i="6"/>
  <c r="CB59" i="6"/>
  <c r="BZ59" i="6"/>
  <c r="BY59" i="6"/>
  <c r="BX59" i="6"/>
  <c r="BV59" i="6"/>
  <c r="BU59" i="6"/>
  <c r="BT59" i="6"/>
  <c r="BR59" i="6"/>
  <c r="BQ59" i="6"/>
  <c r="BP59" i="6"/>
  <c r="BN59" i="6"/>
  <c r="BM59" i="6"/>
  <c r="BL59" i="6"/>
  <c r="BJ59" i="6"/>
  <c r="BI59" i="6"/>
  <c r="BH59" i="6"/>
  <c r="BF59" i="6"/>
  <c r="BE59" i="6"/>
  <c r="BD59" i="6"/>
  <c r="BB59" i="6"/>
  <c r="BA59" i="6"/>
  <c r="AZ59" i="6"/>
  <c r="AX59" i="6"/>
  <c r="AW59" i="6"/>
  <c r="AV59" i="6"/>
  <c r="AT59" i="6"/>
  <c r="AS59" i="6"/>
  <c r="AR59" i="6"/>
  <c r="AP59" i="6"/>
  <c r="AO59" i="6"/>
  <c r="AN59" i="6"/>
  <c r="AL59" i="6"/>
  <c r="AK59" i="6"/>
  <c r="AJ59" i="6"/>
  <c r="AH59" i="6"/>
  <c r="AG59" i="6"/>
  <c r="AF59" i="6"/>
  <c r="AD59" i="6"/>
  <c r="AC59" i="6"/>
  <c r="AB59" i="6"/>
  <c r="Z59" i="6"/>
  <c r="Y59" i="6"/>
  <c r="X59" i="6"/>
  <c r="V59" i="6"/>
  <c r="U59" i="6"/>
  <c r="T59" i="6"/>
  <c r="R59" i="6"/>
  <c r="Q59" i="6"/>
  <c r="P59" i="6"/>
  <c r="N59" i="6"/>
  <c r="M59" i="6"/>
  <c r="L59" i="6"/>
  <c r="J59" i="6"/>
  <c r="I59" i="6"/>
  <c r="H59" i="6"/>
  <c r="F59" i="6"/>
  <c r="E59" i="6"/>
  <c r="D59" i="6"/>
  <c r="CX58" i="6"/>
  <c r="CW58" i="6"/>
  <c r="CV58" i="6"/>
  <c r="CT58" i="6"/>
  <c r="CS58" i="6"/>
  <c r="CR58" i="6"/>
  <c r="CP58" i="6"/>
  <c r="CO58" i="6"/>
  <c r="CN58" i="6"/>
  <c r="CL58" i="6"/>
  <c r="CK58" i="6"/>
  <c r="CJ58" i="6"/>
  <c r="CH58" i="6"/>
  <c r="CG58" i="6"/>
  <c r="CF58" i="6"/>
  <c r="CD58" i="6"/>
  <c r="CC58" i="6"/>
  <c r="CB58" i="6"/>
  <c r="BZ58" i="6"/>
  <c r="BY58" i="6"/>
  <c r="BX58" i="6"/>
  <c r="BV58" i="6"/>
  <c r="BU58" i="6"/>
  <c r="BT58" i="6"/>
  <c r="BR58" i="6"/>
  <c r="BQ58" i="6"/>
  <c r="BP58" i="6"/>
  <c r="BN58" i="6"/>
  <c r="BM58" i="6"/>
  <c r="BL58" i="6"/>
  <c r="BJ58" i="6"/>
  <c r="BI58" i="6"/>
  <c r="BH58" i="6"/>
  <c r="BF58" i="6"/>
  <c r="BE58" i="6"/>
  <c r="BD58" i="6"/>
  <c r="BB58" i="6"/>
  <c r="BA58" i="6"/>
  <c r="AZ58" i="6"/>
  <c r="AX58" i="6"/>
  <c r="AW58" i="6"/>
  <c r="AV58" i="6"/>
  <c r="AT58" i="6"/>
  <c r="AS58" i="6"/>
  <c r="AR58" i="6"/>
  <c r="AP58" i="6"/>
  <c r="AO58" i="6"/>
  <c r="AN58" i="6"/>
  <c r="AL58" i="6"/>
  <c r="AK58" i="6"/>
  <c r="AJ58" i="6"/>
  <c r="AH58" i="6"/>
  <c r="AG58" i="6"/>
  <c r="AF58" i="6"/>
  <c r="AD58" i="6"/>
  <c r="AC58" i="6"/>
  <c r="AB58" i="6"/>
  <c r="Z58" i="6"/>
  <c r="Y58" i="6"/>
  <c r="X58" i="6"/>
  <c r="V58" i="6"/>
  <c r="U58" i="6"/>
  <c r="T58" i="6"/>
  <c r="R58" i="6"/>
  <c r="Q58" i="6"/>
  <c r="P58" i="6"/>
  <c r="N58" i="6"/>
  <c r="M58" i="6"/>
  <c r="L58" i="6"/>
  <c r="J58" i="6"/>
  <c r="I58" i="6"/>
  <c r="H58" i="6"/>
  <c r="F58" i="6"/>
  <c r="E58" i="6"/>
  <c r="D58" i="6"/>
  <c r="CX57" i="6"/>
  <c r="CW57" i="6"/>
  <c r="CV57" i="6"/>
  <c r="CT57" i="6"/>
  <c r="CS57" i="6"/>
  <c r="CR57" i="6"/>
  <c r="CP57" i="6"/>
  <c r="CO57" i="6"/>
  <c r="CN57" i="6"/>
  <c r="CL57" i="6"/>
  <c r="CK57" i="6"/>
  <c r="CJ57" i="6"/>
  <c r="CH57" i="6"/>
  <c r="CG57" i="6"/>
  <c r="CF57" i="6"/>
  <c r="CD57" i="6"/>
  <c r="CC57" i="6"/>
  <c r="CB57" i="6"/>
  <c r="BZ57" i="6"/>
  <c r="BY57" i="6"/>
  <c r="BX57" i="6"/>
  <c r="BV57" i="6"/>
  <c r="BU57" i="6"/>
  <c r="BT57" i="6"/>
  <c r="BR57" i="6"/>
  <c r="BQ57" i="6"/>
  <c r="BP57" i="6"/>
  <c r="BN57" i="6"/>
  <c r="BM57" i="6"/>
  <c r="BL57" i="6"/>
  <c r="BJ57" i="6"/>
  <c r="BI57" i="6"/>
  <c r="BH57" i="6"/>
  <c r="BF57" i="6"/>
  <c r="BE57" i="6"/>
  <c r="BD57" i="6"/>
  <c r="BB57" i="6"/>
  <c r="BA57" i="6"/>
  <c r="AZ57" i="6"/>
  <c r="AX57" i="6"/>
  <c r="AW57" i="6"/>
  <c r="AV57" i="6"/>
  <c r="AT57" i="6"/>
  <c r="AS57" i="6"/>
  <c r="AR57" i="6"/>
  <c r="AP57" i="6"/>
  <c r="AO57" i="6"/>
  <c r="AN57" i="6"/>
  <c r="AL57" i="6"/>
  <c r="AK57" i="6"/>
  <c r="AJ57" i="6"/>
  <c r="AH57" i="6"/>
  <c r="AG57" i="6"/>
  <c r="AF57" i="6"/>
  <c r="AD57" i="6"/>
  <c r="AC57" i="6"/>
  <c r="AB57" i="6"/>
  <c r="Z57" i="6"/>
  <c r="Y57" i="6"/>
  <c r="X57" i="6"/>
  <c r="V57" i="6"/>
  <c r="U57" i="6"/>
  <c r="T57" i="6"/>
  <c r="R57" i="6"/>
  <c r="Q57" i="6"/>
  <c r="P57" i="6"/>
  <c r="N57" i="6"/>
  <c r="M57" i="6"/>
  <c r="L57" i="6"/>
  <c r="J57" i="6"/>
  <c r="I57" i="6"/>
  <c r="H57" i="6"/>
  <c r="F57" i="6"/>
  <c r="E57" i="6"/>
  <c r="D57" i="6"/>
  <c r="CX56" i="6"/>
  <c r="CW56" i="6"/>
  <c r="CV56" i="6"/>
  <c r="CT56" i="6"/>
  <c r="CS56" i="6"/>
  <c r="CR56" i="6"/>
  <c r="CP56" i="6"/>
  <c r="CO56" i="6"/>
  <c r="CN56" i="6"/>
  <c r="CL56" i="6"/>
  <c r="CK56" i="6"/>
  <c r="CJ56" i="6"/>
  <c r="CH56" i="6"/>
  <c r="CG56" i="6"/>
  <c r="CF56" i="6"/>
  <c r="CD56" i="6"/>
  <c r="CC56" i="6"/>
  <c r="CB56" i="6"/>
  <c r="BZ56" i="6"/>
  <c r="BY56" i="6"/>
  <c r="BX56" i="6"/>
  <c r="BV56" i="6"/>
  <c r="BU56" i="6"/>
  <c r="BT56" i="6"/>
  <c r="BR56" i="6"/>
  <c r="BQ56" i="6"/>
  <c r="BP56" i="6"/>
  <c r="BN56" i="6"/>
  <c r="BM56" i="6"/>
  <c r="BL56" i="6"/>
  <c r="BJ56" i="6"/>
  <c r="BI56" i="6"/>
  <c r="BH56" i="6"/>
  <c r="BF56" i="6"/>
  <c r="BE56" i="6"/>
  <c r="BD56" i="6"/>
  <c r="BB56" i="6"/>
  <c r="BA56" i="6"/>
  <c r="AZ56" i="6"/>
  <c r="AX56" i="6"/>
  <c r="AW56" i="6"/>
  <c r="AV56" i="6"/>
  <c r="AT56" i="6"/>
  <c r="AS56" i="6"/>
  <c r="AR56" i="6"/>
  <c r="AP56" i="6"/>
  <c r="AO56" i="6"/>
  <c r="AN56" i="6"/>
  <c r="AL56" i="6"/>
  <c r="AK56" i="6"/>
  <c r="AJ56" i="6"/>
  <c r="AH56" i="6"/>
  <c r="AG56" i="6"/>
  <c r="AF56" i="6"/>
  <c r="AD56" i="6"/>
  <c r="AC56" i="6"/>
  <c r="AB56" i="6"/>
  <c r="Z56" i="6"/>
  <c r="Y56" i="6"/>
  <c r="X56" i="6"/>
  <c r="V56" i="6"/>
  <c r="U56" i="6"/>
  <c r="T56" i="6"/>
  <c r="R56" i="6"/>
  <c r="Q56" i="6"/>
  <c r="P56" i="6"/>
  <c r="N56" i="6"/>
  <c r="M56" i="6"/>
  <c r="L56" i="6"/>
  <c r="J56" i="6"/>
  <c r="I56" i="6"/>
  <c r="H56" i="6"/>
  <c r="F56" i="6"/>
  <c r="E56" i="6"/>
  <c r="D56" i="6"/>
  <c r="CX55" i="6"/>
  <c r="CW55" i="6"/>
  <c r="CV55" i="6"/>
  <c r="CT55" i="6"/>
  <c r="CS55" i="6"/>
  <c r="CR55" i="6"/>
  <c r="CP55" i="6"/>
  <c r="CO55" i="6"/>
  <c r="CN55" i="6"/>
  <c r="CL55" i="6"/>
  <c r="CK55" i="6"/>
  <c r="CJ55" i="6"/>
  <c r="CH55" i="6"/>
  <c r="CG55" i="6"/>
  <c r="CF55" i="6"/>
  <c r="CD55" i="6"/>
  <c r="CC55" i="6"/>
  <c r="CB55" i="6"/>
  <c r="BZ55" i="6"/>
  <c r="BY55" i="6"/>
  <c r="BX55" i="6"/>
  <c r="BV55" i="6"/>
  <c r="BU55" i="6"/>
  <c r="BT55" i="6"/>
  <c r="BR55" i="6"/>
  <c r="BQ55" i="6"/>
  <c r="BP55" i="6"/>
  <c r="BN55" i="6"/>
  <c r="BM55" i="6"/>
  <c r="BL55" i="6"/>
  <c r="BJ55" i="6"/>
  <c r="BI55" i="6"/>
  <c r="BH55" i="6"/>
  <c r="BF55" i="6"/>
  <c r="BE55" i="6"/>
  <c r="BD55" i="6"/>
  <c r="BB55" i="6"/>
  <c r="BA55" i="6"/>
  <c r="AZ55" i="6"/>
  <c r="AX55" i="6"/>
  <c r="AW55" i="6"/>
  <c r="AV55" i="6"/>
  <c r="AT55" i="6"/>
  <c r="AS55" i="6"/>
  <c r="AR55" i="6"/>
  <c r="AP55" i="6"/>
  <c r="AO55" i="6"/>
  <c r="AN55" i="6"/>
  <c r="AL55" i="6"/>
  <c r="AK55" i="6"/>
  <c r="AJ55" i="6"/>
  <c r="AH55" i="6"/>
  <c r="AG55" i="6"/>
  <c r="AF55" i="6"/>
  <c r="AD55" i="6"/>
  <c r="AC55" i="6"/>
  <c r="AB55" i="6"/>
  <c r="Z55" i="6"/>
  <c r="Y55" i="6"/>
  <c r="X55" i="6"/>
  <c r="V55" i="6"/>
  <c r="U55" i="6"/>
  <c r="T55" i="6"/>
  <c r="R55" i="6"/>
  <c r="Q55" i="6"/>
  <c r="P55" i="6"/>
  <c r="N55" i="6"/>
  <c r="M55" i="6"/>
  <c r="L55" i="6"/>
  <c r="J55" i="6"/>
  <c r="I55" i="6"/>
  <c r="H55" i="6"/>
  <c r="F55" i="6"/>
  <c r="E55" i="6"/>
  <c r="D55" i="6"/>
  <c r="CX54" i="6"/>
  <c r="CW54" i="6"/>
  <c r="CV54" i="6"/>
  <c r="CT54" i="6"/>
  <c r="CS54" i="6"/>
  <c r="CR54" i="6"/>
  <c r="CP54" i="6"/>
  <c r="CO54" i="6"/>
  <c r="CN54" i="6"/>
  <c r="CL54" i="6"/>
  <c r="CK54" i="6"/>
  <c r="CJ54" i="6"/>
  <c r="CH54" i="6"/>
  <c r="CG54" i="6"/>
  <c r="CF54" i="6"/>
  <c r="CD54" i="6"/>
  <c r="CC54" i="6"/>
  <c r="CB54" i="6"/>
  <c r="BZ54" i="6"/>
  <c r="BY54" i="6"/>
  <c r="BX54" i="6"/>
  <c r="BV54" i="6"/>
  <c r="BU54" i="6"/>
  <c r="BT54" i="6"/>
  <c r="BR54" i="6"/>
  <c r="BQ54" i="6"/>
  <c r="BP54" i="6"/>
  <c r="BN54" i="6"/>
  <c r="BM54" i="6"/>
  <c r="BL54" i="6"/>
  <c r="BJ54" i="6"/>
  <c r="BI54" i="6"/>
  <c r="BH54" i="6"/>
  <c r="BF54" i="6"/>
  <c r="BE54" i="6"/>
  <c r="BD54" i="6"/>
  <c r="BB54" i="6"/>
  <c r="BA54" i="6"/>
  <c r="AZ54" i="6"/>
  <c r="AX54" i="6"/>
  <c r="AW54" i="6"/>
  <c r="AV54" i="6"/>
  <c r="AT54" i="6"/>
  <c r="AS54" i="6"/>
  <c r="AR54" i="6"/>
  <c r="AP54" i="6"/>
  <c r="AO54" i="6"/>
  <c r="AN54" i="6"/>
  <c r="AL54" i="6"/>
  <c r="AK54" i="6"/>
  <c r="AJ54" i="6"/>
  <c r="AH54" i="6"/>
  <c r="AG54" i="6"/>
  <c r="AF54" i="6"/>
  <c r="AD54" i="6"/>
  <c r="AC54" i="6"/>
  <c r="AB54" i="6"/>
  <c r="Z54" i="6"/>
  <c r="Y54" i="6"/>
  <c r="X54" i="6"/>
  <c r="V54" i="6"/>
  <c r="U54" i="6"/>
  <c r="T54" i="6"/>
  <c r="R54" i="6"/>
  <c r="Q54" i="6"/>
  <c r="P54" i="6"/>
  <c r="N54" i="6"/>
  <c r="M54" i="6"/>
  <c r="L54" i="6"/>
  <c r="J54" i="6"/>
  <c r="I54" i="6"/>
  <c r="H54" i="6"/>
  <c r="F54" i="6"/>
  <c r="E54" i="6"/>
  <c r="D54" i="6"/>
  <c r="CX53" i="6"/>
  <c r="CW53" i="6"/>
  <c r="CV53" i="6"/>
  <c r="CT53" i="6"/>
  <c r="CS53" i="6"/>
  <c r="CR53" i="6"/>
  <c r="CP53" i="6"/>
  <c r="CO53" i="6"/>
  <c r="CN53" i="6"/>
  <c r="CL53" i="6"/>
  <c r="CK53" i="6"/>
  <c r="CJ53" i="6"/>
  <c r="CH53" i="6"/>
  <c r="CG53" i="6"/>
  <c r="CF53" i="6"/>
  <c r="CD53" i="6"/>
  <c r="CC53" i="6"/>
  <c r="CB53" i="6"/>
  <c r="BZ53" i="6"/>
  <c r="BY53" i="6"/>
  <c r="BX53" i="6"/>
  <c r="BV53" i="6"/>
  <c r="BU53" i="6"/>
  <c r="BT53" i="6"/>
  <c r="BR53" i="6"/>
  <c r="BQ53" i="6"/>
  <c r="BP53" i="6"/>
  <c r="BN53" i="6"/>
  <c r="BM53" i="6"/>
  <c r="BL53" i="6"/>
  <c r="BJ53" i="6"/>
  <c r="BI53" i="6"/>
  <c r="BH53" i="6"/>
  <c r="BF53" i="6"/>
  <c r="BE53" i="6"/>
  <c r="BD53" i="6"/>
  <c r="BB53" i="6"/>
  <c r="BA53" i="6"/>
  <c r="AZ53" i="6"/>
  <c r="AX53" i="6"/>
  <c r="AW53" i="6"/>
  <c r="AV53" i="6"/>
  <c r="AT53" i="6"/>
  <c r="AS53" i="6"/>
  <c r="AR53" i="6"/>
  <c r="AP53" i="6"/>
  <c r="AO53" i="6"/>
  <c r="AN53" i="6"/>
  <c r="AL53" i="6"/>
  <c r="AK53" i="6"/>
  <c r="AJ53" i="6"/>
  <c r="AH53" i="6"/>
  <c r="AG53" i="6"/>
  <c r="AF53" i="6"/>
  <c r="AD53" i="6"/>
  <c r="AC53" i="6"/>
  <c r="AB53" i="6"/>
  <c r="Z53" i="6"/>
  <c r="Y53" i="6"/>
  <c r="X53" i="6"/>
  <c r="V53" i="6"/>
  <c r="U53" i="6"/>
  <c r="T53" i="6"/>
  <c r="R53" i="6"/>
  <c r="Q53" i="6"/>
  <c r="P53" i="6"/>
  <c r="N53" i="6"/>
  <c r="M53" i="6"/>
  <c r="L53" i="6"/>
  <c r="J53" i="6"/>
  <c r="I53" i="6"/>
  <c r="H53" i="6"/>
  <c r="F53" i="6"/>
  <c r="E53" i="6"/>
  <c r="D53" i="6"/>
  <c r="CX52" i="6"/>
  <c r="CW52" i="6"/>
  <c r="CV52" i="6"/>
  <c r="CT52" i="6"/>
  <c r="CS52" i="6"/>
  <c r="CR52" i="6"/>
  <c r="CP52" i="6"/>
  <c r="CO52" i="6"/>
  <c r="CN52" i="6"/>
  <c r="CL52" i="6"/>
  <c r="CK52" i="6"/>
  <c r="CJ52" i="6"/>
  <c r="CH52" i="6"/>
  <c r="CG52" i="6"/>
  <c r="CF52" i="6"/>
  <c r="CD52" i="6"/>
  <c r="CC52" i="6"/>
  <c r="CB52" i="6"/>
  <c r="BZ52" i="6"/>
  <c r="BY52" i="6"/>
  <c r="BX52" i="6"/>
  <c r="BV52" i="6"/>
  <c r="BU52" i="6"/>
  <c r="BT52" i="6"/>
  <c r="BR52" i="6"/>
  <c r="BQ52" i="6"/>
  <c r="BP52" i="6"/>
  <c r="BN52" i="6"/>
  <c r="BM52" i="6"/>
  <c r="BL52" i="6"/>
  <c r="BJ52" i="6"/>
  <c r="BI52" i="6"/>
  <c r="BH52" i="6"/>
  <c r="BF52" i="6"/>
  <c r="BE52" i="6"/>
  <c r="BD52" i="6"/>
  <c r="BB52" i="6"/>
  <c r="BA52" i="6"/>
  <c r="AZ52" i="6"/>
  <c r="AX52" i="6"/>
  <c r="AW52" i="6"/>
  <c r="AV52" i="6"/>
  <c r="AT52" i="6"/>
  <c r="AS52" i="6"/>
  <c r="AR52" i="6"/>
  <c r="AP52" i="6"/>
  <c r="AO52" i="6"/>
  <c r="AN52" i="6"/>
  <c r="AL52" i="6"/>
  <c r="AK52" i="6"/>
  <c r="AJ52" i="6"/>
  <c r="AH52" i="6"/>
  <c r="AG52" i="6"/>
  <c r="AF52" i="6"/>
  <c r="AD52" i="6"/>
  <c r="AC52" i="6"/>
  <c r="AB52" i="6"/>
  <c r="Z52" i="6"/>
  <c r="Y52" i="6"/>
  <c r="X52" i="6"/>
  <c r="V52" i="6"/>
  <c r="U52" i="6"/>
  <c r="T52" i="6"/>
  <c r="R52" i="6"/>
  <c r="Q52" i="6"/>
  <c r="P52" i="6"/>
  <c r="N52" i="6"/>
  <c r="M52" i="6"/>
  <c r="L52" i="6"/>
  <c r="J52" i="6"/>
  <c r="I52" i="6"/>
  <c r="H52" i="6"/>
  <c r="F52" i="6"/>
  <c r="E52" i="6"/>
  <c r="D52" i="6"/>
  <c r="CX51" i="6"/>
  <c r="CW51" i="6"/>
  <c r="CV51" i="6"/>
  <c r="CT51" i="6"/>
  <c r="CS51" i="6"/>
  <c r="CR51" i="6"/>
  <c r="CP51" i="6"/>
  <c r="CO51" i="6"/>
  <c r="CN51" i="6"/>
  <c r="CL51" i="6"/>
  <c r="CK51" i="6"/>
  <c r="CJ51" i="6"/>
  <c r="CH51" i="6"/>
  <c r="CG51" i="6"/>
  <c r="CF51" i="6"/>
  <c r="CD51" i="6"/>
  <c r="CC51" i="6"/>
  <c r="CB51" i="6"/>
  <c r="BZ51" i="6"/>
  <c r="BY51" i="6"/>
  <c r="BX51" i="6"/>
  <c r="BV51" i="6"/>
  <c r="BU51" i="6"/>
  <c r="BT51" i="6"/>
  <c r="BR51" i="6"/>
  <c r="BQ51" i="6"/>
  <c r="BP51" i="6"/>
  <c r="BN51" i="6"/>
  <c r="BM51" i="6"/>
  <c r="BL51" i="6"/>
  <c r="BJ51" i="6"/>
  <c r="BI51" i="6"/>
  <c r="BH51" i="6"/>
  <c r="BF51" i="6"/>
  <c r="BE51" i="6"/>
  <c r="BD51" i="6"/>
  <c r="BB51" i="6"/>
  <c r="BA51" i="6"/>
  <c r="AZ51" i="6"/>
  <c r="AX51" i="6"/>
  <c r="AW51" i="6"/>
  <c r="AV51" i="6"/>
  <c r="AT51" i="6"/>
  <c r="AS51" i="6"/>
  <c r="AR51" i="6"/>
  <c r="AP51" i="6"/>
  <c r="AO51" i="6"/>
  <c r="AN51" i="6"/>
  <c r="AL51" i="6"/>
  <c r="AK51" i="6"/>
  <c r="AJ51" i="6"/>
  <c r="AH51" i="6"/>
  <c r="AG51" i="6"/>
  <c r="AF51" i="6"/>
  <c r="AD51" i="6"/>
  <c r="AC51" i="6"/>
  <c r="AB51" i="6"/>
  <c r="Z51" i="6"/>
  <c r="Y51" i="6"/>
  <c r="X51" i="6"/>
  <c r="V51" i="6"/>
  <c r="U51" i="6"/>
  <c r="T51" i="6"/>
  <c r="R51" i="6"/>
  <c r="Q51" i="6"/>
  <c r="P51" i="6"/>
  <c r="N51" i="6"/>
  <c r="M51" i="6"/>
  <c r="L51" i="6"/>
  <c r="J51" i="6"/>
  <c r="I51" i="6"/>
  <c r="H51" i="6"/>
  <c r="F51" i="6"/>
  <c r="E51" i="6"/>
  <c r="D51" i="6"/>
  <c r="CX50" i="6"/>
  <c r="CW50" i="6"/>
  <c r="CV50" i="6"/>
  <c r="CT50" i="6"/>
  <c r="CS50" i="6"/>
  <c r="CR50" i="6"/>
  <c r="CP50" i="6"/>
  <c r="CO50" i="6"/>
  <c r="CN50" i="6"/>
  <c r="CL50" i="6"/>
  <c r="CK50" i="6"/>
  <c r="CJ50" i="6"/>
  <c r="CH50" i="6"/>
  <c r="CG50" i="6"/>
  <c r="CF50" i="6"/>
  <c r="CD50" i="6"/>
  <c r="CC50" i="6"/>
  <c r="CB50" i="6"/>
  <c r="BZ50" i="6"/>
  <c r="BY50" i="6"/>
  <c r="BX50" i="6"/>
  <c r="BV50" i="6"/>
  <c r="BU50" i="6"/>
  <c r="BT50" i="6"/>
  <c r="BR50" i="6"/>
  <c r="BQ50" i="6"/>
  <c r="BP50" i="6"/>
  <c r="BN50" i="6"/>
  <c r="BM50" i="6"/>
  <c r="BL50" i="6"/>
  <c r="BJ50" i="6"/>
  <c r="BI50" i="6"/>
  <c r="BH50" i="6"/>
  <c r="BF50" i="6"/>
  <c r="BE50" i="6"/>
  <c r="BD50" i="6"/>
  <c r="BB50" i="6"/>
  <c r="BA50" i="6"/>
  <c r="AZ50" i="6"/>
  <c r="AX50" i="6"/>
  <c r="AW50" i="6"/>
  <c r="AV50" i="6"/>
  <c r="AT50" i="6"/>
  <c r="AS50" i="6"/>
  <c r="AR50" i="6"/>
  <c r="AP50" i="6"/>
  <c r="AO50" i="6"/>
  <c r="AN50" i="6"/>
  <c r="AL50" i="6"/>
  <c r="AK50" i="6"/>
  <c r="AJ50" i="6"/>
  <c r="AH50" i="6"/>
  <c r="AG50" i="6"/>
  <c r="AF50" i="6"/>
  <c r="AD50" i="6"/>
  <c r="AC50" i="6"/>
  <c r="AB50" i="6"/>
  <c r="Z50" i="6"/>
  <c r="Y50" i="6"/>
  <c r="X50" i="6"/>
  <c r="V50" i="6"/>
  <c r="U50" i="6"/>
  <c r="T50" i="6"/>
  <c r="R50" i="6"/>
  <c r="Q50" i="6"/>
  <c r="P50" i="6"/>
  <c r="N50" i="6"/>
  <c r="M50" i="6"/>
  <c r="L50" i="6"/>
  <c r="J50" i="6"/>
  <c r="I50" i="6"/>
  <c r="H50" i="6"/>
  <c r="F50" i="6"/>
  <c r="E50" i="6"/>
  <c r="D50" i="6"/>
  <c r="CX49" i="6"/>
  <c r="CW49" i="6"/>
  <c r="CV49" i="6"/>
  <c r="CT49" i="6"/>
  <c r="CS49" i="6"/>
  <c r="CR49" i="6"/>
  <c r="CP49" i="6"/>
  <c r="CO49" i="6"/>
  <c r="CN49" i="6"/>
  <c r="CL49" i="6"/>
  <c r="CK49" i="6"/>
  <c r="CJ49" i="6"/>
  <c r="CH49" i="6"/>
  <c r="CG49" i="6"/>
  <c r="CF49" i="6"/>
  <c r="CD49" i="6"/>
  <c r="CC49" i="6"/>
  <c r="CB49" i="6"/>
  <c r="BZ49" i="6"/>
  <c r="BY49" i="6"/>
  <c r="BX49" i="6"/>
  <c r="BV49" i="6"/>
  <c r="BU49" i="6"/>
  <c r="BT49" i="6"/>
  <c r="BR49" i="6"/>
  <c r="BQ49" i="6"/>
  <c r="BP49" i="6"/>
  <c r="BN49" i="6"/>
  <c r="BM49" i="6"/>
  <c r="BL49" i="6"/>
  <c r="BJ49" i="6"/>
  <c r="BI49" i="6"/>
  <c r="BH49" i="6"/>
  <c r="BF49" i="6"/>
  <c r="BE49" i="6"/>
  <c r="BD49" i="6"/>
  <c r="BB49" i="6"/>
  <c r="BA49" i="6"/>
  <c r="AZ49" i="6"/>
  <c r="AX49" i="6"/>
  <c r="AW49" i="6"/>
  <c r="AV49" i="6"/>
  <c r="AT49" i="6"/>
  <c r="AS49" i="6"/>
  <c r="AR49" i="6"/>
  <c r="AP49" i="6"/>
  <c r="AO49" i="6"/>
  <c r="AN49" i="6"/>
  <c r="AL49" i="6"/>
  <c r="AK49" i="6"/>
  <c r="AJ49" i="6"/>
  <c r="AH49" i="6"/>
  <c r="AG49" i="6"/>
  <c r="AF49" i="6"/>
  <c r="AD49" i="6"/>
  <c r="AC49" i="6"/>
  <c r="AB49" i="6"/>
  <c r="Z49" i="6"/>
  <c r="Y49" i="6"/>
  <c r="X49" i="6"/>
  <c r="V49" i="6"/>
  <c r="U49" i="6"/>
  <c r="T49" i="6"/>
  <c r="R49" i="6"/>
  <c r="Q49" i="6"/>
  <c r="P49" i="6"/>
  <c r="N49" i="6"/>
  <c r="M49" i="6"/>
  <c r="L49" i="6"/>
  <c r="J49" i="6"/>
  <c r="I49" i="6"/>
  <c r="H49" i="6"/>
  <c r="F49" i="6"/>
  <c r="E49" i="6"/>
  <c r="D49" i="6"/>
  <c r="CX48" i="6"/>
  <c r="CW48" i="6"/>
  <c r="CV48" i="6"/>
  <c r="CT48" i="6"/>
  <c r="CS48" i="6"/>
  <c r="CR48" i="6"/>
  <c r="CP48" i="6"/>
  <c r="CO48" i="6"/>
  <c r="CN48" i="6"/>
  <c r="CL48" i="6"/>
  <c r="CK48" i="6"/>
  <c r="CJ48" i="6"/>
  <c r="CH48" i="6"/>
  <c r="CG48" i="6"/>
  <c r="CF48" i="6"/>
  <c r="CD48" i="6"/>
  <c r="CC48" i="6"/>
  <c r="CB48" i="6"/>
  <c r="BZ48" i="6"/>
  <c r="BY48" i="6"/>
  <c r="BX48" i="6"/>
  <c r="BV48" i="6"/>
  <c r="BU48" i="6"/>
  <c r="BT48" i="6"/>
  <c r="BR48" i="6"/>
  <c r="BQ48" i="6"/>
  <c r="BP48" i="6"/>
  <c r="BN48" i="6"/>
  <c r="BM48" i="6"/>
  <c r="BL48" i="6"/>
  <c r="BJ48" i="6"/>
  <c r="BI48" i="6"/>
  <c r="BH48" i="6"/>
  <c r="BF48" i="6"/>
  <c r="BE48" i="6"/>
  <c r="BD48" i="6"/>
  <c r="BB48" i="6"/>
  <c r="BA48" i="6"/>
  <c r="AZ48" i="6"/>
  <c r="AX48" i="6"/>
  <c r="AW48" i="6"/>
  <c r="AV48" i="6"/>
  <c r="AT48" i="6"/>
  <c r="AS48" i="6"/>
  <c r="AR48" i="6"/>
  <c r="AP48" i="6"/>
  <c r="AO48" i="6"/>
  <c r="AN48" i="6"/>
  <c r="AL48" i="6"/>
  <c r="AK48" i="6"/>
  <c r="AJ48" i="6"/>
  <c r="AH48" i="6"/>
  <c r="AG48" i="6"/>
  <c r="AF48" i="6"/>
  <c r="AD48" i="6"/>
  <c r="AC48" i="6"/>
  <c r="AB48" i="6"/>
  <c r="Z48" i="6"/>
  <c r="Y48" i="6"/>
  <c r="X48" i="6"/>
  <c r="V48" i="6"/>
  <c r="U48" i="6"/>
  <c r="T48" i="6"/>
  <c r="R48" i="6"/>
  <c r="Q48" i="6"/>
  <c r="P48" i="6"/>
  <c r="N48" i="6"/>
  <c r="M48" i="6"/>
  <c r="L48" i="6"/>
  <c r="J48" i="6"/>
  <c r="I48" i="6"/>
  <c r="H48" i="6"/>
  <c r="F48" i="6"/>
  <c r="E48" i="6"/>
  <c r="D48" i="6"/>
  <c r="CX47" i="6"/>
  <c r="CW47" i="6"/>
  <c r="CV47" i="6"/>
  <c r="CT47" i="6"/>
  <c r="CS47" i="6"/>
  <c r="CR47" i="6"/>
  <c r="CP47" i="6"/>
  <c r="CO47" i="6"/>
  <c r="CN47" i="6"/>
  <c r="CL47" i="6"/>
  <c r="CK47" i="6"/>
  <c r="CJ47" i="6"/>
  <c r="CH47" i="6"/>
  <c r="CG47" i="6"/>
  <c r="CF47" i="6"/>
  <c r="CD47" i="6"/>
  <c r="CC47" i="6"/>
  <c r="CB47" i="6"/>
  <c r="BZ47" i="6"/>
  <c r="BY47" i="6"/>
  <c r="BX47" i="6"/>
  <c r="BV47" i="6"/>
  <c r="BU47" i="6"/>
  <c r="BT47" i="6"/>
  <c r="BR47" i="6"/>
  <c r="BQ47" i="6"/>
  <c r="BP47" i="6"/>
  <c r="BN47" i="6"/>
  <c r="BM47" i="6"/>
  <c r="BL47" i="6"/>
  <c r="BJ47" i="6"/>
  <c r="BI47" i="6"/>
  <c r="BH47" i="6"/>
  <c r="BF47" i="6"/>
  <c r="BE47" i="6"/>
  <c r="BD47" i="6"/>
  <c r="BB47" i="6"/>
  <c r="BA47" i="6"/>
  <c r="AZ47" i="6"/>
  <c r="AX47" i="6"/>
  <c r="AW47" i="6"/>
  <c r="AV47" i="6"/>
  <c r="AT47" i="6"/>
  <c r="AS47" i="6"/>
  <c r="AR47" i="6"/>
  <c r="AP47" i="6"/>
  <c r="AO47" i="6"/>
  <c r="AN47" i="6"/>
  <c r="AL47" i="6"/>
  <c r="AK47" i="6"/>
  <c r="AJ47" i="6"/>
  <c r="AH47" i="6"/>
  <c r="AG47" i="6"/>
  <c r="AF47" i="6"/>
  <c r="AD47" i="6"/>
  <c r="AC47" i="6"/>
  <c r="AB47" i="6"/>
  <c r="Z47" i="6"/>
  <c r="Y47" i="6"/>
  <c r="X47" i="6"/>
  <c r="V47" i="6"/>
  <c r="U47" i="6"/>
  <c r="T47" i="6"/>
  <c r="R47" i="6"/>
  <c r="Q47" i="6"/>
  <c r="P47" i="6"/>
  <c r="N47" i="6"/>
  <c r="M47" i="6"/>
  <c r="L47" i="6"/>
  <c r="J47" i="6"/>
  <c r="I47" i="6"/>
  <c r="H47" i="6"/>
  <c r="F47" i="6"/>
  <c r="E47" i="6"/>
  <c r="D47" i="6"/>
  <c r="CX46" i="6"/>
  <c r="CW46" i="6"/>
  <c r="CV46" i="6"/>
  <c r="CT46" i="6"/>
  <c r="CS46" i="6"/>
  <c r="CR46" i="6"/>
  <c r="CP46" i="6"/>
  <c r="CO46" i="6"/>
  <c r="CN46" i="6"/>
  <c r="CL46" i="6"/>
  <c r="CK46" i="6"/>
  <c r="CJ46" i="6"/>
  <c r="CH46" i="6"/>
  <c r="CG46" i="6"/>
  <c r="CF46" i="6"/>
  <c r="CD46" i="6"/>
  <c r="CC46" i="6"/>
  <c r="CB46" i="6"/>
  <c r="BZ46" i="6"/>
  <c r="BY46" i="6"/>
  <c r="BX46" i="6"/>
  <c r="BV46" i="6"/>
  <c r="BU46" i="6"/>
  <c r="BT46" i="6"/>
  <c r="BR46" i="6"/>
  <c r="BQ46" i="6"/>
  <c r="BP46" i="6"/>
  <c r="BN46" i="6"/>
  <c r="BM46" i="6"/>
  <c r="BL46" i="6"/>
  <c r="BJ46" i="6"/>
  <c r="BI46" i="6"/>
  <c r="BH46" i="6"/>
  <c r="BF46" i="6"/>
  <c r="BE46" i="6"/>
  <c r="BD46" i="6"/>
  <c r="BB46" i="6"/>
  <c r="BA46" i="6"/>
  <c r="AZ46" i="6"/>
  <c r="AX46" i="6"/>
  <c r="AW46" i="6"/>
  <c r="AV46" i="6"/>
  <c r="AT46" i="6"/>
  <c r="AS46" i="6"/>
  <c r="AR46" i="6"/>
  <c r="AP46" i="6"/>
  <c r="AO46" i="6"/>
  <c r="AN46" i="6"/>
  <c r="AL46" i="6"/>
  <c r="AK46" i="6"/>
  <c r="AJ46" i="6"/>
  <c r="AH46" i="6"/>
  <c r="AG46" i="6"/>
  <c r="AF46" i="6"/>
  <c r="AD46" i="6"/>
  <c r="AC46" i="6"/>
  <c r="AB46" i="6"/>
  <c r="Z46" i="6"/>
  <c r="Y46" i="6"/>
  <c r="X46" i="6"/>
  <c r="V46" i="6"/>
  <c r="U46" i="6"/>
  <c r="T46" i="6"/>
  <c r="R46" i="6"/>
  <c r="Q46" i="6"/>
  <c r="P46" i="6"/>
  <c r="N46" i="6"/>
  <c r="M46" i="6"/>
  <c r="L46" i="6"/>
  <c r="J46" i="6"/>
  <c r="I46" i="6"/>
  <c r="H46" i="6"/>
  <c r="F46" i="6"/>
  <c r="E46" i="6"/>
  <c r="D46" i="6"/>
  <c r="CX45" i="6"/>
  <c r="CW45" i="6"/>
  <c r="CV45" i="6"/>
  <c r="CT45" i="6"/>
  <c r="CS45" i="6"/>
  <c r="CR45" i="6"/>
  <c r="CP45" i="6"/>
  <c r="CO45" i="6"/>
  <c r="CN45" i="6"/>
  <c r="CL45" i="6"/>
  <c r="CK45" i="6"/>
  <c r="CJ45" i="6"/>
  <c r="CH45" i="6"/>
  <c r="CG45" i="6"/>
  <c r="CF45" i="6"/>
  <c r="CD45" i="6"/>
  <c r="CC45" i="6"/>
  <c r="CB45" i="6"/>
  <c r="BZ45" i="6"/>
  <c r="BY45" i="6"/>
  <c r="BX45" i="6"/>
  <c r="BV45" i="6"/>
  <c r="BU45" i="6"/>
  <c r="BT45" i="6"/>
  <c r="BR45" i="6"/>
  <c r="BQ45" i="6"/>
  <c r="BP45" i="6"/>
  <c r="BN45" i="6"/>
  <c r="BM45" i="6"/>
  <c r="BL45" i="6"/>
  <c r="BJ45" i="6"/>
  <c r="BI45" i="6"/>
  <c r="BH45" i="6"/>
  <c r="BF45" i="6"/>
  <c r="BE45" i="6"/>
  <c r="BD45" i="6"/>
  <c r="BB45" i="6"/>
  <c r="BA45" i="6"/>
  <c r="AZ45" i="6"/>
  <c r="AX45" i="6"/>
  <c r="AW45" i="6"/>
  <c r="AV45" i="6"/>
  <c r="AT45" i="6"/>
  <c r="AS45" i="6"/>
  <c r="AR45" i="6"/>
  <c r="AP45" i="6"/>
  <c r="AO45" i="6"/>
  <c r="AN45" i="6"/>
  <c r="AL45" i="6"/>
  <c r="AK45" i="6"/>
  <c r="AJ45" i="6"/>
  <c r="AH45" i="6"/>
  <c r="AG45" i="6"/>
  <c r="AF45" i="6"/>
  <c r="AD45" i="6"/>
  <c r="AC45" i="6"/>
  <c r="AB45" i="6"/>
  <c r="Z45" i="6"/>
  <c r="Y45" i="6"/>
  <c r="X45" i="6"/>
  <c r="V45" i="6"/>
  <c r="U45" i="6"/>
  <c r="T45" i="6"/>
  <c r="R45" i="6"/>
  <c r="Q45" i="6"/>
  <c r="P45" i="6"/>
  <c r="N45" i="6"/>
  <c r="M45" i="6"/>
  <c r="L45" i="6"/>
  <c r="J45" i="6"/>
  <c r="I45" i="6"/>
  <c r="H45" i="6"/>
  <c r="F45" i="6"/>
  <c r="E45" i="6"/>
  <c r="D45" i="6"/>
  <c r="CX44" i="6"/>
  <c r="CW44" i="6"/>
  <c r="CV44" i="6"/>
  <c r="CT44" i="6"/>
  <c r="CS44" i="6"/>
  <c r="CR44" i="6"/>
  <c r="CP44" i="6"/>
  <c r="CO44" i="6"/>
  <c r="CN44" i="6"/>
  <c r="CL44" i="6"/>
  <c r="CK44" i="6"/>
  <c r="CJ44" i="6"/>
  <c r="CH44" i="6"/>
  <c r="CG44" i="6"/>
  <c r="CF44" i="6"/>
  <c r="CD44" i="6"/>
  <c r="CC44" i="6"/>
  <c r="CB44" i="6"/>
  <c r="BZ44" i="6"/>
  <c r="BY44" i="6"/>
  <c r="BX44" i="6"/>
  <c r="BV44" i="6"/>
  <c r="BU44" i="6"/>
  <c r="BT44" i="6"/>
  <c r="BR44" i="6"/>
  <c r="BQ44" i="6"/>
  <c r="BP44" i="6"/>
  <c r="BN44" i="6"/>
  <c r="BM44" i="6"/>
  <c r="BL44" i="6"/>
  <c r="BJ44" i="6"/>
  <c r="BI44" i="6"/>
  <c r="BH44" i="6"/>
  <c r="BF44" i="6"/>
  <c r="BE44" i="6"/>
  <c r="BD44" i="6"/>
  <c r="BB44" i="6"/>
  <c r="BA44" i="6"/>
  <c r="AZ44" i="6"/>
  <c r="AX44" i="6"/>
  <c r="AW44" i="6"/>
  <c r="AV44" i="6"/>
  <c r="AT44" i="6"/>
  <c r="AS44" i="6"/>
  <c r="AR44" i="6"/>
  <c r="AP44" i="6"/>
  <c r="AO44" i="6"/>
  <c r="AN44" i="6"/>
  <c r="AL44" i="6"/>
  <c r="AK44" i="6"/>
  <c r="AJ44" i="6"/>
  <c r="AH44" i="6"/>
  <c r="AG44" i="6"/>
  <c r="AF44" i="6"/>
  <c r="AD44" i="6"/>
  <c r="AC44" i="6"/>
  <c r="AB44" i="6"/>
  <c r="Z44" i="6"/>
  <c r="Y44" i="6"/>
  <c r="X44" i="6"/>
  <c r="V44" i="6"/>
  <c r="U44" i="6"/>
  <c r="T44" i="6"/>
  <c r="R44" i="6"/>
  <c r="Q44" i="6"/>
  <c r="P44" i="6"/>
  <c r="N44" i="6"/>
  <c r="M44" i="6"/>
  <c r="L44" i="6"/>
  <c r="J44" i="6"/>
  <c r="I44" i="6"/>
  <c r="H44" i="6"/>
  <c r="F44" i="6"/>
  <c r="E44" i="6"/>
  <c r="D44" i="6"/>
  <c r="CX43" i="6"/>
  <c r="CW43" i="6"/>
  <c r="CV43" i="6"/>
  <c r="CT43" i="6"/>
  <c r="CS43" i="6"/>
  <c r="CR43" i="6"/>
  <c r="CP43" i="6"/>
  <c r="CO43" i="6"/>
  <c r="CN43" i="6"/>
  <c r="CL43" i="6"/>
  <c r="CK43" i="6"/>
  <c r="CJ43" i="6"/>
  <c r="CH43" i="6"/>
  <c r="CG43" i="6"/>
  <c r="CF43" i="6"/>
  <c r="CD43" i="6"/>
  <c r="CC43" i="6"/>
  <c r="CB43" i="6"/>
  <c r="BZ43" i="6"/>
  <c r="BY43" i="6"/>
  <c r="BX43" i="6"/>
  <c r="BV43" i="6"/>
  <c r="BU43" i="6"/>
  <c r="BT43" i="6"/>
  <c r="BR43" i="6"/>
  <c r="BQ43" i="6"/>
  <c r="BP43" i="6"/>
  <c r="BN43" i="6"/>
  <c r="BM43" i="6"/>
  <c r="BL43" i="6"/>
  <c r="BJ43" i="6"/>
  <c r="BI43" i="6"/>
  <c r="BH43" i="6"/>
  <c r="BF43" i="6"/>
  <c r="BE43" i="6"/>
  <c r="BD43" i="6"/>
  <c r="BB43" i="6"/>
  <c r="BA43" i="6"/>
  <c r="AZ43" i="6"/>
  <c r="AX43" i="6"/>
  <c r="AW43" i="6"/>
  <c r="AV43" i="6"/>
  <c r="AT43" i="6"/>
  <c r="AS43" i="6"/>
  <c r="AR43" i="6"/>
  <c r="AP43" i="6"/>
  <c r="AO43" i="6"/>
  <c r="AN43" i="6"/>
  <c r="AL43" i="6"/>
  <c r="AK43" i="6"/>
  <c r="AJ43" i="6"/>
  <c r="AH43" i="6"/>
  <c r="AG43" i="6"/>
  <c r="AF43" i="6"/>
  <c r="AD43" i="6"/>
  <c r="AC43" i="6"/>
  <c r="AB43" i="6"/>
  <c r="Z43" i="6"/>
  <c r="Y43" i="6"/>
  <c r="X43" i="6"/>
  <c r="V43" i="6"/>
  <c r="U43" i="6"/>
  <c r="T43" i="6"/>
  <c r="R43" i="6"/>
  <c r="Q43" i="6"/>
  <c r="P43" i="6"/>
  <c r="N43" i="6"/>
  <c r="M43" i="6"/>
  <c r="L43" i="6"/>
  <c r="J43" i="6"/>
  <c r="I43" i="6"/>
  <c r="H43" i="6"/>
  <c r="F43" i="6"/>
  <c r="E43" i="6"/>
  <c r="D43" i="6"/>
  <c r="CX42" i="6"/>
  <c r="CW42" i="6"/>
  <c r="CV42" i="6"/>
  <c r="CT42" i="6"/>
  <c r="CS42" i="6"/>
  <c r="CR42" i="6"/>
  <c r="CP42" i="6"/>
  <c r="CO42" i="6"/>
  <c r="CN42" i="6"/>
  <c r="CL42" i="6"/>
  <c r="CK42" i="6"/>
  <c r="CJ42" i="6"/>
  <c r="CH42" i="6"/>
  <c r="CG42" i="6"/>
  <c r="CF42" i="6"/>
  <c r="CD42" i="6"/>
  <c r="CC42" i="6"/>
  <c r="CB42" i="6"/>
  <c r="BZ42" i="6"/>
  <c r="BY42" i="6"/>
  <c r="BX42" i="6"/>
  <c r="BV42" i="6"/>
  <c r="BU42" i="6"/>
  <c r="BT42" i="6"/>
  <c r="BR42" i="6"/>
  <c r="BQ42" i="6"/>
  <c r="BP42" i="6"/>
  <c r="BN42" i="6"/>
  <c r="BM42" i="6"/>
  <c r="BL42" i="6"/>
  <c r="BJ42" i="6"/>
  <c r="BI42" i="6"/>
  <c r="BH42" i="6"/>
  <c r="BF42" i="6"/>
  <c r="BE42" i="6"/>
  <c r="BD42" i="6"/>
  <c r="BB42" i="6"/>
  <c r="BA42" i="6"/>
  <c r="AZ42" i="6"/>
  <c r="AX42" i="6"/>
  <c r="AW42" i="6"/>
  <c r="AV42" i="6"/>
  <c r="AT42" i="6"/>
  <c r="AS42" i="6"/>
  <c r="AR42" i="6"/>
  <c r="AP42" i="6"/>
  <c r="AO42" i="6"/>
  <c r="AN42" i="6"/>
  <c r="AL42" i="6"/>
  <c r="AK42" i="6"/>
  <c r="AJ42" i="6"/>
  <c r="AH42" i="6"/>
  <c r="AG42" i="6"/>
  <c r="AF42" i="6"/>
  <c r="AD42" i="6"/>
  <c r="AC42" i="6"/>
  <c r="AB42" i="6"/>
  <c r="Z42" i="6"/>
  <c r="Y42" i="6"/>
  <c r="X42" i="6"/>
  <c r="V42" i="6"/>
  <c r="U42" i="6"/>
  <c r="T42" i="6"/>
  <c r="R42" i="6"/>
  <c r="Q42" i="6"/>
  <c r="P42" i="6"/>
  <c r="N42" i="6"/>
  <c r="M42" i="6"/>
  <c r="L42" i="6"/>
  <c r="J42" i="6"/>
  <c r="I42" i="6"/>
  <c r="H42" i="6"/>
  <c r="F42" i="6"/>
  <c r="E42" i="6"/>
  <c r="D42" i="6"/>
  <c r="CX41" i="6"/>
  <c r="CW41" i="6"/>
  <c r="CV41" i="6"/>
  <c r="CT41" i="6"/>
  <c r="CS41" i="6"/>
  <c r="CR41" i="6"/>
  <c r="CP41" i="6"/>
  <c r="CO41" i="6"/>
  <c r="CN41" i="6"/>
  <c r="CL41" i="6"/>
  <c r="CK41" i="6"/>
  <c r="CJ41" i="6"/>
  <c r="CH41" i="6"/>
  <c r="CG41" i="6"/>
  <c r="CF41" i="6"/>
  <c r="CD41" i="6"/>
  <c r="CC41" i="6"/>
  <c r="CB41" i="6"/>
  <c r="BZ41" i="6"/>
  <c r="BY41" i="6"/>
  <c r="BX41" i="6"/>
  <c r="BV41" i="6"/>
  <c r="BU41" i="6"/>
  <c r="BT41" i="6"/>
  <c r="BR41" i="6"/>
  <c r="BQ41" i="6"/>
  <c r="BP41" i="6"/>
  <c r="BN41" i="6"/>
  <c r="BM41" i="6"/>
  <c r="BL41" i="6"/>
  <c r="BJ41" i="6"/>
  <c r="BI41" i="6"/>
  <c r="BH41" i="6"/>
  <c r="BF41" i="6"/>
  <c r="BE41" i="6"/>
  <c r="BD41" i="6"/>
  <c r="BB41" i="6"/>
  <c r="BA41" i="6"/>
  <c r="AZ41" i="6"/>
  <c r="AX41" i="6"/>
  <c r="AW41" i="6"/>
  <c r="AV41" i="6"/>
  <c r="AT41" i="6"/>
  <c r="AS41" i="6"/>
  <c r="AR41" i="6"/>
  <c r="AP41" i="6"/>
  <c r="AO41" i="6"/>
  <c r="AN41" i="6"/>
  <c r="AL41" i="6"/>
  <c r="AK41" i="6"/>
  <c r="AJ41" i="6"/>
  <c r="AH41" i="6"/>
  <c r="AG41" i="6"/>
  <c r="AF41" i="6"/>
  <c r="AD41" i="6"/>
  <c r="AC41" i="6"/>
  <c r="AB41" i="6"/>
  <c r="Z41" i="6"/>
  <c r="Y41" i="6"/>
  <c r="X41" i="6"/>
  <c r="V41" i="6"/>
  <c r="U41" i="6"/>
  <c r="T41" i="6"/>
  <c r="R41" i="6"/>
  <c r="Q41" i="6"/>
  <c r="P41" i="6"/>
  <c r="N41" i="6"/>
  <c r="M41" i="6"/>
  <c r="L41" i="6"/>
  <c r="J41" i="6"/>
  <c r="I41" i="6"/>
  <c r="H41" i="6"/>
  <c r="F41" i="6"/>
  <c r="E41" i="6"/>
  <c r="D41" i="6"/>
  <c r="CX40" i="6"/>
  <c r="CW40" i="6"/>
  <c r="CV40" i="6"/>
  <c r="CT40" i="6"/>
  <c r="CS40" i="6"/>
  <c r="CR40" i="6"/>
  <c r="CP40" i="6"/>
  <c r="CO40" i="6"/>
  <c r="CN40" i="6"/>
  <c r="CL40" i="6"/>
  <c r="CK40" i="6"/>
  <c r="CJ40" i="6"/>
  <c r="CH40" i="6"/>
  <c r="CG40" i="6"/>
  <c r="CF40" i="6"/>
  <c r="CD40" i="6"/>
  <c r="CC40" i="6"/>
  <c r="CB40" i="6"/>
  <c r="BZ40" i="6"/>
  <c r="BY40" i="6"/>
  <c r="BX40" i="6"/>
  <c r="BV40" i="6"/>
  <c r="BU40" i="6"/>
  <c r="BT40" i="6"/>
  <c r="BR40" i="6"/>
  <c r="BQ40" i="6"/>
  <c r="BP40" i="6"/>
  <c r="BN40" i="6"/>
  <c r="BM40" i="6"/>
  <c r="BL40" i="6"/>
  <c r="BJ40" i="6"/>
  <c r="BI40" i="6"/>
  <c r="BH40" i="6"/>
  <c r="BF40" i="6"/>
  <c r="BE40" i="6"/>
  <c r="BD40" i="6"/>
  <c r="BB40" i="6"/>
  <c r="BA40" i="6"/>
  <c r="AZ40" i="6"/>
  <c r="AX40" i="6"/>
  <c r="AW40" i="6"/>
  <c r="AV40" i="6"/>
  <c r="AT40" i="6"/>
  <c r="AS40" i="6"/>
  <c r="AR40" i="6"/>
  <c r="AP40" i="6"/>
  <c r="AO40" i="6"/>
  <c r="AN40" i="6"/>
  <c r="AL40" i="6"/>
  <c r="AK40" i="6"/>
  <c r="AJ40" i="6"/>
  <c r="AH40" i="6"/>
  <c r="AG40" i="6"/>
  <c r="AF40" i="6"/>
  <c r="AD40" i="6"/>
  <c r="AC40" i="6"/>
  <c r="AB40" i="6"/>
  <c r="Z40" i="6"/>
  <c r="Y40" i="6"/>
  <c r="X40" i="6"/>
  <c r="V40" i="6"/>
  <c r="U40" i="6"/>
  <c r="T40" i="6"/>
  <c r="R40" i="6"/>
  <c r="Q40" i="6"/>
  <c r="P40" i="6"/>
  <c r="N40" i="6"/>
  <c r="M40" i="6"/>
  <c r="L40" i="6"/>
  <c r="J40" i="6"/>
  <c r="I40" i="6"/>
  <c r="H40" i="6"/>
  <c r="F40" i="6"/>
  <c r="E40" i="6"/>
  <c r="D40" i="6"/>
  <c r="CX39" i="6"/>
  <c r="CW39" i="6"/>
  <c r="CV39" i="6"/>
  <c r="CT39" i="6"/>
  <c r="CS39" i="6"/>
  <c r="CR39" i="6"/>
  <c r="CP39" i="6"/>
  <c r="CO39" i="6"/>
  <c r="CN39" i="6"/>
  <c r="CL39" i="6"/>
  <c r="CK39" i="6"/>
  <c r="CJ39" i="6"/>
  <c r="CH39" i="6"/>
  <c r="CG39" i="6"/>
  <c r="CF39" i="6"/>
  <c r="CD39" i="6"/>
  <c r="CC39" i="6"/>
  <c r="CB39" i="6"/>
  <c r="BZ39" i="6"/>
  <c r="BY39" i="6"/>
  <c r="BX39" i="6"/>
  <c r="BV39" i="6"/>
  <c r="BU39" i="6"/>
  <c r="BT39" i="6"/>
  <c r="BR39" i="6"/>
  <c r="BQ39" i="6"/>
  <c r="BP39" i="6"/>
  <c r="BN39" i="6"/>
  <c r="BM39" i="6"/>
  <c r="BL39" i="6"/>
  <c r="BJ39" i="6"/>
  <c r="BI39" i="6"/>
  <c r="BH39" i="6"/>
  <c r="BF39" i="6"/>
  <c r="BE39" i="6"/>
  <c r="BD39" i="6"/>
  <c r="BB39" i="6"/>
  <c r="BA39" i="6"/>
  <c r="AZ39" i="6"/>
  <c r="AX39" i="6"/>
  <c r="AW39" i="6"/>
  <c r="AV39" i="6"/>
  <c r="AT39" i="6"/>
  <c r="AS39" i="6"/>
  <c r="AR39" i="6"/>
  <c r="AP39" i="6"/>
  <c r="AO39" i="6"/>
  <c r="AN39" i="6"/>
  <c r="AL39" i="6"/>
  <c r="AK39" i="6"/>
  <c r="AJ39" i="6"/>
  <c r="AH39" i="6"/>
  <c r="AG39" i="6"/>
  <c r="AF39" i="6"/>
  <c r="AD39" i="6"/>
  <c r="AC39" i="6"/>
  <c r="AB39" i="6"/>
  <c r="Z39" i="6"/>
  <c r="Y39" i="6"/>
  <c r="X39" i="6"/>
  <c r="V39" i="6"/>
  <c r="U39" i="6"/>
  <c r="T39" i="6"/>
  <c r="R39" i="6"/>
  <c r="Q39" i="6"/>
  <c r="P39" i="6"/>
  <c r="N39" i="6"/>
  <c r="M39" i="6"/>
  <c r="L39" i="6"/>
  <c r="J39" i="6"/>
  <c r="I39" i="6"/>
  <c r="H39" i="6"/>
  <c r="F39" i="6"/>
  <c r="E39" i="6"/>
  <c r="D39" i="6"/>
  <c r="CX38" i="6"/>
  <c r="CW38" i="6"/>
  <c r="CV38" i="6"/>
  <c r="CT38" i="6"/>
  <c r="CS38" i="6"/>
  <c r="CR38" i="6"/>
  <c r="CP38" i="6"/>
  <c r="CO38" i="6"/>
  <c r="CN38" i="6"/>
  <c r="CL38" i="6"/>
  <c r="CK38" i="6"/>
  <c r="CJ38" i="6"/>
  <c r="CH38" i="6"/>
  <c r="CG38" i="6"/>
  <c r="CF38" i="6"/>
  <c r="CD38" i="6"/>
  <c r="CC38" i="6"/>
  <c r="CB38" i="6"/>
  <c r="BZ38" i="6"/>
  <c r="BY38" i="6"/>
  <c r="BX38" i="6"/>
  <c r="BV38" i="6"/>
  <c r="BU38" i="6"/>
  <c r="BT38" i="6"/>
  <c r="BR38" i="6"/>
  <c r="BQ38" i="6"/>
  <c r="BP38" i="6"/>
  <c r="BN38" i="6"/>
  <c r="BM38" i="6"/>
  <c r="BL38" i="6"/>
  <c r="BJ38" i="6"/>
  <c r="BI38" i="6"/>
  <c r="BH38" i="6"/>
  <c r="BF38" i="6"/>
  <c r="BE38" i="6"/>
  <c r="BD38" i="6"/>
  <c r="BB38" i="6"/>
  <c r="BA38" i="6"/>
  <c r="AZ38" i="6"/>
  <c r="AX38" i="6"/>
  <c r="AW38" i="6"/>
  <c r="AV38" i="6"/>
  <c r="AT38" i="6"/>
  <c r="AS38" i="6"/>
  <c r="AR38" i="6"/>
  <c r="AP38" i="6"/>
  <c r="AO38" i="6"/>
  <c r="AN38" i="6"/>
  <c r="AL38" i="6"/>
  <c r="AK38" i="6"/>
  <c r="AJ38" i="6"/>
  <c r="AH38" i="6"/>
  <c r="AG38" i="6"/>
  <c r="AF38" i="6"/>
  <c r="AD38" i="6"/>
  <c r="AC38" i="6"/>
  <c r="AB38" i="6"/>
  <c r="Z38" i="6"/>
  <c r="Y38" i="6"/>
  <c r="X38" i="6"/>
  <c r="V38" i="6"/>
  <c r="U38" i="6"/>
  <c r="T38" i="6"/>
  <c r="R38" i="6"/>
  <c r="Q38" i="6"/>
  <c r="P38" i="6"/>
  <c r="N38" i="6"/>
  <c r="M38" i="6"/>
  <c r="L38" i="6"/>
  <c r="J38" i="6"/>
  <c r="I38" i="6"/>
  <c r="H38" i="6"/>
  <c r="F38" i="6"/>
  <c r="E38" i="6"/>
  <c r="D38" i="6"/>
  <c r="CX37" i="6"/>
  <c r="CW37" i="6"/>
  <c r="CV37" i="6"/>
  <c r="CT37" i="6"/>
  <c r="CS37" i="6"/>
  <c r="CR37" i="6"/>
  <c r="CP37" i="6"/>
  <c r="CO37" i="6"/>
  <c r="CN37" i="6"/>
  <c r="CL37" i="6"/>
  <c r="CK37" i="6"/>
  <c r="CJ37" i="6"/>
  <c r="CH37" i="6"/>
  <c r="CG37" i="6"/>
  <c r="CF37" i="6"/>
  <c r="CD37" i="6"/>
  <c r="CC37" i="6"/>
  <c r="CB37" i="6"/>
  <c r="BZ37" i="6"/>
  <c r="BY37" i="6"/>
  <c r="BX37" i="6"/>
  <c r="BV37" i="6"/>
  <c r="BU37" i="6"/>
  <c r="BT37" i="6"/>
  <c r="BR37" i="6"/>
  <c r="BQ37" i="6"/>
  <c r="BP37" i="6"/>
  <c r="BN37" i="6"/>
  <c r="BM37" i="6"/>
  <c r="BL37" i="6"/>
  <c r="BJ37" i="6"/>
  <c r="BI37" i="6"/>
  <c r="BH37" i="6"/>
  <c r="BF37" i="6"/>
  <c r="BE37" i="6"/>
  <c r="BD37" i="6"/>
  <c r="BB37" i="6"/>
  <c r="BA37" i="6"/>
  <c r="AZ37" i="6"/>
  <c r="AX37" i="6"/>
  <c r="AW37" i="6"/>
  <c r="AV37" i="6"/>
  <c r="AT37" i="6"/>
  <c r="AS37" i="6"/>
  <c r="AR37" i="6"/>
  <c r="AP37" i="6"/>
  <c r="AO37" i="6"/>
  <c r="AN37" i="6"/>
  <c r="AL37" i="6"/>
  <c r="AK37" i="6"/>
  <c r="AJ37" i="6"/>
  <c r="AH37" i="6"/>
  <c r="AG37" i="6"/>
  <c r="AF37" i="6"/>
  <c r="AD37" i="6"/>
  <c r="AC37" i="6"/>
  <c r="AB37" i="6"/>
  <c r="Z37" i="6"/>
  <c r="Y37" i="6"/>
  <c r="X37" i="6"/>
  <c r="V37" i="6"/>
  <c r="U37" i="6"/>
  <c r="T37" i="6"/>
  <c r="R37" i="6"/>
  <c r="Q37" i="6"/>
  <c r="P37" i="6"/>
  <c r="N37" i="6"/>
  <c r="M37" i="6"/>
  <c r="L37" i="6"/>
  <c r="J37" i="6"/>
  <c r="I37" i="6"/>
  <c r="H37" i="6"/>
  <c r="F37" i="6"/>
  <c r="E37" i="6"/>
  <c r="D37" i="6"/>
  <c r="CX36" i="6"/>
  <c r="CW36" i="6"/>
  <c r="CV36" i="6"/>
  <c r="CT36" i="6"/>
  <c r="CS36" i="6"/>
  <c r="CR36" i="6"/>
  <c r="CP36" i="6"/>
  <c r="CO36" i="6"/>
  <c r="CN36" i="6"/>
  <c r="CL36" i="6"/>
  <c r="CK36" i="6"/>
  <c r="CJ36" i="6"/>
  <c r="CH36" i="6"/>
  <c r="CG36" i="6"/>
  <c r="CF36" i="6"/>
  <c r="CD36" i="6"/>
  <c r="CC36" i="6"/>
  <c r="CB36" i="6"/>
  <c r="BZ36" i="6"/>
  <c r="BY36" i="6"/>
  <c r="BX36" i="6"/>
  <c r="BV36" i="6"/>
  <c r="BU36" i="6"/>
  <c r="BT36" i="6"/>
  <c r="BR36" i="6"/>
  <c r="BQ36" i="6"/>
  <c r="BP36" i="6"/>
  <c r="BN36" i="6"/>
  <c r="BM36" i="6"/>
  <c r="BL36" i="6"/>
  <c r="BJ36" i="6"/>
  <c r="BI36" i="6"/>
  <c r="BH36" i="6"/>
  <c r="BF36" i="6"/>
  <c r="BE36" i="6"/>
  <c r="BD36" i="6"/>
  <c r="BB36" i="6"/>
  <c r="BA36" i="6"/>
  <c r="AZ36" i="6"/>
  <c r="AX36" i="6"/>
  <c r="AW36" i="6"/>
  <c r="AV36" i="6"/>
  <c r="AT36" i="6"/>
  <c r="AS36" i="6"/>
  <c r="AR36" i="6"/>
  <c r="AP36" i="6"/>
  <c r="AO36" i="6"/>
  <c r="AN36" i="6"/>
  <c r="AL36" i="6"/>
  <c r="AK36" i="6"/>
  <c r="AJ36" i="6"/>
  <c r="AH36" i="6"/>
  <c r="AG36" i="6"/>
  <c r="AF36" i="6"/>
  <c r="AD36" i="6"/>
  <c r="AC36" i="6"/>
  <c r="AB36" i="6"/>
  <c r="Z36" i="6"/>
  <c r="Y36" i="6"/>
  <c r="X36" i="6"/>
  <c r="V36" i="6"/>
  <c r="U36" i="6"/>
  <c r="T36" i="6"/>
  <c r="R36" i="6"/>
  <c r="Q36" i="6"/>
  <c r="P36" i="6"/>
  <c r="N36" i="6"/>
  <c r="M36" i="6"/>
  <c r="L36" i="6"/>
  <c r="J36" i="6"/>
  <c r="I36" i="6"/>
  <c r="H36" i="6"/>
  <c r="F36" i="6"/>
  <c r="E36" i="6"/>
  <c r="D36" i="6"/>
  <c r="CX35" i="6"/>
  <c r="CW35" i="6"/>
  <c r="CV35" i="6"/>
  <c r="CT35" i="6"/>
  <c r="CS35" i="6"/>
  <c r="CR35" i="6"/>
  <c r="CP35" i="6"/>
  <c r="CO35" i="6"/>
  <c r="CN35" i="6"/>
  <c r="CL35" i="6"/>
  <c r="CK35" i="6"/>
  <c r="CJ35" i="6"/>
  <c r="CH35" i="6"/>
  <c r="CG35" i="6"/>
  <c r="CF35" i="6"/>
  <c r="CD35" i="6"/>
  <c r="CC35" i="6"/>
  <c r="CB35" i="6"/>
  <c r="BZ35" i="6"/>
  <c r="BY35" i="6"/>
  <c r="BX35" i="6"/>
  <c r="BV35" i="6"/>
  <c r="BU35" i="6"/>
  <c r="BT35" i="6"/>
  <c r="BR35" i="6"/>
  <c r="BQ35" i="6"/>
  <c r="BP35" i="6"/>
  <c r="BN35" i="6"/>
  <c r="BM35" i="6"/>
  <c r="BL35" i="6"/>
  <c r="BJ35" i="6"/>
  <c r="BI35" i="6"/>
  <c r="BH35" i="6"/>
  <c r="BF35" i="6"/>
  <c r="BE35" i="6"/>
  <c r="BD35" i="6"/>
  <c r="BB35" i="6"/>
  <c r="BA35" i="6"/>
  <c r="AZ35" i="6"/>
  <c r="AX35" i="6"/>
  <c r="AW35" i="6"/>
  <c r="AV35" i="6"/>
  <c r="AT35" i="6"/>
  <c r="AS35" i="6"/>
  <c r="AR35" i="6"/>
  <c r="AP35" i="6"/>
  <c r="AO35" i="6"/>
  <c r="AN35" i="6"/>
  <c r="AL35" i="6"/>
  <c r="AK35" i="6"/>
  <c r="AJ35" i="6"/>
  <c r="AH35" i="6"/>
  <c r="AG35" i="6"/>
  <c r="AF35" i="6"/>
  <c r="AD35" i="6"/>
  <c r="AC35" i="6"/>
  <c r="AB35" i="6"/>
  <c r="Z35" i="6"/>
  <c r="Y35" i="6"/>
  <c r="X35" i="6"/>
  <c r="V35" i="6"/>
  <c r="U35" i="6"/>
  <c r="T35" i="6"/>
  <c r="R35" i="6"/>
  <c r="Q35" i="6"/>
  <c r="P35" i="6"/>
  <c r="N35" i="6"/>
  <c r="M35" i="6"/>
  <c r="L35" i="6"/>
  <c r="J35" i="6"/>
  <c r="I35" i="6"/>
  <c r="H35" i="6"/>
  <c r="F35" i="6"/>
  <c r="E35" i="6"/>
  <c r="D35" i="6"/>
  <c r="CX34" i="6"/>
  <c r="CW34" i="6"/>
  <c r="CV34" i="6"/>
  <c r="CT34" i="6"/>
  <c r="CS34" i="6"/>
  <c r="CR34" i="6"/>
  <c r="CP34" i="6"/>
  <c r="CO34" i="6"/>
  <c r="CN34" i="6"/>
  <c r="CQ34" i="6" s="1"/>
  <c r="CL34" i="6"/>
  <c r="CK34" i="6"/>
  <c r="CJ34" i="6"/>
  <c r="CH34" i="6"/>
  <c r="CG34" i="6"/>
  <c r="CF34" i="6"/>
  <c r="CD34" i="6"/>
  <c r="CC34" i="6"/>
  <c r="CB34" i="6"/>
  <c r="BZ34" i="6"/>
  <c r="BY34" i="6"/>
  <c r="BX34" i="6"/>
  <c r="BV34" i="6"/>
  <c r="BU34" i="6"/>
  <c r="BT34" i="6"/>
  <c r="BR34" i="6"/>
  <c r="BQ34" i="6"/>
  <c r="BP34" i="6"/>
  <c r="BN34" i="6"/>
  <c r="BM34" i="6"/>
  <c r="BL34" i="6"/>
  <c r="BJ34" i="6"/>
  <c r="BI34" i="6"/>
  <c r="BH34" i="6"/>
  <c r="BF34" i="6"/>
  <c r="BE34" i="6"/>
  <c r="BD34" i="6"/>
  <c r="BB34" i="6"/>
  <c r="BA34" i="6"/>
  <c r="AZ34" i="6"/>
  <c r="AX34" i="6"/>
  <c r="AW34" i="6"/>
  <c r="AV34" i="6"/>
  <c r="AT34" i="6"/>
  <c r="AS34" i="6"/>
  <c r="AR34" i="6"/>
  <c r="AP34" i="6"/>
  <c r="AO34" i="6"/>
  <c r="AN34" i="6"/>
  <c r="AL34" i="6"/>
  <c r="AK34" i="6"/>
  <c r="AJ34" i="6"/>
  <c r="AH34" i="6"/>
  <c r="AG34" i="6"/>
  <c r="AF34" i="6"/>
  <c r="AD34" i="6"/>
  <c r="AC34" i="6"/>
  <c r="AB34" i="6"/>
  <c r="Z34" i="6"/>
  <c r="Y34" i="6"/>
  <c r="X34" i="6"/>
  <c r="V34" i="6"/>
  <c r="U34" i="6"/>
  <c r="T34" i="6"/>
  <c r="R34" i="6"/>
  <c r="Q34" i="6"/>
  <c r="P34" i="6"/>
  <c r="N34" i="6"/>
  <c r="M34" i="6"/>
  <c r="L34" i="6"/>
  <c r="J34" i="6"/>
  <c r="I34" i="6"/>
  <c r="H34" i="6"/>
  <c r="F34" i="6"/>
  <c r="E34" i="6"/>
  <c r="D34" i="6"/>
  <c r="CX33" i="6"/>
  <c r="CW33" i="6"/>
  <c r="CV33" i="6"/>
  <c r="CT33" i="6"/>
  <c r="CS33" i="6"/>
  <c r="CR33" i="6"/>
  <c r="CP33" i="6"/>
  <c r="CO33" i="6"/>
  <c r="CN33" i="6"/>
  <c r="CL33" i="6"/>
  <c r="CK33" i="6"/>
  <c r="CJ33" i="6"/>
  <c r="CH33" i="6"/>
  <c r="CG33" i="6"/>
  <c r="CF33" i="6"/>
  <c r="CD33" i="6"/>
  <c r="CC33" i="6"/>
  <c r="CB33" i="6"/>
  <c r="BZ33" i="6"/>
  <c r="BY33" i="6"/>
  <c r="BX33" i="6"/>
  <c r="BV33" i="6"/>
  <c r="BU33" i="6"/>
  <c r="BT33" i="6"/>
  <c r="BR33" i="6"/>
  <c r="BQ33" i="6"/>
  <c r="BP33" i="6"/>
  <c r="BN33" i="6"/>
  <c r="BM33" i="6"/>
  <c r="BL33" i="6"/>
  <c r="BJ33" i="6"/>
  <c r="BI33" i="6"/>
  <c r="BH33" i="6"/>
  <c r="BF33" i="6"/>
  <c r="BE33" i="6"/>
  <c r="BD33" i="6"/>
  <c r="BB33" i="6"/>
  <c r="BA33" i="6"/>
  <c r="AZ33" i="6"/>
  <c r="AX33" i="6"/>
  <c r="AW33" i="6"/>
  <c r="AV33" i="6"/>
  <c r="AT33" i="6"/>
  <c r="AS33" i="6"/>
  <c r="AR33" i="6"/>
  <c r="AP33" i="6"/>
  <c r="AO33" i="6"/>
  <c r="AN33" i="6"/>
  <c r="AL33" i="6"/>
  <c r="AK33" i="6"/>
  <c r="AJ33" i="6"/>
  <c r="AH33" i="6"/>
  <c r="AG33" i="6"/>
  <c r="AF33" i="6"/>
  <c r="AD33" i="6"/>
  <c r="AC33" i="6"/>
  <c r="AB33" i="6"/>
  <c r="Z33" i="6"/>
  <c r="Y33" i="6"/>
  <c r="X33" i="6"/>
  <c r="V33" i="6"/>
  <c r="U33" i="6"/>
  <c r="T33" i="6"/>
  <c r="R33" i="6"/>
  <c r="Q33" i="6"/>
  <c r="P33" i="6"/>
  <c r="N33" i="6"/>
  <c r="M33" i="6"/>
  <c r="L33" i="6"/>
  <c r="J33" i="6"/>
  <c r="I33" i="6"/>
  <c r="H33" i="6"/>
  <c r="F33" i="6"/>
  <c r="E33" i="6"/>
  <c r="D33" i="6"/>
  <c r="CX32" i="6"/>
  <c r="CW32" i="6"/>
  <c r="CV32" i="6"/>
  <c r="CT32" i="6"/>
  <c r="CS32" i="6"/>
  <c r="CR32" i="6"/>
  <c r="CP32" i="6"/>
  <c r="CO32" i="6"/>
  <c r="CN32" i="6"/>
  <c r="CL32" i="6"/>
  <c r="CK32" i="6"/>
  <c r="CJ32" i="6"/>
  <c r="CH32" i="6"/>
  <c r="CG32" i="6"/>
  <c r="CF32" i="6"/>
  <c r="CD32" i="6"/>
  <c r="CC32" i="6"/>
  <c r="CB32" i="6"/>
  <c r="BZ32" i="6"/>
  <c r="BY32" i="6"/>
  <c r="BX32" i="6"/>
  <c r="BV32" i="6"/>
  <c r="BU32" i="6"/>
  <c r="BT32" i="6"/>
  <c r="BR32" i="6"/>
  <c r="BQ32" i="6"/>
  <c r="BP32" i="6"/>
  <c r="BN32" i="6"/>
  <c r="BM32" i="6"/>
  <c r="BL32" i="6"/>
  <c r="BJ32" i="6"/>
  <c r="BI32" i="6"/>
  <c r="BH32" i="6"/>
  <c r="BF32" i="6"/>
  <c r="BE32" i="6"/>
  <c r="BD32" i="6"/>
  <c r="BB32" i="6"/>
  <c r="BA32" i="6"/>
  <c r="AZ32" i="6"/>
  <c r="AX32" i="6"/>
  <c r="AW32" i="6"/>
  <c r="AV32" i="6"/>
  <c r="AT32" i="6"/>
  <c r="AS32" i="6"/>
  <c r="AR32" i="6"/>
  <c r="AP32" i="6"/>
  <c r="AO32" i="6"/>
  <c r="AN32" i="6"/>
  <c r="AL32" i="6"/>
  <c r="AK32" i="6"/>
  <c r="AJ32" i="6"/>
  <c r="AH32" i="6"/>
  <c r="AG32" i="6"/>
  <c r="AF32" i="6"/>
  <c r="AD32" i="6"/>
  <c r="AC32" i="6"/>
  <c r="AB32" i="6"/>
  <c r="Z32" i="6"/>
  <c r="Y32" i="6"/>
  <c r="X32" i="6"/>
  <c r="V32" i="6"/>
  <c r="U32" i="6"/>
  <c r="T32" i="6"/>
  <c r="R32" i="6"/>
  <c r="Q32" i="6"/>
  <c r="P32" i="6"/>
  <c r="N32" i="6"/>
  <c r="M32" i="6"/>
  <c r="L32" i="6"/>
  <c r="J32" i="6"/>
  <c r="I32" i="6"/>
  <c r="H32" i="6"/>
  <c r="F32" i="6"/>
  <c r="E32" i="6"/>
  <c r="D32" i="6"/>
  <c r="CX31" i="6"/>
  <c r="CW31" i="6"/>
  <c r="CV31" i="6"/>
  <c r="CT31" i="6"/>
  <c r="CS31" i="6"/>
  <c r="CR31" i="6"/>
  <c r="CP31" i="6"/>
  <c r="CO31" i="6"/>
  <c r="CN31" i="6"/>
  <c r="CL31" i="6"/>
  <c r="CK31" i="6"/>
  <c r="CJ31" i="6"/>
  <c r="CH31" i="6"/>
  <c r="CG31" i="6"/>
  <c r="CF31" i="6"/>
  <c r="CD31" i="6"/>
  <c r="CC31" i="6"/>
  <c r="CB31" i="6"/>
  <c r="BZ31" i="6"/>
  <c r="BY31" i="6"/>
  <c r="BX31" i="6"/>
  <c r="BV31" i="6"/>
  <c r="BU31" i="6"/>
  <c r="BT31" i="6"/>
  <c r="BR31" i="6"/>
  <c r="BQ31" i="6"/>
  <c r="BP31" i="6"/>
  <c r="BN31" i="6"/>
  <c r="BM31" i="6"/>
  <c r="BL31" i="6"/>
  <c r="BJ31" i="6"/>
  <c r="BI31" i="6"/>
  <c r="BH31" i="6"/>
  <c r="BF31" i="6"/>
  <c r="BE31" i="6"/>
  <c r="BD31" i="6"/>
  <c r="BB31" i="6"/>
  <c r="BA31" i="6"/>
  <c r="AZ31" i="6"/>
  <c r="AX31" i="6"/>
  <c r="AW31" i="6"/>
  <c r="AV31" i="6"/>
  <c r="AT31" i="6"/>
  <c r="AS31" i="6"/>
  <c r="AR31" i="6"/>
  <c r="AP31" i="6"/>
  <c r="AO31" i="6"/>
  <c r="AN31" i="6"/>
  <c r="AL31" i="6"/>
  <c r="AK31" i="6"/>
  <c r="AJ31" i="6"/>
  <c r="AH31" i="6"/>
  <c r="AG31" i="6"/>
  <c r="AF31" i="6"/>
  <c r="AD31" i="6"/>
  <c r="AC31" i="6"/>
  <c r="AB31" i="6"/>
  <c r="Z31" i="6"/>
  <c r="Y31" i="6"/>
  <c r="X31" i="6"/>
  <c r="V31" i="6"/>
  <c r="U31" i="6"/>
  <c r="T31" i="6"/>
  <c r="R31" i="6"/>
  <c r="Q31" i="6"/>
  <c r="P31" i="6"/>
  <c r="N31" i="6"/>
  <c r="M31" i="6"/>
  <c r="L31" i="6"/>
  <c r="J31" i="6"/>
  <c r="I31" i="6"/>
  <c r="H31" i="6"/>
  <c r="F31" i="6"/>
  <c r="E31" i="6"/>
  <c r="D31" i="6"/>
  <c r="CX30" i="6"/>
  <c r="CW30" i="6"/>
  <c r="CV30" i="6"/>
  <c r="CT30" i="6"/>
  <c r="CS30" i="6"/>
  <c r="CR30" i="6"/>
  <c r="CP30" i="6"/>
  <c r="CO30" i="6"/>
  <c r="CN30" i="6"/>
  <c r="CQ30" i="6" s="1"/>
  <c r="CL30" i="6"/>
  <c r="CK30" i="6"/>
  <c r="CJ30" i="6"/>
  <c r="CH30" i="6"/>
  <c r="CG30" i="6"/>
  <c r="CF30" i="6"/>
  <c r="CD30" i="6"/>
  <c r="CC30" i="6"/>
  <c r="CB30" i="6"/>
  <c r="BZ30" i="6"/>
  <c r="BY30" i="6"/>
  <c r="BX30" i="6"/>
  <c r="BV30" i="6"/>
  <c r="BU30" i="6"/>
  <c r="BT30" i="6"/>
  <c r="BR30" i="6"/>
  <c r="BQ30" i="6"/>
  <c r="BP30" i="6"/>
  <c r="BN30" i="6"/>
  <c r="BM30" i="6"/>
  <c r="BL30" i="6"/>
  <c r="BJ30" i="6"/>
  <c r="BI30" i="6"/>
  <c r="BH30" i="6"/>
  <c r="BF30" i="6"/>
  <c r="BE30" i="6"/>
  <c r="BD30" i="6"/>
  <c r="BB30" i="6"/>
  <c r="BA30" i="6"/>
  <c r="AZ30" i="6"/>
  <c r="AX30" i="6"/>
  <c r="AW30" i="6"/>
  <c r="AV30" i="6"/>
  <c r="AT30" i="6"/>
  <c r="AS30" i="6"/>
  <c r="AR30" i="6"/>
  <c r="AP30" i="6"/>
  <c r="AO30" i="6"/>
  <c r="AN30" i="6"/>
  <c r="AL30" i="6"/>
  <c r="AK30" i="6"/>
  <c r="AJ30" i="6"/>
  <c r="AH30" i="6"/>
  <c r="AG30" i="6"/>
  <c r="AF30" i="6"/>
  <c r="AD30" i="6"/>
  <c r="AC30" i="6"/>
  <c r="AB30" i="6"/>
  <c r="Z30" i="6"/>
  <c r="Y30" i="6"/>
  <c r="X30" i="6"/>
  <c r="V30" i="6"/>
  <c r="U30" i="6"/>
  <c r="T30" i="6"/>
  <c r="R30" i="6"/>
  <c r="Q30" i="6"/>
  <c r="P30" i="6"/>
  <c r="N30" i="6"/>
  <c r="M30" i="6"/>
  <c r="L30" i="6"/>
  <c r="J30" i="6"/>
  <c r="I30" i="6"/>
  <c r="H30" i="6"/>
  <c r="F30" i="6"/>
  <c r="E30" i="6"/>
  <c r="D30" i="6"/>
  <c r="CX29" i="6"/>
  <c r="CW29" i="6"/>
  <c r="CV29" i="6"/>
  <c r="CT29" i="6"/>
  <c r="CS29" i="6"/>
  <c r="CR29" i="6"/>
  <c r="CP29" i="6"/>
  <c r="CO29" i="6"/>
  <c r="CN29" i="6"/>
  <c r="CL29" i="6"/>
  <c r="CK29" i="6"/>
  <c r="CJ29" i="6"/>
  <c r="CH29" i="6"/>
  <c r="CG29" i="6"/>
  <c r="CF29" i="6"/>
  <c r="CD29" i="6"/>
  <c r="CC29" i="6"/>
  <c r="CB29" i="6"/>
  <c r="BZ29" i="6"/>
  <c r="BY29" i="6"/>
  <c r="BX29" i="6"/>
  <c r="BV29" i="6"/>
  <c r="BU29" i="6"/>
  <c r="BT29" i="6"/>
  <c r="BR29" i="6"/>
  <c r="BQ29" i="6"/>
  <c r="BP29" i="6"/>
  <c r="BN29" i="6"/>
  <c r="BM29" i="6"/>
  <c r="BL29" i="6"/>
  <c r="BJ29" i="6"/>
  <c r="BI29" i="6"/>
  <c r="BH29" i="6"/>
  <c r="BF29" i="6"/>
  <c r="BE29" i="6"/>
  <c r="BD29" i="6"/>
  <c r="BB29" i="6"/>
  <c r="BA29" i="6"/>
  <c r="AZ29" i="6"/>
  <c r="AX29" i="6"/>
  <c r="AW29" i="6"/>
  <c r="AV29" i="6"/>
  <c r="AT29" i="6"/>
  <c r="AS29" i="6"/>
  <c r="AR29" i="6"/>
  <c r="AP29" i="6"/>
  <c r="AO29" i="6"/>
  <c r="AN29" i="6"/>
  <c r="AL29" i="6"/>
  <c r="AK29" i="6"/>
  <c r="AJ29" i="6"/>
  <c r="AH29" i="6"/>
  <c r="AG29" i="6"/>
  <c r="AF29" i="6"/>
  <c r="AD29" i="6"/>
  <c r="AC29" i="6"/>
  <c r="AB29" i="6"/>
  <c r="Z29" i="6"/>
  <c r="Y29" i="6"/>
  <c r="X29" i="6"/>
  <c r="V29" i="6"/>
  <c r="U29" i="6"/>
  <c r="T29" i="6"/>
  <c r="R29" i="6"/>
  <c r="Q29" i="6"/>
  <c r="P29" i="6"/>
  <c r="N29" i="6"/>
  <c r="M29" i="6"/>
  <c r="L29" i="6"/>
  <c r="J29" i="6"/>
  <c r="I29" i="6"/>
  <c r="H29" i="6"/>
  <c r="F29" i="6"/>
  <c r="E29" i="6"/>
  <c r="D29" i="6"/>
  <c r="CX28" i="6"/>
  <c r="CW28" i="6"/>
  <c r="CV28" i="6"/>
  <c r="CT28" i="6"/>
  <c r="CS28" i="6"/>
  <c r="CR28" i="6"/>
  <c r="CP28" i="6"/>
  <c r="CO28" i="6"/>
  <c r="CN28" i="6"/>
  <c r="CL28" i="6"/>
  <c r="CK28" i="6"/>
  <c r="CJ28" i="6"/>
  <c r="CH28" i="6"/>
  <c r="CG28" i="6"/>
  <c r="CF28" i="6"/>
  <c r="CD28" i="6"/>
  <c r="CC28" i="6"/>
  <c r="CB28" i="6"/>
  <c r="BZ28" i="6"/>
  <c r="BY28" i="6"/>
  <c r="BX28" i="6"/>
  <c r="BV28" i="6"/>
  <c r="BU28" i="6"/>
  <c r="BT28" i="6"/>
  <c r="BR28" i="6"/>
  <c r="BQ28" i="6"/>
  <c r="BP28" i="6"/>
  <c r="BN28" i="6"/>
  <c r="BM28" i="6"/>
  <c r="BL28" i="6"/>
  <c r="BJ28" i="6"/>
  <c r="BI28" i="6"/>
  <c r="BH28" i="6"/>
  <c r="BF28" i="6"/>
  <c r="BE28" i="6"/>
  <c r="BD28" i="6"/>
  <c r="BB28" i="6"/>
  <c r="BA28" i="6"/>
  <c r="AZ28" i="6"/>
  <c r="AX28" i="6"/>
  <c r="AW28" i="6"/>
  <c r="AV28" i="6"/>
  <c r="AT28" i="6"/>
  <c r="AS28" i="6"/>
  <c r="AR28" i="6"/>
  <c r="AP28" i="6"/>
  <c r="AO28" i="6"/>
  <c r="AN28" i="6"/>
  <c r="AL28" i="6"/>
  <c r="AK28" i="6"/>
  <c r="AJ28" i="6"/>
  <c r="AH28" i="6"/>
  <c r="AG28" i="6"/>
  <c r="AF28" i="6"/>
  <c r="AD28" i="6"/>
  <c r="AC28" i="6"/>
  <c r="AB28" i="6"/>
  <c r="Z28" i="6"/>
  <c r="Y28" i="6"/>
  <c r="X28" i="6"/>
  <c r="V28" i="6"/>
  <c r="U28" i="6"/>
  <c r="T28" i="6"/>
  <c r="R28" i="6"/>
  <c r="Q28" i="6"/>
  <c r="P28" i="6"/>
  <c r="N28" i="6"/>
  <c r="M28" i="6"/>
  <c r="L28" i="6"/>
  <c r="J28" i="6"/>
  <c r="I28" i="6"/>
  <c r="H28" i="6"/>
  <c r="F28" i="6"/>
  <c r="E28" i="6"/>
  <c r="D28" i="6"/>
  <c r="CX27" i="6"/>
  <c r="CW27" i="6"/>
  <c r="CV27" i="6"/>
  <c r="CT27" i="6"/>
  <c r="CS27" i="6"/>
  <c r="CR27" i="6"/>
  <c r="CP27" i="6"/>
  <c r="CO27" i="6"/>
  <c r="CN27" i="6"/>
  <c r="CL27" i="6"/>
  <c r="CK27" i="6"/>
  <c r="CJ27" i="6"/>
  <c r="CH27" i="6"/>
  <c r="CG27" i="6"/>
  <c r="CF27" i="6"/>
  <c r="CD27" i="6"/>
  <c r="CC27" i="6"/>
  <c r="CB27" i="6"/>
  <c r="BZ27" i="6"/>
  <c r="BY27" i="6"/>
  <c r="BX27" i="6"/>
  <c r="BV27" i="6"/>
  <c r="BU27" i="6"/>
  <c r="BT27" i="6"/>
  <c r="BR27" i="6"/>
  <c r="BQ27" i="6"/>
  <c r="BP27" i="6"/>
  <c r="BN27" i="6"/>
  <c r="BM27" i="6"/>
  <c r="BL27" i="6"/>
  <c r="BJ27" i="6"/>
  <c r="BI27" i="6"/>
  <c r="BH27" i="6"/>
  <c r="BF27" i="6"/>
  <c r="BE27" i="6"/>
  <c r="BD27" i="6"/>
  <c r="BB27" i="6"/>
  <c r="BA27" i="6"/>
  <c r="AZ27" i="6"/>
  <c r="AX27" i="6"/>
  <c r="AW27" i="6"/>
  <c r="AV27" i="6"/>
  <c r="AT27" i="6"/>
  <c r="AS27" i="6"/>
  <c r="AR27" i="6"/>
  <c r="AP27" i="6"/>
  <c r="AO27" i="6"/>
  <c r="AN27" i="6"/>
  <c r="AL27" i="6"/>
  <c r="AK27" i="6"/>
  <c r="AJ27" i="6"/>
  <c r="AH27" i="6"/>
  <c r="AG27" i="6"/>
  <c r="AF27" i="6"/>
  <c r="AD27" i="6"/>
  <c r="AC27" i="6"/>
  <c r="AB27" i="6"/>
  <c r="Z27" i="6"/>
  <c r="Y27" i="6"/>
  <c r="X27" i="6"/>
  <c r="V27" i="6"/>
  <c r="U27" i="6"/>
  <c r="T27" i="6"/>
  <c r="R27" i="6"/>
  <c r="Q27" i="6"/>
  <c r="P27" i="6"/>
  <c r="N27" i="6"/>
  <c r="M27" i="6"/>
  <c r="L27" i="6"/>
  <c r="J27" i="6"/>
  <c r="I27" i="6"/>
  <c r="H27" i="6"/>
  <c r="F27" i="6"/>
  <c r="E27" i="6"/>
  <c r="D27" i="6"/>
  <c r="CX26" i="6"/>
  <c r="CW26" i="6"/>
  <c r="CV26" i="6"/>
  <c r="CT26" i="6"/>
  <c r="CS26" i="6"/>
  <c r="CR26" i="6"/>
  <c r="CP26" i="6"/>
  <c r="CO26" i="6"/>
  <c r="CN26" i="6"/>
  <c r="CL26" i="6"/>
  <c r="CK26" i="6"/>
  <c r="CJ26" i="6"/>
  <c r="CH26" i="6"/>
  <c r="CG26" i="6"/>
  <c r="CF26" i="6"/>
  <c r="CD26" i="6"/>
  <c r="CC26" i="6"/>
  <c r="CB26" i="6"/>
  <c r="BZ26" i="6"/>
  <c r="BY26" i="6"/>
  <c r="BX26" i="6"/>
  <c r="BV26" i="6"/>
  <c r="BU26" i="6"/>
  <c r="BT26" i="6"/>
  <c r="BR26" i="6"/>
  <c r="BQ26" i="6"/>
  <c r="BP26" i="6"/>
  <c r="BN26" i="6"/>
  <c r="BM26" i="6"/>
  <c r="BL26" i="6"/>
  <c r="BJ26" i="6"/>
  <c r="BI26" i="6"/>
  <c r="BH26" i="6"/>
  <c r="BF26" i="6"/>
  <c r="BE26" i="6"/>
  <c r="BD26" i="6"/>
  <c r="BB26" i="6"/>
  <c r="BA26" i="6"/>
  <c r="AZ26" i="6"/>
  <c r="AX26" i="6"/>
  <c r="AW26" i="6"/>
  <c r="AV26" i="6"/>
  <c r="AT26" i="6"/>
  <c r="AS26" i="6"/>
  <c r="AR26" i="6"/>
  <c r="AP26" i="6"/>
  <c r="AO26" i="6"/>
  <c r="AN26" i="6"/>
  <c r="AL26" i="6"/>
  <c r="AK26" i="6"/>
  <c r="AJ26" i="6"/>
  <c r="AH26" i="6"/>
  <c r="AG26" i="6"/>
  <c r="AF26" i="6"/>
  <c r="AD26" i="6"/>
  <c r="AC26" i="6"/>
  <c r="AB26" i="6"/>
  <c r="Z26" i="6"/>
  <c r="Y26" i="6"/>
  <c r="X26" i="6"/>
  <c r="V26" i="6"/>
  <c r="U26" i="6"/>
  <c r="T26" i="6"/>
  <c r="R26" i="6"/>
  <c r="Q26" i="6"/>
  <c r="P26" i="6"/>
  <c r="N26" i="6"/>
  <c r="M26" i="6"/>
  <c r="L26" i="6"/>
  <c r="J26" i="6"/>
  <c r="I26" i="6"/>
  <c r="H26" i="6"/>
  <c r="F26" i="6"/>
  <c r="E26" i="6"/>
  <c r="D26" i="6"/>
  <c r="CX25" i="6"/>
  <c r="CW25" i="6"/>
  <c r="CV25" i="6"/>
  <c r="CT25" i="6"/>
  <c r="CS25" i="6"/>
  <c r="CR25" i="6"/>
  <c r="CP25" i="6"/>
  <c r="CO25" i="6"/>
  <c r="CN25" i="6"/>
  <c r="CL25" i="6"/>
  <c r="CK25" i="6"/>
  <c r="CJ25" i="6"/>
  <c r="CH25" i="6"/>
  <c r="CG25" i="6"/>
  <c r="CF25" i="6"/>
  <c r="CD25" i="6"/>
  <c r="CC25" i="6"/>
  <c r="CB25" i="6"/>
  <c r="BZ25" i="6"/>
  <c r="BY25" i="6"/>
  <c r="BX25" i="6"/>
  <c r="BV25" i="6"/>
  <c r="BU25" i="6"/>
  <c r="BT25" i="6"/>
  <c r="BR25" i="6"/>
  <c r="BQ25" i="6"/>
  <c r="BP25" i="6"/>
  <c r="BN25" i="6"/>
  <c r="BM25" i="6"/>
  <c r="BL25" i="6"/>
  <c r="BJ25" i="6"/>
  <c r="BI25" i="6"/>
  <c r="BH25" i="6"/>
  <c r="BF25" i="6"/>
  <c r="BE25" i="6"/>
  <c r="BD25" i="6"/>
  <c r="BB25" i="6"/>
  <c r="BA25" i="6"/>
  <c r="AZ25" i="6"/>
  <c r="AX25" i="6"/>
  <c r="AW25" i="6"/>
  <c r="AV25" i="6"/>
  <c r="AT25" i="6"/>
  <c r="AS25" i="6"/>
  <c r="AR25" i="6"/>
  <c r="AP25" i="6"/>
  <c r="AO25" i="6"/>
  <c r="AN25" i="6"/>
  <c r="AL25" i="6"/>
  <c r="AK25" i="6"/>
  <c r="AJ25" i="6"/>
  <c r="AH25" i="6"/>
  <c r="AG25" i="6"/>
  <c r="AF25" i="6"/>
  <c r="AD25" i="6"/>
  <c r="AC25" i="6"/>
  <c r="AB25" i="6"/>
  <c r="Z25" i="6"/>
  <c r="Y25" i="6"/>
  <c r="X25" i="6"/>
  <c r="V25" i="6"/>
  <c r="U25" i="6"/>
  <c r="T25" i="6"/>
  <c r="R25" i="6"/>
  <c r="Q25" i="6"/>
  <c r="P25" i="6"/>
  <c r="N25" i="6"/>
  <c r="M25" i="6"/>
  <c r="L25" i="6"/>
  <c r="J25" i="6"/>
  <c r="I25" i="6"/>
  <c r="H25" i="6"/>
  <c r="F25" i="6"/>
  <c r="E25" i="6"/>
  <c r="D25" i="6"/>
  <c r="CX24" i="6"/>
  <c r="CW24" i="6"/>
  <c r="CV24" i="6"/>
  <c r="CT24" i="6"/>
  <c r="CS24" i="6"/>
  <c r="CR24" i="6"/>
  <c r="CP24" i="6"/>
  <c r="CO24" i="6"/>
  <c r="CN24" i="6"/>
  <c r="CL24" i="6"/>
  <c r="CK24" i="6"/>
  <c r="CJ24" i="6"/>
  <c r="CH24" i="6"/>
  <c r="CG24" i="6"/>
  <c r="CF24" i="6"/>
  <c r="CD24" i="6"/>
  <c r="CC24" i="6"/>
  <c r="CB24" i="6"/>
  <c r="BZ24" i="6"/>
  <c r="BY24" i="6"/>
  <c r="BX24" i="6"/>
  <c r="BV24" i="6"/>
  <c r="BU24" i="6"/>
  <c r="BT24" i="6"/>
  <c r="BR24" i="6"/>
  <c r="BQ24" i="6"/>
  <c r="BP24" i="6"/>
  <c r="BN24" i="6"/>
  <c r="BM24" i="6"/>
  <c r="BL24" i="6"/>
  <c r="BJ24" i="6"/>
  <c r="BI24" i="6"/>
  <c r="BH24" i="6"/>
  <c r="BF24" i="6"/>
  <c r="BE24" i="6"/>
  <c r="BD24" i="6"/>
  <c r="BB24" i="6"/>
  <c r="BA24" i="6"/>
  <c r="AZ24" i="6"/>
  <c r="AX24" i="6"/>
  <c r="AW24" i="6"/>
  <c r="AV24" i="6"/>
  <c r="AT24" i="6"/>
  <c r="AS24" i="6"/>
  <c r="AR24" i="6"/>
  <c r="AP24" i="6"/>
  <c r="AO24" i="6"/>
  <c r="AN24" i="6"/>
  <c r="AL24" i="6"/>
  <c r="AK24" i="6"/>
  <c r="AJ24" i="6"/>
  <c r="AH24" i="6"/>
  <c r="AG24" i="6"/>
  <c r="AF24" i="6"/>
  <c r="AD24" i="6"/>
  <c r="AC24" i="6"/>
  <c r="AB24" i="6"/>
  <c r="Z24" i="6"/>
  <c r="Y24" i="6"/>
  <c r="X24" i="6"/>
  <c r="V24" i="6"/>
  <c r="U24" i="6"/>
  <c r="T24" i="6"/>
  <c r="R24" i="6"/>
  <c r="Q24" i="6"/>
  <c r="P24" i="6"/>
  <c r="N24" i="6"/>
  <c r="M24" i="6"/>
  <c r="L24" i="6"/>
  <c r="J24" i="6"/>
  <c r="I24" i="6"/>
  <c r="H24" i="6"/>
  <c r="F24" i="6"/>
  <c r="E24" i="6"/>
  <c r="D24" i="6"/>
  <c r="CX23" i="6"/>
  <c r="CW23" i="6"/>
  <c r="CV23" i="6"/>
  <c r="CT23" i="6"/>
  <c r="CS23" i="6"/>
  <c r="CR23" i="6"/>
  <c r="CP23" i="6"/>
  <c r="CO23" i="6"/>
  <c r="CN23" i="6"/>
  <c r="CL23" i="6"/>
  <c r="CK23" i="6"/>
  <c r="CJ23" i="6"/>
  <c r="CH23" i="6"/>
  <c r="CG23" i="6"/>
  <c r="CF23" i="6"/>
  <c r="CD23" i="6"/>
  <c r="CC23" i="6"/>
  <c r="CB23" i="6"/>
  <c r="BZ23" i="6"/>
  <c r="BY23" i="6"/>
  <c r="BX23" i="6"/>
  <c r="BV23" i="6"/>
  <c r="BU23" i="6"/>
  <c r="BT23" i="6"/>
  <c r="BR23" i="6"/>
  <c r="BQ23" i="6"/>
  <c r="BP23" i="6"/>
  <c r="BN23" i="6"/>
  <c r="BM23" i="6"/>
  <c r="BL23" i="6"/>
  <c r="BJ23" i="6"/>
  <c r="BI23" i="6"/>
  <c r="BH23" i="6"/>
  <c r="BF23" i="6"/>
  <c r="BE23" i="6"/>
  <c r="BD23" i="6"/>
  <c r="BB23" i="6"/>
  <c r="BA23" i="6"/>
  <c r="AZ23" i="6"/>
  <c r="AX23" i="6"/>
  <c r="AW23" i="6"/>
  <c r="AV23" i="6"/>
  <c r="AT23" i="6"/>
  <c r="AS23" i="6"/>
  <c r="AR23" i="6"/>
  <c r="AP23" i="6"/>
  <c r="AO23" i="6"/>
  <c r="AN23" i="6"/>
  <c r="AL23" i="6"/>
  <c r="AK23" i="6"/>
  <c r="AJ23" i="6"/>
  <c r="AH23" i="6"/>
  <c r="AG23" i="6"/>
  <c r="AF23" i="6"/>
  <c r="AD23" i="6"/>
  <c r="AC23" i="6"/>
  <c r="AB23" i="6"/>
  <c r="Z23" i="6"/>
  <c r="Y23" i="6"/>
  <c r="X23" i="6"/>
  <c r="V23" i="6"/>
  <c r="U23" i="6"/>
  <c r="T23" i="6"/>
  <c r="R23" i="6"/>
  <c r="Q23" i="6"/>
  <c r="P23" i="6"/>
  <c r="N23" i="6"/>
  <c r="M23" i="6"/>
  <c r="L23" i="6"/>
  <c r="J23" i="6"/>
  <c r="I23" i="6"/>
  <c r="H23" i="6"/>
  <c r="F23" i="6"/>
  <c r="E23" i="6"/>
  <c r="D23" i="6"/>
  <c r="CX22" i="6"/>
  <c r="CW22" i="6"/>
  <c r="CV22" i="6"/>
  <c r="CT22" i="6"/>
  <c r="CS22" i="6"/>
  <c r="CR22" i="6"/>
  <c r="CP22" i="6"/>
  <c r="CO22" i="6"/>
  <c r="CN22" i="6"/>
  <c r="CL22" i="6"/>
  <c r="CK22" i="6"/>
  <c r="CJ22" i="6"/>
  <c r="CH22" i="6"/>
  <c r="CG22" i="6"/>
  <c r="CF22" i="6"/>
  <c r="CD22" i="6"/>
  <c r="CC22" i="6"/>
  <c r="CB22" i="6"/>
  <c r="BZ22" i="6"/>
  <c r="BY22" i="6"/>
  <c r="BX22" i="6"/>
  <c r="BV22" i="6"/>
  <c r="BU22" i="6"/>
  <c r="BT22" i="6"/>
  <c r="BR22" i="6"/>
  <c r="BQ22" i="6"/>
  <c r="BP22" i="6"/>
  <c r="BN22" i="6"/>
  <c r="BM22" i="6"/>
  <c r="BL22" i="6"/>
  <c r="BJ22" i="6"/>
  <c r="BI22" i="6"/>
  <c r="BH22" i="6"/>
  <c r="BF22" i="6"/>
  <c r="BE22" i="6"/>
  <c r="BD22" i="6"/>
  <c r="BB22" i="6"/>
  <c r="BA22" i="6"/>
  <c r="AZ22" i="6"/>
  <c r="AX22" i="6"/>
  <c r="AW22" i="6"/>
  <c r="AV22" i="6"/>
  <c r="AT22" i="6"/>
  <c r="AS22" i="6"/>
  <c r="AR22" i="6"/>
  <c r="AP22" i="6"/>
  <c r="AO22" i="6"/>
  <c r="AN22" i="6"/>
  <c r="AL22" i="6"/>
  <c r="AK22" i="6"/>
  <c r="AJ22" i="6"/>
  <c r="AH22" i="6"/>
  <c r="AG22" i="6"/>
  <c r="AF22" i="6"/>
  <c r="AD22" i="6"/>
  <c r="AC22" i="6"/>
  <c r="AB22" i="6"/>
  <c r="Z22" i="6"/>
  <c r="Y22" i="6"/>
  <c r="X22" i="6"/>
  <c r="V22" i="6"/>
  <c r="U22" i="6"/>
  <c r="T22" i="6"/>
  <c r="R22" i="6"/>
  <c r="Q22" i="6"/>
  <c r="P22" i="6"/>
  <c r="N22" i="6"/>
  <c r="M22" i="6"/>
  <c r="L22" i="6"/>
  <c r="J22" i="6"/>
  <c r="I22" i="6"/>
  <c r="H22" i="6"/>
  <c r="F22" i="6"/>
  <c r="E22" i="6"/>
  <c r="D22" i="6"/>
  <c r="CX21" i="6"/>
  <c r="CW21" i="6"/>
  <c r="CV21" i="6"/>
  <c r="CT21" i="6"/>
  <c r="CS21" i="6"/>
  <c r="CR21" i="6"/>
  <c r="CP21" i="6"/>
  <c r="CO21" i="6"/>
  <c r="CN21" i="6"/>
  <c r="CL21" i="6"/>
  <c r="CK21" i="6"/>
  <c r="CJ21" i="6"/>
  <c r="CH21" i="6"/>
  <c r="CG21" i="6"/>
  <c r="CF21" i="6"/>
  <c r="CD21" i="6"/>
  <c r="CC21" i="6"/>
  <c r="CB21" i="6"/>
  <c r="BZ21" i="6"/>
  <c r="BY21" i="6"/>
  <c r="BX21" i="6"/>
  <c r="BV21" i="6"/>
  <c r="BU21" i="6"/>
  <c r="BT21" i="6"/>
  <c r="BR21" i="6"/>
  <c r="BQ21" i="6"/>
  <c r="BP21" i="6"/>
  <c r="BN21" i="6"/>
  <c r="BM21" i="6"/>
  <c r="BL21" i="6"/>
  <c r="BJ21" i="6"/>
  <c r="BI21" i="6"/>
  <c r="BH21" i="6"/>
  <c r="BF21" i="6"/>
  <c r="BE21" i="6"/>
  <c r="BD21" i="6"/>
  <c r="BB21" i="6"/>
  <c r="BA21" i="6"/>
  <c r="AZ21" i="6"/>
  <c r="AX21" i="6"/>
  <c r="AW21" i="6"/>
  <c r="AV21" i="6"/>
  <c r="AT21" i="6"/>
  <c r="AS21" i="6"/>
  <c r="AR21" i="6"/>
  <c r="AP21" i="6"/>
  <c r="AO21" i="6"/>
  <c r="AN21" i="6"/>
  <c r="AL21" i="6"/>
  <c r="AK21" i="6"/>
  <c r="AJ21" i="6"/>
  <c r="AH21" i="6"/>
  <c r="AG21" i="6"/>
  <c r="AF21" i="6"/>
  <c r="AD21" i="6"/>
  <c r="AC21" i="6"/>
  <c r="AB21" i="6"/>
  <c r="Z21" i="6"/>
  <c r="Y21" i="6"/>
  <c r="X21" i="6"/>
  <c r="V21" i="6"/>
  <c r="U21" i="6"/>
  <c r="T21" i="6"/>
  <c r="R21" i="6"/>
  <c r="Q21" i="6"/>
  <c r="P21" i="6"/>
  <c r="N21" i="6"/>
  <c r="M21" i="6"/>
  <c r="L21" i="6"/>
  <c r="J21" i="6"/>
  <c r="I21" i="6"/>
  <c r="H21" i="6"/>
  <c r="F21" i="6"/>
  <c r="E21" i="6"/>
  <c r="D21" i="6"/>
  <c r="CX20" i="6"/>
  <c r="CW20" i="6"/>
  <c r="CV20" i="6"/>
  <c r="CT20" i="6"/>
  <c r="CS20" i="6"/>
  <c r="CR20" i="6"/>
  <c r="CP20" i="6"/>
  <c r="CO20" i="6"/>
  <c r="CN20" i="6"/>
  <c r="CL20" i="6"/>
  <c r="CK20" i="6"/>
  <c r="CJ20" i="6"/>
  <c r="CH20" i="6"/>
  <c r="CG20" i="6"/>
  <c r="CF20" i="6"/>
  <c r="CD20" i="6"/>
  <c r="CC20" i="6"/>
  <c r="CB20" i="6"/>
  <c r="BZ20" i="6"/>
  <c r="BY20" i="6"/>
  <c r="BX20" i="6"/>
  <c r="BV20" i="6"/>
  <c r="BU20" i="6"/>
  <c r="BT20" i="6"/>
  <c r="BR20" i="6"/>
  <c r="BQ20" i="6"/>
  <c r="BP20" i="6"/>
  <c r="BN20" i="6"/>
  <c r="BM20" i="6"/>
  <c r="BL20" i="6"/>
  <c r="BJ20" i="6"/>
  <c r="BI20" i="6"/>
  <c r="BH20" i="6"/>
  <c r="BF20" i="6"/>
  <c r="BE20" i="6"/>
  <c r="BD20" i="6"/>
  <c r="BB20" i="6"/>
  <c r="BA20" i="6"/>
  <c r="AZ20" i="6"/>
  <c r="AX20" i="6"/>
  <c r="AW20" i="6"/>
  <c r="AV20" i="6"/>
  <c r="AT20" i="6"/>
  <c r="AS20" i="6"/>
  <c r="AR20" i="6"/>
  <c r="AP20" i="6"/>
  <c r="AO20" i="6"/>
  <c r="AN20" i="6"/>
  <c r="AL20" i="6"/>
  <c r="AK20" i="6"/>
  <c r="AJ20" i="6"/>
  <c r="AH20" i="6"/>
  <c r="AG20" i="6"/>
  <c r="AF20" i="6"/>
  <c r="AD20" i="6"/>
  <c r="AC20" i="6"/>
  <c r="AB20" i="6"/>
  <c r="Z20" i="6"/>
  <c r="Y20" i="6"/>
  <c r="X20" i="6"/>
  <c r="V20" i="6"/>
  <c r="U20" i="6"/>
  <c r="T20" i="6"/>
  <c r="R20" i="6"/>
  <c r="Q20" i="6"/>
  <c r="P20" i="6"/>
  <c r="N20" i="6"/>
  <c r="M20" i="6"/>
  <c r="L20" i="6"/>
  <c r="J20" i="6"/>
  <c r="I20" i="6"/>
  <c r="H20" i="6"/>
  <c r="F20" i="6"/>
  <c r="E20" i="6"/>
  <c r="D20" i="6"/>
  <c r="CX19" i="6"/>
  <c r="CW19" i="6"/>
  <c r="CV19" i="6"/>
  <c r="CT19" i="6"/>
  <c r="CS19" i="6"/>
  <c r="CR19" i="6"/>
  <c r="CP19" i="6"/>
  <c r="CO19" i="6"/>
  <c r="CN19" i="6"/>
  <c r="CL19" i="6"/>
  <c r="CK19" i="6"/>
  <c r="CJ19" i="6"/>
  <c r="CH19" i="6"/>
  <c r="CG19" i="6"/>
  <c r="CF19" i="6"/>
  <c r="CD19" i="6"/>
  <c r="CC19" i="6"/>
  <c r="CB19" i="6"/>
  <c r="BZ19" i="6"/>
  <c r="BY19" i="6"/>
  <c r="BX19" i="6"/>
  <c r="BV19" i="6"/>
  <c r="BU19" i="6"/>
  <c r="BT19" i="6"/>
  <c r="BR19" i="6"/>
  <c r="BQ19" i="6"/>
  <c r="BP19" i="6"/>
  <c r="BN19" i="6"/>
  <c r="BM19" i="6"/>
  <c r="BL19" i="6"/>
  <c r="BJ19" i="6"/>
  <c r="BI19" i="6"/>
  <c r="BH19" i="6"/>
  <c r="BF19" i="6"/>
  <c r="BE19" i="6"/>
  <c r="BD19" i="6"/>
  <c r="BB19" i="6"/>
  <c r="BA19" i="6"/>
  <c r="AZ19" i="6"/>
  <c r="AX19" i="6"/>
  <c r="AW19" i="6"/>
  <c r="AV19" i="6"/>
  <c r="AT19" i="6"/>
  <c r="AS19" i="6"/>
  <c r="AR19" i="6"/>
  <c r="AP19" i="6"/>
  <c r="AO19" i="6"/>
  <c r="AN19" i="6"/>
  <c r="AL19" i="6"/>
  <c r="AK19" i="6"/>
  <c r="AJ19" i="6"/>
  <c r="AH19" i="6"/>
  <c r="AG19" i="6"/>
  <c r="AF19" i="6"/>
  <c r="AD19" i="6"/>
  <c r="AC19" i="6"/>
  <c r="AB19" i="6"/>
  <c r="Z19" i="6"/>
  <c r="Y19" i="6"/>
  <c r="X19" i="6"/>
  <c r="V19" i="6"/>
  <c r="U19" i="6"/>
  <c r="T19" i="6"/>
  <c r="R19" i="6"/>
  <c r="Q19" i="6"/>
  <c r="P19" i="6"/>
  <c r="N19" i="6"/>
  <c r="M19" i="6"/>
  <c r="L19" i="6"/>
  <c r="J19" i="6"/>
  <c r="I19" i="6"/>
  <c r="H19" i="6"/>
  <c r="F19" i="6"/>
  <c r="E19" i="6"/>
  <c r="D19" i="6"/>
  <c r="CX18" i="6"/>
  <c r="CW18" i="6"/>
  <c r="CV18" i="6"/>
  <c r="CT18" i="6"/>
  <c r="CS18" i="6"/>
  <c r="CR18" i="6"/>
  <c r="CP18" i="6"/>
  <c r="CO18" i="6"/>
  <c r="CN18" i="6"/>
  <c r="CL18" i="6"/>
  <c r="CK18" i="6"/>
  <c r="CJ18" i="6"/>
  <c r="CH18" i="6"/>
  <c r="CG18" i="6"/>
  <c r="CF18" i="6"/>
  <c r="CD18" i="6"/>
  <c r="CC18" i="6"/>
  <c r="CB18" i="6"/>
  <c r="BZ18" i="6"/>
  <c r="BY18" i="6"/>
  <c r="BX18" i="6"/>
  <c r="BV18" i="6"/>
  <c r="BU18" i="6"/>
  <c r="BT18" i="6"/>
  <c r="BR18" i="6"/>
  <c r="BQ18" i="6"/>
  <c r="BP18" i="6"/>
  <c r="BN18" i="6"/>
  <c r="BM18" i="6"/>
  <c r="BL18" i="6"/>
  <c r="BJ18" i="6"/>
  <c r="BI18" i="6"/>
  <c r="BH18" i="6"/>
  <c r="BF18" i="6"/>
  <c r="BE18" i="6"/>
  <c r="BD18" i="6"/>
  <c r="BB18" i="6"/>
  <c r="BA18" i="6"/>
  <c r="AZ18" i="6"/>
  <c r="AX18" i="6"/>
  <c r="AW18" i="6"/>
  <c r="AV18" i="6"/>
  <c r="AT18" i="6"/>
  <c r="AS18" i="6"/>
  <c r="AR18" i="6"/>
  <c r="AP18" i="6"/>
  <c r="AO18" i="6"/>
  <c r="AN18" i="6"/>
  <c r="AL18" i="6"/>
  <c r="AK18" i="6"/>
  <c r="AJ18" i="6"/>
  <c r="AH18" i="6"/>
  <c r="AG18" i="6"/>
  <c r="AF18" i="6"/>
  <c r="AD18" i="6"/>
  <c r="AC18" i="6"/>
  <c r="AB18" i="6"/>
  <c r="Z18" i="6"/>
  <c r="Y18" i="6"/>
  <c r="X18" i="6"/>
  <c r="V18" i="6"/>
  <c r="U18" i="6"/>
  <c r="T18" i="6"/>
  <c r="R18" i="6"/>
  <c r="Q18" i="6"/>
  <c r="P18" i="6"/>
  <c r="N18" i="6"/>
  <c r="M18" i="6"/>
  <c r="L18" i="6"/>
  <c r="J18" i="6"/>
  <c r="I18" i="6"/>
  <c r="H18" i="6"/>
  <c r="F18" i="6"/>
  <c r="E18" i="6"/>
  <c r="D18" i="6"/>
  <c r="CX17" i="6"/>
  <c r="CW17" i="6"/>
  <c r="CV17" i="6"/>
  <c r="CT17" i="6"/>
  <c r="CS17" i="6"/>
  <c r="CR17" i="6"/>
  <c r="CP17" i="6"/>
  <c r="CO17" i="6"/>
  <c r="CN17" i="6"/>
  <c r="CL17" i="6"/>
  <c r="CK17" i="6"/>
  <c r="CJ17" i="6"/>
  <c r="CH17" i="6"/>
  <c r="CG17" i="6"/>
  <c r="CF17" i="6"/>
  <c r="CD17" i="6"/>
  <c r="CC17" i="6"/>
  <c r="CB17" i="6"/>
  <c r="BZ17" i="6"/>
  <c r="BY17" i="6"/>
  <c r="BX17" i="6"/>
  <c r="BV17" i="6"/>
  <c r="BU17" i="6"/>
  <c r="BT17" i="6"/>
  <c r="BR17" i="6"/>
  <c r="BQ17" i="6"/>
  <c r="BP17" i="6"/>
  <c r="BN17" i="6"/>
  <c r="BM17" i="6"/>
  <c r="BL17" i="6"/>
  <c r="BJ17" i="6"/>
  <c r="BI17" i="6"/>
  <c r="BH17" i="6"/>
  <c r="BF17" i="6"/>
  <c r="BE17" i="6"/>
  <c r="BD17" i="6"/>
  <c r="BB17" i="6"/>
  <c r="BA17" i="6"/>
  <c r="AZ17" i="6"/>
  <c r="AX17" i="6"/>
  <c r="AW17" i="6"/>
  <c r="AV17" i="6"/>
  <c r="AT17" i="6"/>
  <c r="AS17" i="6"/>
  <c r="AR17" i="6"/>
  <c r="AP17" i="6"/>
  <c r="AO17" i="6"/>
  <c r="AN17" i="6"/>
  <c r="AL17" i="6"/>
  <c r="AK17" i="6"/>
  <c r="AJ17" i="6"/>
  <c r="AH17" i="6"/>
  <c r="AG17" i="6"/>
  <c r="AF17" i="6"/>
  <c r="AD17" i="6"/>
  <c r="AC17" i="6"/>
  <c r="AB17" i="6"/>
  <c r="Z17" i="6"/>
  <c r="Y17" i="6"/>
  <c r="X17" i="6"/>
  <c r="V17" i="6"/>
  <c r="U17" i="6"/>
  <c r="T17" i="6"/>
  <c r="R17" i="6"/>
  <c r="Q17" i="6"/>
  <c r="P17" i="6"/>
  <c r="N17" i="6"/>
  <c r="M17" i="6"/>
  <c r="L17" i="6"/>
  <c r="J17" i="6"/>
  <c r="I17" i="6"/>
  <c r="H17" i="6"/>
  <c r="F17" i="6"/>
  <c r="E17" i="6"/>
  <c r="D17" i="6"/>
  <c r="CX16" i="6"/>
  <c r="CW16" i="6"/>
  <c r="CV16" i="6"/>
  <c r="CT16" i="6"/>
  <c r="CS16" i="6"/>
  <c r="CR16" i="6"/>
  <c r="CP16" i="6"/>
  <c r="CO16" i="6"/>
  <c r="CN16" i="6"/>
  <c r="CL16" i="6"/>
  <c r="CK16" i="6"/>
  <c r="CJ16" i="6"/>
  <c r="CH16" i="6"/>
  <c r="CG16" i="6"/>
  <c r="CF16" i="6"/>
  <c r="CD16" i="6"/>
  <c r="CC16" i="6"/>
  <c r="CB16" i="6"/>
  <c r="BZ16" i="6"/>
  <c r="BY16" i="6"/>
  <c r="BX16" i="6"/>
  <c r="BV16" i="6"/>
  <c r="BU16" i="6"/>
  <c r="BT16" i="6"/>
  <c r="BR16" i="6"/>
  <c r="BQ16" i="6"/>
  <c r="BP16" i="6"/>
  <c r="BN16" i="6"/>
  <c r="BM16" i="6"/>
  <c r="BL16" i="6"/>
  <c r="BJ16" i="6"/>
  <c r="BI16" i="6"/>
  <c r="BH16" i="6"/>
  <c r="BF16" i="6"/>
  <c r="BE16" i="6"/>
  <c r="BD16" i="6"/>
  <c r="BB16" i="6"/>
  <c r="BA16" i="6"/>
  <c r="AZ16" i="6"/>
  <c r="AX16" i="6"/>
  <c r="AW16" i="6"/>
  <c r="AV16" i="6"/>
  <c r="AT16" i="6"/>
  <c r="AS16" i="6"/>
  <c r="AR16" i="6"/>
  <c r="AP16" i="6"/>
  <c r="AO16" i="6"/>
  <c r="AN16" i="6"/>
  <c r="AL16" i="6"/>
  <c r="AK16" i="6"/>
  <c r="AJ16" i="6"/>
  <c r="AH16" i="6"/>
  <c r="AG16" i="6"/>
  <c r="AF16" i="6"/>
  <c r="AD16" i="6"/>
  <c r="AC16" i="6"/>
  <c r="AB16" i="6"/>
  <c r="Z16" i="6"/>
  <c r="Y16" i="6"/>
  <c r="X16" i="6"/>
  <c r="V16" i="6"/>
  <c r="U16" i="6"/>
  <c r="T16" i="6"/>
  <c r="R16" i="6"/>
  <c r="Q16" i="6"/>
  <c r="P16" i="6"/>
  <c r="N16" i="6"/>
  <c r="M16" i="6"/>
  <c r="L16" i="6"/>
  <c r="J16" i="6"/>
  <c r="I16" i="6"/>
  <c r="H16" i="6"/>
  <c r="F16" i="6"/>
  <c r="E16" i="6"/>
  <c r="D16" i="6"/>
  <c r="CX15" i="6"/>
  <c r="CW15" i="6"/>
  <c r="CV15" i="6"/>
  <c r="CT15" i="6"/>
  <c r="CS15" i="6"/>
  <c r="CR15" i="6"/>
  <c r="CP15" i="6"/>
  <c r="CO15" i="6"/>
  <c r="CN15" i="6"/>
  <c r="CL15" i="6"/>
  <c r="CK15" i="6"/>
  <c r="CJ15" i="6"/>
  <c r="CH15" i="6"/>
  <c r="CG15" i="6"/>
  <c r="CF15" i="6"/>
  <c r="CD15" i="6"/>
  <c r="CC15" i="6"/>
  <c r="CB15" i="6"/>
  <c r="BZ15" i="6"/>
  <c r="BY15" i="6"/>
  <c r="BX15" i="6"/>
  <c r="BV15" i="6"/>
  <c r="BU15" i="6"/>
  <c r="BT15" i="6"/>
  <c r="BR15" i="6"/>
  <c r="BQ15" i="6"/>
  <c r="BP15" i="6"/>
  <c r="BN15" i="6"/>
  <c r="BM15" i="6"/>
  <c r="BL15" i="6"/>
  <c r="BJ15" i="6"/>
  <c r="BI15" i="6"/>
  <c r="BH15" i="6"/>
  <c r="BF15" i="6"/>
  <c r="BE15" i="6"/>
  <c r="BD15" i="6"/>
  <c r="BB15" i="6"/>
  <c r="BA15" i="6"/>
  <c r="AZ15" i="6"/>
  <c r="AX15" i="6"/>
  <c r="AW15" i="6"/>
  <c r="AV15" i="6"/>
  <c r="AT15" i="6"/>
  <c r="AS15" i="6"/>
  <c r="AR15" i="6"/>
  <c r="AP15" i="6"/>
  <c r="AO15" i="6"/>
  <c r="AN15" i="6"/>
  <c r="AL15" i="6"/>
  <c r="AK15" i="6"/>
  <c r="AJ15" i="6"/>
  <c r="AH15" i="6"/>
  <c r="AG15" i="6"/>
  <c r="AF15" i="6"/>
  <c r="AD15" i="6"/>
  <c r="AC15" i="6"/>
  <c r="AB15" i="6"/>
  <c r="Z15" i="6"/>
  <c r="Y15" i="6"/>
  <c r="X15" i="6"/>
  <c r="V15" i="6"/>
  <c r="U15" i="6"/>
  <c r="T15" i="6"/>
  <c r="R15" i="6"/>
  <c r="Q15" i="6"/>
  <c r="P15" i="6"/>
  <c r="N15" i="6"/>
  <c r="M15" i="6"/>
  <c r="L15" i="6"/>
  <c r="J15" i="6"/>
  <c r="I15" i="6"/>
  <c r="H15" i="6"/>
  <c r="F15" i="6"/>
  <c r="E15" i="6"/>
  <c r="D15" i="6"/>
  <c r="CX14" i="6"/>
  <c r="CW14" i="6"/>
  <c r="CV14" i="6"/>
  <c r="CT14" i="6"/>
  <c r="CS14" i="6"/>
  <c r="CR14" i="6"/>
  <c r="CP14" i="6"/>
  <c r="CO14" i="6"/>
  <c r="CN14" i="6"/>
  <c r="CL14" i="6"/>
  <c r="CK14" i="6"/>
  <c r="CJ14" i="6"/>
  <c r="CH14" i="6"/>
  <c r="CG14" i="6"/>
  <c r="CF14" i="6"/>
  <c r="CD14" i="6"/>
  <c r="CC14" i="6"/>
  <c r="CB14" i="6"/>
  <c r="BZ14" i="6"/>
  <c r="BY14" i="6"/>
  <c r="BX14" i="6"/>
  <c r="BV14" i="6"/>
  <c r="BU14" i="6"/>
  <c r="BT14" i="6"/>
  <c r="BR14" i="6"/>
  <c r="BQ14" i="6"/>
  <c r="BP14" i="6"/>
  <c r="BN14" i="6"/>
  <c r="BM14" i="6"/>
  <c r="BL14" i="6"/>
  <c r="BJ14" i="6"/>
  <c r="BI14" i="6"/>
  <c r="BH14" i="6"/>
  <c r="BF14" i="6"/>
  <c r="BE14" i="6"/>
  <c r="BD14" i="6"/>
  <c r="BB14" i="6"/>
  <c r="BA14" i="6"/>
  <c r="AZ14" i="6"/>
  <c r="AX14" i="6"/>
  <c r="AW14" i="6"/>
  <c r="AV14" i="6"/>
  <c r="AT14" i="6"/>
  <c r="AS14" i="6"/>
  <c r="AR14" i="6"/>
  <c r="AP14" i="6"/>
  <c r="AO14" i="6"/>
  <c r="AN14" i="6"/>
  <c r="AL14" i="6"/>
  <c r="AK14" i="6"/>
  <c r="AJ14" i="6"/>
  <c r="AH14" i="6"/>
  <c r="AG14" i="6"/>
  <c r="AF14" i="6"/>
  <c r="AD14" i="6"/>
  <c r="AC14" i="6"/>
  <c r="AB14" i="6"/>
  <c r="Z14" i="6"/>
  <c r="Y14" i="6"/>
  <c r="X14" i="6"/>
  <c r="V14" i="6"/>
  <c r="U14" i="6"/>
  <c r="T14" i="6"/>
  <c r="R14" i="6"/>
  <c r="Q14" i="6"/>
  <c r="P14" i="6"/>
  <c r="N14" i="6"/>
  <c r="M14" i="6"/>
  <c r="L14" i="6"/>
  <c r="J14" i="6"/>
  <c r="I14" i="6"/>
  <c r="H14" i="6"/>
  <c r="F14" i="6"/>
  <c r="E14" i="6"/>
  <c r="D14" i="6"/>
  <c r="CX13" i="6"/>
  <c r="CW13" i="6"/>
  <c r="CV13" i="6"/>
  <c r="CT13" i="6"/>
  <c r="CS13" i="6"/>
  <c r="CR13" i="6"/>
  <c r="CP13" i="6"/>
  <c r="CO13" i="6"/>
  <c r="CN13" i="6"/>
  <c r="CL13" i="6"/>
  <c r="CK13" i="6"/>
  <c r="CJ13" i="6"/>
  <c r="CH13" i="6"/>
  <c r="CG13" i="6"/>
  <c r="CF13" i="6"/>
  <c r="CD13" i="6"/>
  <c r="CC13" i="6"/>
  <c r="CB13" i="6"/>
  <c r="BZ13" i="6"/>
  <c r="BY13" i="6"/>
  <c r="BX13" i="6"/>
  <c r="BV13" i="6"/>
  <c r="BU13" i="6"/>
  <c r="BT13" i="6"/>
  <c r="BR13" i="6"/>
  <c r="BQ13" i="6"/>
  <c r="BP13" i="6"/>
  <c r="BN13" i="6"/>
  <c r="BM13" i="6"/>
  <c r="BL13" i="6"/>
  <c r="BJ13" i="6"/>
  <c r="BI13" i="6"/>
  <c r="BH13" i="6"/>
  <c r="BF13" i="6"/>
  <c r="BE13" i="6"/>
  <c r="BD13" i="6"/>
  <c r="BB13" i="6"/>
  <c r="BA13" i="6"/>
  <c r="AZ13" i="6"/>
  <c r="AX13" i="6"/>
  <c r="AW13" i="6"/>
  <c r="AV13" i="6"/>
  <c r="AT13" i="6"/>
  <c r="AS13" i="6"/>
  <c r="AR13" i="6"/>
  <c r="AP13" i="6"/>
  <c r="AO13" i="6"/>
  <c r="AN13" i="6"/>
  <c r="AL13" i="6"/>
  <c r="AK13" i="6"/>
  <c r="AJ13" i="6"/>
  <c r="AH13" i="6"/>
  <c r="AG13" i="6"/>
  <c r="AF13" i="6"/>
  <c r="AD13" i="6"/>
  <c r="AC13" i="6"/>
  <c r="AB13" i="6"/>
  <c r="Z13" i="6"/>
  <c r="Y13" i="6"/>
  <c r="X13" i="6"/>
  <c r="V13" i="6"/>
  <c r="U13" i="6"/>
  <c r="T13" i="6"/>
  <c r="R13" i="6"/>
  <c r="Q13" i="6"/>
  <c r="P13" i="6"/>
  <c r="N13" i="6"/>
  <c r="M13" i="6"/>
  <c r="L13" i="6"/>
  <c r="J13" i="6"/>
  <c r="I13" i="6"/>
  <c r="H13" i="6"/>
  <c r="F13" i="6"/>
  <c r="E13" i="6"/>
  <c r="D13" i="6"/>
  <c r="CX12" i="6"/>
  <c r="CW12" i="6"/>
  <c r="CV12" i="6"/>
  <c r="CT12" i="6"/>
  <c r="CS12" i="6"/>
  <c r="CR12" i="6"/>
  <c r="CP12" i="6"/>
  <c r="CO12" i="6"/>
  <c r="CN12" i="6"/>
  <c r="CL12" i="6"/>
  <c r="CK12" i="6"/>
  <c r="CJ12" i="6"/>
  <c r="CH12" i="6"/>
  <c r="CG12" i="6"/>
  <c r="CF12" i="6"/>
  <c r="CD12" i="6"/>
  <c r="CC12" i="6"/>
  <c r="CB12" i="6"/>
  <c r="BZ12" i="6"/>
  <c r="BY12" i="6"/>
  <c r="BX12" i="6"/>
  <c r="BV12" i="6"/>
  <c r="BU12" i="6"/>
  <c r="BT12" i="6"/>
  <c r="BR12" i="6"/>
  <c r="BQ12" i="6"/>
  <c r="BP12" i="6"/>
  <c r="BN12" i="6"/>
  <c r="BM12" i="6"/>
  <c r="BL12" i="6"/>
  <c r="BJ12" i="6"/>
  <c r="BI12" i="6"/>
  <c r="BH12" i="6"/>
  <c r="BF12" i="6"/>
  <c r="BE12" i="6"/>
  <c r="BD12" i="6"/>
  <c r="BB12" i="6"/>
  <c r="BA12" i="6"/>
  <c r="AZ12" i="6"/>
  <c r="AX12" i="6"/>
  <c r="AW12" i="6"/>
  <c r="AV12" i="6"/>
  <c r="AT12" i="6"/>
  <c r="AS12" i="6"/>
  <c r="AR12" i="6"/>
  <c r="AP12" i="6"/>
  <c r="AO12" i="6"/>
  <c r="AN12" i="6"/>
  <c r="AL12" i="6"/>
  <c r="AK12" i="6"/>
  <c r="AJ12" i="6"/>
  <c r="AH12" i="6"/>
  <c r="AG12" i="6"/>
  <c r="AF12" i="6"/>
  <c r="AD12" i="6"/>
  <c r="AC12" i="6"/>
  <c r="AB12" i="6"/>
  <c r="Z12" i="6"/>
  <c r="Y12" i="6"/>
  <c r="X12" i="6"/>
  <c r="V12" i="6"/>
  <c r="U12" i="6"/>
  <c r="T12" i="6"/>
  <c r="R12" i="6"/>
  <c r="Q12" i="6"/>
  <c r="P12" i="6"/>
  <c r="N12" i="6"/>
  <c r="M12" i="6"/>
  <c r="L12" i="6"/>
  <c r="J12" i="6"/>
  <c r="I12" i="6"/>
  <c r="H12" i="6"/>
  <c r="F12" i="6"/>
  <c r="E12" i="6"/>
  <c r="D12" i="6"/>
  <c r="CX11" i="6"/>
  <c r="CW11" i="6"/>
  <c r="CV11" i="6"/>
  <c r="CT11" i="6"/>
  <c r="CS11" i="6"/>
  <c r="CR11" i="6"/>
  <c r="CP11" i="6"/>
  <c r="CO11" i="6"/>
  <c r="CN11" i="6"/>
  <c r="CL11" i="6"/>
  <c r="CK11" i="6"/>
  <c r="CJ11" i="6"/>
  <c r="CH11" i="6"/>
  <c r="CG11" i="6"/>
  <c r="CF11" i="6"/>
  <c r="CD11" i="6"/>
  <c r="CC11" i="6"/>
  <c r="CB11" i="6"/>
  <c r="BZ11" i="6"/>
  <c r="BY11" i="6"/>
  <c r="BX11" i="6"/>
  <c r="BV11" i="6"/>
  <c r="BU11" i="6"/>
  <c r="BT11" i="6"/>
  <c r="BR11" i="6"/>
  <c r="BQ11" i="6"/>
  <c r="BP11" i="6"/>
  <c r="BN11" i="6"/>
  <c r="BM11" i="6"/>
  <c r="BL11" i="6"/>
  <c r="BJ11" i="6"/>
  <c r="BI11" i="6"/>
  <c r="BH11" i="6"/>
  <c r="BF11" i="6"/>
  <c r="BE11" i="6"/>
  <c r="BD11" i="6"/>
  <c r="BB11" i="6"/>
  <c r="BA11" i="6"/>
  <c r="AZ11" i="6"/>
  <c r="AX11" i="6"/>
  <c r="AW11" i="6"/>
  <c r="AV11" i="6"/>
  <c r="AT11" i="6"/>
  <c r="AS11" i="6"/>
  <c r="AR11" i="6"/>
  <c r="AP11" i="6"/>
  <c r="AO11" i="6"/>
  <c r="AN11" i="6"/>
  <c r="AL11" i="6"/>
  <c r="AK11" i="6"/>
  <c r="AJ11" i="6"/>
  <c r="AH11" i="6"/>
  <c r="AG11" i="6"/>
  <c r="AF11" i="6"/>
  <c r="AD11" i="6"/>
  <c r="AC11" i="6"/>
  <c r="AB11" i="6"/>
  <c r="Z11" i="6"/>
  <c r="Y11" i="6"/>
  <c r="X11" i="6"/>
  <c r="V11" i="6"/>
  <c r="U11" i="6"/>
  <c r="T11" i="6"/>
  <c r="R11" i="6"/>
  <c r="Q11" i="6"/>
  <c r="P11" i="6"/>
  <c r="N11" i="6"/>
  <c r="M11" i="6"/>
  <c r="L11" i="6"/>
  <c r="J11" i="6"/>
  <c r="I11" i="6"/>
  <c r="H11" i="6"/>
  <c r="F11" i="6"/>
  <c r="E11" i="6"/>
  <c r="D11" i="6"/>
  <c r="CX10" i="6"/>
  <c r="CW10" i="6"/>
  <c r="CV10" i="6"/>
  <c r="CT10" i="6"/>
  <c r="CS10" i="6"/>
  <c r="CR10" i="6"/>
  <c r="CP10" i="6"/>
  <c r="CO10" i="6"/>
  <c r="CN10" i="6"/>
  <c r="CQ10" i="6" s="1"/>
  <c r="CL10" i="6"/>
  <c r="CK10" i="6"/>
  <c r="CJ10" i="6"/>
  <c r="CH10" i="6"/>
  <c r="CG10" i="6"/>
  <c r="CF10" i="6"/>
  <c r="CD10" i="6"/>
  <c r="CC10" i="6"/>
  <c r="CB10" i="6"/>
  <c r="BZ10" i="6"/>
  <c r="BY10" i="6"/>
  <c r="BX10" i="6"/>
  <c r="BV10" i="6"/>
  <c r="BU10" i="6"/>
  <c r="BT10" i="6"/>
  <c r="BR10" i="6"/>
  <c r="BQ10" i="6"/>
  <c r="BP10" i="6"/>
  <c r="BN10" i="6"/>
  <c r="BM10" i="6"/>
  <c r="BL10" i="6"/>
  <c r="BJ10" i="6"/>
  <c r="BI10" i="6"/>
  <c r="BH10" i="6"/>
  <c r="BF10" i="6"/>
  <c r="BE10" i="6"/>
  <c r="BD10" i="6"/>
  <c r="BB10" i="6"/>
  <c r="BA10" i="6"/>
  <c r="AZ10" i="6"/>
  <c r="AX10" i="6"/>
  <c r="AW10" i="6"/>
  <c r="AV10" i="6"/>
  <c r="AT10" i="6"/>
  <c r="AS10" i="6"/>
  <c r="AR10" i="6"/>
  <c r="AP10" i="6"/>
  <c r="AO10" i="6"/>
  <c r="AN10" i="6"/>
  <c r="AL10" i="6"/>
  <c r="AK10" i="6"/>
  <c r="AJ10" i="6"/>
  <c r="AH10" i="6"/>
  <c r="AG10" i="6"/>
  <c r="AF10" i="6"/>
  <c r="AD10" i="6"/>
  <c r="AC10" i="6"/>
  <c r="AB10" i="6"/>
  <c r="Z10" i="6"/>
  <c r="Y10" i="6"/>
  <c r="X10" i="6"/>
  <c r="V10" i="6"/>
  <c r="U10" i="6"/>
  <c r="T10" i="6"/>
  <c r="R10" i="6"/>
  <c r="Q10" i="6"/>
  <c r="P10" i="6"/>
  <c r="N10" i="6"/>
  <c r="M10" i="6"/>
  <c r="L10" i="6"/>
  <c r="J10" i="6"/>
  <c r="I10" i="6"/>
  <c r="H10" i="6"/>
  <c r="F10" i="6"/>
  <c r="E10" i="6"/>
  <c r="D10" i="6"/>
  <c r="CX9" i="6"/>
  <c r="CW9" i="6"/>
  <c r="CV9" i="6"/>
  <c r="CT9" i="6"/>
  <c r="CS9" i="6"/>
  <c r="CR9" i="6"/>
  <c r="CP9" i="6"/>
  <c r="CO9" i="6"/>
  <c r="CN9" i="6"/>
  <c r="CL9" i="6"/>
  <c r="CK9" i="6"/>
  <c r="CJ9" i="6"/>
  <c r="CH9" i="6"/>
  <c r="CG9" i="6"/>
  <c r="CF9" i="6"/>
  <c r="CD9" i="6"/>
  <c r="CC9" i="6"/>
  <c r="CB9" i="6"/>
  <c r="BZ9" i="6"/>
  <c r="BY9" i="6"/>
  <c r="BX9" i="6"/>
  <c r="BV9" i="6"/>
  <c r="BU9" i="6"/>
  <c r="BT9" i="6"/>
  <c r="BR9" i="6"/>
  <c r="BQ9" i="6"/>
  <c r="BP9" i="6"/>
  <c r="BN9" i="6"/>
  <c r="BM9" i="6"/>
  <c r="BL9" i="6"/>
  <c r="BJ9" i="6"/>
  <c r="BI9" i="6"/>
  <c r="BH9" i="6"/>
  <c r="BF9" i="6"/>
  <c r="BE9" i="6"/>
  <c r="BD9" i="6"/>
  <c r="BB9" i="6"/>
  <c r="BA9" i="6"/>
  <c r="AZ9" i="6"/>
  <c r="AX9" i="6"/>
  <c r="AW9" i="6"/>
  <c r="AV9" i="6"/>
  <c r="AT9" i="6"/>
  <c r="AS9" i="6"/>
  <c r="AR9" i="6"/>
  <c r="AP9" i="6"/>
  <c r="AO9" i="6"/>
  <c r="AN9" i="6"/>
  <c r="AL9" i="6"/>
  <c r="AK9" i="6"/>
  <c r="AJ9" i="6"/>
  <c r="AH9" i="6"/>
  <c r="AG9" i="6"/>
  <c r="AF9" i="6"/>
  <c r="AD9" i="6"/>
  <c r="AC9" i="6"/>
  <c r="AB9" i="6"/>
  <c r="Z9" i="6"/>
  <c r="Y9" i="6"/>
  <c r="X9" i="6"/>
  <c r="V9" i="6"/>
  <c r="U9" i="6"/>
  <c r="T9" i="6"/>
  <c r="R9" i="6"/>
  <c r="Q9" i="6"/>
  <c r="P9" i="6"/>
  <c r="N9" i="6"/>
  <c r="M9" i="6"/>
  <c r="L9" i="6"/>
  <c r="J9" i="6"/>
  <c r="I9" i="6"/>
  <c r="H9" i="6"/>
  <c r="F9" i="6"/>
  <c r="E9" i="6"/>
  <c r="D9" i="6"/>
  <c r="CX8" i="6"/>
  <c r="CW8" i="6"/>
  <c r="CV8" i="6"/>
  <c r="CT8" i="6"/>
  <c r="CS8" i="6"/>
  <c r="CR8" i="6"/>
  <c r="CP8" i="6"/>
  <c r="CO8" i="6"/>
  <c r="CN8" i="6"/>
  <c r="CL8" i="6"/>
  <c r="CK8" i="6"/>
  <c r="CJ8" i="6"/>
  <c r="CH8" i="6"/>
  <c r="CG8" i="6"/>
  <c r="CF8" i="6"/>
  <c r="CD8" i="6"/>
  <c r="CC8" i="6"/>
  <c r="CB8" i="6"/>
  <c r="BZ8" i="6"/>
  <c r="BY8" i="6"/>
  <c r="BX8" i="6"/>
  <c r="BV8" i="6"/>
  <c r="BU8" i="6"/>
  <c r="BT8" i="6"/>
  <c r="BR8" i="6"/>
  <c r="BQ8" i="6"/>
  <c r="BP8" i="6"/>
  <c r="BN8" i="6"/>
  <c r="BM8" i="6"/>
  <c r="BL8" i="6"/>
  <c r="BJ8" i="6"/>
  <c r="BI8" i="6"/>
  <c r="BH8" i="6"/>
  <c r="BF8" i="6"/>
  <c r="BE8" i="6"/>
  <c r="BD8" i="6"/>
  <c r="BB8" i="6"/>
  <c r="BA8" i="6"/>
  <c r="AZ8" i="6"/>
  <c r="AX8" i="6"/>
  <c r="AW8" i="6"/>
  <c r="AV8" i="6"/>
  <c r="AT8" i="6"/>
  <c r="AS8" i="6"/>
  <c r="AR8" i="6"/>
  <c r="AP8" i="6"/>
  <c r="AO8" i="6"/>
  <c r="AN8" i="6"/>
  <c r="AL8" i="6"/>
  <c r="AK8" i="6"/>
  <c r="AJ8" i="6"/>
  <c r="AH8" i="6"/>
  <c r="AG8" i="6"/>
  <c r="AF8" i="6"/>
  <c r="AD8" i="6"/>
  <c r="AC8" i="6"/>
  <c r="AB8" i="6"/>
  <c r="Z8" i="6"/>
  <c r="Y8" i="6"/>
  <c r="X8" i="6"/>
  <c r="V8" i="6"/>
  <c r="U8" i="6"/>
  <c r="T8" i="6"/>
  <c r="R8" i="6"/>
  <c r="Q8" i="6"/>
  <c r="P8" i="6"/>
  <c r="N8" i="6"/>
  <c r="M8" i="6"/>
  <c r="L8" i="6"/>
  <c r="J8" i="6"/>
  <c r="I8" i="6"/>
  <c r="H8" i="6"/>
  <c r="F8" i="6"/>
  <c r="E8" i="6"/>
  <c r="D8" i="6"/>
  <c r="CX7" i="6"/>
  <c r="CW7" i="6"/>
  <c r="CV7" i="6"/>
  <c r="CT7" i="6"/>
  <c r="CS7" i="6"/>
  <c r="CR7" i="6"/>
  <c r="CP7" i="6"/>
  <c r="CO7" i="6"/>
  <c r="CN7" i="6"/>
  <c r="CL7" i="6"/>
  <c r="CK7" i="6"/>
  <c r="CJ7" i="6"/>
  <c r="CH7" i="6"/>
  <c r="CG7" i="6"/>
  <c r="CF7" i="6"/>
  <c r="CD7" i="6"/>
  <c r="CC7" i="6"/>
  <c r="CB7" i="6"/>
  <c r="BZ7" i="6"/>
  <c r="BY7" i="6"/>
  <c r="BX7" i="6"/>
  <c r="BV7" i="6"/>
  <c r="BU7" i="6"/>
  <c r="BT7" i="6"/>
  <c r="BR7" i="6"/>
  <c r="BQ7" i="6"/>
  <c r="BP7" i="6"/>
  <c r="BN7" i="6"/>
  <c r="BM7" i="6"/>
  <c r="BL7" i="6"/>
  <c r="BJ7" i="6"/>
  <c r="BI7" i="6"/>
  <c r="BH7" i="6"/>
  <c r="BF7" i="6"/>
  <c r="BE7" i="6"/>
  <c r="BD7" i="6"/>
  <c r="BB7" i="6"/>
  <c r="BA7" i="6"/>
  <c r="AZ7" i="6"/>
  <c r="AX7" i="6"/>
  <c r="AW7" i="6"/>
  <c r="AV7" i="6"/>
  <c r="AT7" i="6"/>
  <c r="AS7" i="6"/>
  <c r="AR7" i="6"/>
  <c r="AP7" i="6"/>
  <c r="AO7" i="6"/>
  <c r="AN7" i="6"/>
  <c r="AL7" i="6"/>
  <c r="AK7" i="6"/>
  <c r="AJ7" i="6"/>
  <c r="AH7" i="6"/>
  <c r="AG7" i="6"/>
  <c r="AF7" i="6"/>
  <c r="AD7" i="6"/>
  <c r="AC7" i="6"/>
  <c r="AB7" i="6"/>
  <c r="Z7" i="6"/>
  <c r="Y7" i="6"/>
  <c r="X7" i="6"/>
  <c r="V7" i="6"/>
  <c r="U7" i="6"/>
  <c r="T7" i="6"/>
  <c r="R7" i="6"/>
  <c r="Q7" i="6"/>
  <c r="P7" i="6"/>
  <c r="N7" i="6"/>
  <c r="M7" i="6"/>
  <c r="L7" i="6"/>
  <c r="J7" i="6"/>
  <c r="I7" i="6"/>
  <c r="H7" i="6"/>
  <c r="F7" i="6"/>
  <c r="E7" i="6"/>
  <c r="D7" i="6"/>
  <c r="CX6" i="6"/>
  <c r="CW6" i="6"/>
  <c r="CV6" i="6"/>
  <c r="CT6" i="6"/>
  <c r="CS6" i="6"/>
  <c r="CR6" i="6"/>
  <c r="CP6" i="6"/>
  <c r="CO6" i="6"/>
  <c r="CN6" i="6"/>
  <c r="CQ6" i="6" s="1"/>
  <c r="CL6" i="6"/>
  <c r="CK6" i="6"/>
  <c r="CJ6" i="6"/>
  <c r="CH6" i="6"/>
  <c r="CG6" i="6"/>
  <c r="CF6" i="6"/>
  <c r="CD6" i="6"/>
  <c r="CC6" i="6"/>
  <c r="CB6" i="6"/>
  <c r="BZ6" i="6"/>
  <c r="BY6" i="6"/>
  <c r="BX6" i="6"/>
  <c r="BV6" i="6"/>
  <c r="BU6" i="6"/>
  <c r="BT6" i="6"/>
  <c r="BR6" i="6"/>
  <c r="BQ6" i="6"/>
  <c r="BP6" i="6"/>
  <c r="BN6" i="6"/>
  <c r="BM6" i="6"/>
  <c r="BL6" i="6"/>
  <c r="BJ6" i="6"/>
  <c r="BI6" i="6"/>
  <c r="BH6" i="6"/>
  <c r="BF6" i="6"/>
  <c r="BE6" i="6"/>
  <c r="BD6" i="6"/>
  <c r="BB6" i="6"/>
  <c r="BA6" i="6"/>
  <c r="AZ6" i="6"/>
  <c r="AX6" i="6"/>
  <c r="AW6" i="6"/>
  <c r="AV6" i="6"/>
  <c r="AT6" i="6"/>
  <c r="AS6" i="6"/>
  <c r="AR6" i="6"/>
  <c r="AP6" i="6"/>
  <c r="AO6" i="6"/>
  <c r="AN6" i="6"/>
  <c r="AL6" i="6"/>
  <c r="AK6" i="6"/>
  <c r="AJ6" i="6"/>
  <c r="AH6" i="6"/>
  <c r="AG6" i="6"/>
  <c r="AF6" i="6"/>
  <c r="AD6" i="6"/>
  <c r="AC6" i="6"/>
  <c r="AB6" i="6"/>
  <c r="Z6" i="6"/>
  <c r="Y6" i="6"/>
  <c r="X6" i="6"/>
  <c r="V6" i="6"/>
  <c r="U6" i="6"/>
  <c r="T6" i="6"/>
  <c r="R6" i="6"/>
  <c r="Q6" i="6"/>
  <c r="P6" i="6"/>
  <c r="N6" i="6"/>
  <c r="M6" i="6"/>
  <c r="L6" i="6"/>
  <c r="J6" i="6"/>
  <c r="I6" i="6"/>
  <c r="H6" i="6"/>
  <c r="F6" i="6"/>
  <c r="E6" i="6"/>
  <c r="D6" i="6"/>
  <c r="CX5" i="6"/>
  <c r="CW5" i="6"/>
  <c r="CV5" i="6"/>
  <c r="CT5" i="6"/>
  <c r="CS5" i="6"/>
  <c r="CR5" i="6"/>
  <c r="CP5" i="6"/>
  <c r="CO5" i="6"/>
  <c r="CN5" i="6"/>
  <c r="CL5" i="6"/>
  <c r="CK5" i="6"/>
  <c r="CJ5" i="6"/>
  <c r="CH5" i="6"/>
  <c r="CG5" i="6"/>
  <c r="CF5" i="6"/>
  <c r="CD5" i="6"/>
  <c r="CC5" i="6"/>
  <c r="CB5" i="6"/>
  <c r="BZ5" i="6"/>
  <c r="BY5" i="6"/>
  <c r="BX5" i="6"/>
  <c r="BV5" i="6"/>
  <c r="BU5" i="6"/>
  <c r="BT5" i="6"/>
  <c r="BR5" i="6"/>
  <c r="BQ5" i="6"/>
  <c r="BP5" i="6"/>
  <c r="BN5" i="6"/>
  <c r="BM5" i="6"/>
  <c r="BL5" i="6"/>
  <c r="BJ5" i="6"/>
  <c r="BI5" i="6"/>
  <c r="BH5" i="6"/>
  <c r="BF5" i="6"/>
  <c r="BE5" i="6"/>
  <c r="BD5" i="6"/>
  <c r="BB5" i="6"/>
  <c r="BA5" i="6"/>
  <c r="AZ5" i="6"/>
  <c r="AX5" i="6"/>
  <c r="AW5" i="6"/>
  <c r="AV5" i="6"/>
  <c r="AT5" i="6"/>
  <c r="AS5" i="6"/>
  <c r="AR5" i="6"/>
  <c r="AP5" i="6"/>
  <c r="AO5" i="6"/>
  <c r="AN5" i="6"/>
  <c r="AL5" i="6"/>
  <c r="AK5" i="6"/>
  <c r="AJ5" i="6"/>
  <c r="AH5" i="6"/>
  <c r="AG5" i="6"/>
  <c r="AF5" i="6"/>
  <c r="AD5" i="6"/>
  <c r="AC5" i="6"/>
  <c r="AB5" i="6"/>
  <c r="Z5" i="6"/>
  <c r="Y5" i="6"/>
  <c r="X5" i="6"/>
  <c r="V5" i="6"/>
  <c r="U5" i="6"/>
  <c r="T5" i="6"/>
  <c r="R5" i="6"/>
  <c r="Q5" i="6"/>
  <c r="P5" i="6"/>
  <c r="N5" i="6"/>
  <c r="M5" i="6"/>
  <c r="L5" i="6"/>
  <c r="J5" i="6"/>
  <c r="I5" i="6"/>
  <c r="H5" i="6"/>
  <c r="F5" i="6"/>
  <c r="E5" i="6"/>
  <c r="D5" i="6"/>
  <c r="CQ76" i="6" l="1"/>
  <c r="CQ80" i="6"/>
  <c r="CQ84" i="6"/>
  <c r="CQ88" i="6"/>
  <c r="CQ92" i="6"/>
  <c r="CQ18" i="6"/>
  <c r="CQ22" i="6"/>
  <c r="CQ26" i="6"/>
  <c r="CQ8" i="6"/>
  <c r="CQ38" i="6"/>
  <c r="CQ42" i="6"/>
  <c r="CQ46" i="6"/>
  <c r="CQ50" i="6"/>
  <c r="CQ54" i="6"/>
  <c r="CQ58" i="6"/>
  <c r="CQ62" i="6"/>
  <c r="CQ66" i="6"/>
  <c r="CQ70" i="6"/>
  <c r="CQ74" i="6"/>
  <c r="CQ78" i="6"/>
  <c r="CQ14" i="6"/>
  <c r="CQ5" i="6"/>
  <c r="CQ9" i="6"/>
  <c r="CQ13" i="6"/>
  <c r="CQ17" i="6"/>
  <c r="CQ21" i="6"/>
  <c r="CQ25" i="6"/>
  <c r="CQ29" i="6"/>
  <c r="CQ33" i="6"/>
  <c r="CQ37" i="6"/>
  <c r="CQ41" i="6"/>
  <c r="CQ45" i="6"/>
  <c r="CQ49" i="6"/>
  <c r="CQ53" i="6"/>
  <c r="CQ57" i="6"/>
  <c r="CQ61" i="6"/>
  <c r="CQ65" i="6"/>
  <c r="CQ69" i="6"/>
  <c r="CQ73" i="6"/>
  <c r="CQ77" i="6"/>
  <c r="CQ81" i="6"/>
  <c r="CQ85" i="6"/>
  <c r="CQ89" i="6"/>
  <c r="CQ93" i="6"/>
  <c r="CQ145" i="6"/>
  <c r="CQ97" i="6"/>
  <c r="CQ101" i="6"/>
  <c r="CQ109" i="6"/>
  <c r="CQ113" i="6"/>
  <c r="CQ121" i="6"/>
  <c r="CQ125" i="6"/>
  <c r="CQ133" i="6"/>
  <c r="CQ137" i="6"/>
  <c r="CQ149" i="6"/>
  <c r="CQ7" i="6"/>
  <c r="CQ11" i="6"/>
  <c r="CQ15" i="6"/>
  <c r="CQ19" i="6"/>
  <c r="CQ23" i="6"/>
  <c r="CQ27" i="6"/>
  <c r="CQ31" i="6"/>
  <c r="CQ35" i="6"/>
  <c r="CQ39" i="6"/>
  <c r="CQ43" i="6"/>
  <c r="CQ47" i="6"/>
  <c r="CQ51" i="6"/>
  <c r="CQ55" i="6"/>
  <c r="CQ59" i="6"/>
  <c r="CQ63" i="6"/>
  <c r="CQ67" i="6"/>
  <c r="CQ71" i="6"/>
  <c r="CQ75" i="6"/>
  <c r="CQ79" i="6"/>
  <c r="CQ83" i="6"/>
  <c r="G10" i="6"/>
  <c r="CQ12" i="6"/>
  <c r="CQ16" i="6"/>
  <c r="CQ20" i="6"/>
  <c r="CQ24" i="6"/>
  <c r="CQ28" i="6"/>
  <c r="CQ32" i="6"/>
  <c r="CQ36" i="6"/>
  <c r="CQ40" i="6"/>
  <c r="CQ44" i="6"/>
  <c r="CQ48" i="6"/>
  <c r="CQ52" i="6"/>
  <c r="CQ56" i="6"/>
  <c r="CQ60" i="6"/>
  <c r="CQ64" i="6"/>
  <c r="CQ68" i="6"/>
  <c r="CQ72" i="6"/>
  <c r="CQ96" i="6"/>
  <c r="CQ100" i="6"/>
  <c r="CQ104" i="6"/>
  <c r="CQ108" i="6"/>
  <c r="CQ112" i="6"/>
  <c r="CQ116" i="6"/>
  <c r="CQ120" i="6"/>
  <c r="CQ124" i="6"/>
  <c r="CQ128" i="6"/>
  <c r="CQ132" i="6"/>
  <c r="CQ136" i="6"/>
  <c r="CQ140" i="6"/>
  <c r="CQ157" i="6"/>
  <c r="CQ90" i="6"/>
  <c r="CQ94" i="6"/>
  <c r="CQ98" i="6"/>
  <c r="CQ102" i="6"/>
  <c r="CQ106" i="6"/>
  <c r="CQ110" i="6"/>
  <c r="CQ114" i="6"/>
  <c r="CQ118" i="6"/>
  <c r="CQ122" i="6"/>
  <c r="CQ126" i="6"/>
  <c r="CQ130" i="6"/>
  <c r="CQ134" i="6"/>
  <c r="CQ138" i="6"/>
  <c r="CQ142" i="6"/>
  <c r="CQ146" i="6"/>
  <c r="CQ150" i="6"/>
  <c r="CQ154" i="6"/>
  <c r="CQ115" i="6"/>
  <c r="CQ119" i="6"/>
  <c r="CQ123" i="6"/>
  <c r="CQ127" i="6"/>
  <c r="CQ131" i="6"/>
  <c r="CQ135" i="6"/>
  <c r="CQ139" i="6"/>
  <c r="CQ143" i="6"/>
  <c r="CQ147" i="6"/>
  <c r="CQ151" i="6"/>
  <c r="CQ155" i="6"/>
  <c r="CQ87" i="6"/>
  <c r="CQ91" i="6"/>
  <c r="CQ95" i="6"/>
  <c r="CQ99" i="6"/>
  <c r="CQ103" i="6"/>
  <c r="CQ107" i="6"/>
  <c r="CQ111" i="6"/>
  <c r="CQ144" i="6"/>
  <c r="CQ148" i="6"/>
  <c r="CQ152" i="6"/>
  <c r="CQ156" i="6"/>
  <c r="CQ105" i="6"/>
  <c r="CQ117" i="6"/>
  <c r="CQ129" i="6"/>
  <c r="CQ141" i="6"/>
  <c r="CQ153" i="6"/>
  <c r="AE60" i="6"/>
  <c r="AU60" i="6"/>
  <c r="G11" i="6"/>
  <c r="S40" i="6"/>
  <c r="O60" i="6"/>
  <c r="G8" i="6"/>
  <c r="O62" i="6"/>
  <c r="O66" i="6"/>
  <c r="AE66" i="6"/>
  <c r="G9" i="6"/>
  <c r="AM110" i="6"/>
  <c r="BG113" i="6"/>
  <c r="CE127" i="6"/>
  <c r="AU41" i="6"/>
  <c r="CU64" i="6"/>
  <c r="K78" i="6"/>
  <c r="CI75" i="6"/>
  <c r="O81" i="6"/>
  <c r="CY46" i="6"/>
  <c r="AE64" i="6"/>
  <c r="AI147" i="6"/>
  <c r="AY147" i="6"/>
  <c r="CI59" i="6"/>
  <c r="CU127" i="6"/>
  <c r="AA129" i="6"/>
  <c r="BK105" i="6"/>
  <c r="AI128" i="6"/>
  <c r="BO140" i="6"/>
  <c r="CU140" i="6"/>
  <c r="AY144" i="6"/>
  <c r="CE65" i="6"/>
  <c r="BW67" i="6"/>
  <c r="BS72" i="6"/>
  <c r="CI72" i="6"/>
  <c r="S73" i="6"/>
  <c r="O74" i="6"/>
  <c r="AE74" i="6"/>
  <c r="BC76" i="6"/>
  <c r="CE89" i="6"/>
  <c r="O90" i="6"/>
  <c r="AE90" i="6"/>
  <c r="BK90" i="6"/>
  <c r="CY92" i="6"/>
  <c r="BW99" i="6"/>
  <c r="O106" i="6"/>
  <c r="AE106" i="6"/>
  <c r="AU106" i="6"/>
  <c r="BG107" i="6"/>
  <c r="BW107" i="6"/>
  <c r="CM107" i="6"/>
  <c r="CE109" i="6"/>
  <c r="AU110" i="6"/>
  <c r="CA118" i="6"/>
  <c r="AE122" i="6"/>
  <c r="AU122" i="6"/>
  <c r="BK122" i="6"/>
  <c r="CA122" i="6"/>
  <c r="K123" i="6"/>
  <c r="AQ123" i="6"/>
  <c r="AE27" i="6"/>
  <c r="W37" i="6"/>
  <c r="S62" i="6"/>
  <c r="AI62" i="6"/>
  <c r="AY62" i="6"/>
  <c r="BO62" i="6"/>
  <c r="CU62" i="6"/>
  <c r="AQ64" i="6"/>
  <c r="CY105" i="6"/>
  <c r="S142" i="6"/>
  <c r="BO142" i="6"/>
  <c r="O143" i="6"/>
  <c r="BK143" i="6"/>
  <c r="CA143" i="6"/>
  <c r="G145" i="6"/>
  <c r="K47" i="6"/>
  <c r="BW55" i="6"/>
  <c r="CY56" i="6"/>
  <c r="S57" i="6"/>
  <c r="AU93" i="6"/>
  <c r="G99" i="6"/>
  <c r="CY40" i="6"/>
  <c r="AQ118" i="6"/>
  <c r="AU125" i="6"/>
  <c r="W127" i="6"/>
  <c r="AM127" i="6"/>
  <c r="CY64" i="6"/>
  <c r="CU77" i="6"/>
  <c r="AU78" i="6"/>
  <c r="CM79" i="6"/>
  <c r="AM80" i="6"/>
  <c r="CY80" i="6"/>
  <c r="CY25" i="6"/>
  <c r="AI26" i="6"/>
  <c r="K60" i="6"/>
  <c r="BG99" i="6"/>
  <c r="O59" i="6"/>
  <c r="CY100" i="6"/>
  <c r="S101" i="6"/>
  <c r="AY47" i="6"/>
  <c r="AU48" i="6"/>
  <c r="CA48" i="6"/>
  <c r="CM49" i="6"/>
  <c r="K53" i="6"/>
  <c r="CU55" i="6"/>
  <c r="AU56" i="6"/>
  <c r="AA57" i="6"/>
  <c r="AM58" i="6"/>
  <c r="BW84" i="6"/>
  <c r="G85" i="6"/>
  <c r="CA99" i="6"/>
  <c r="K100" i="6"/>
  <c r="AA100" i="6"/>
  <c r="AU103" i="6"/>
  <c r="BK103" i="6"/>
  <c r="CM104" i="6"/>
  <c r="G105" i="6"/>
  <c r="BC105" i="6"/>
  <c r="CE141" i="6"/>
  <c r="AY70" i="6"/>
  <c r="CM72" i="6"/>
  <c r="AM73" i="6"/>
  <c r="G77" i="6"/>
  <c r="BC27" i="6"/>
  <c r="AY28" i="6"/>
  <c r="CU28" i="6"/>
  <c r="O29" i="6"/>
  <c r="AU29" i="6"/>
  <c r="CU32" i="6"/>
  <c r="BW34" i="6"/>
  <c r="G35" i="6"/>
  <c r="AY36" i="6"/>
  <c r="O37" i="6"/>
  <c r="CU59" i="6"/>
  <c r="AU68" i="6"/>
  <c r="CI70" i="6"/>
  <c r="S71" i="6"/>
  <c r="AI71" i="6"/>
  <c r="O72" i="6"/>
  <c r="CA76" i="6"/>
  <c r="W78" i="6"/>
  <c r="AM78" i="6"/>
  <c r="S79" i="6"/>
  <c r="O80" i="6"/>
  <c r="AE80" i="6"/>
  <c r="BK80" i="6"/>
  <c r="AY83" i="6"/>
  <c r="AM121" i="6"/>
  <c r="BW124" i="6"/>
  <c r="CA45" i="6"/>
  <c r="AA46" i="6"/>
  <c r="CM46" i="6"/>
  <c r="AM109" i="6"/>
  <c r="AA42" i="6"/>
  <c r="AA89" i="6"/>
  <c r="BS90" i="6"/>
  <c r="CI106" i="6"/>
  <c r="G114" i="6"/>
  <c r="W114" i="6"/>
  <c r="BS114" i="6"/>
  <c r="CA120" i="6"/>
  <c r="K121" i="6"/>
  <c r="AA121" i="6"/>
  <c r="AQ121" i="6"/>
  <c r="G122" i="6"/>
  <c r="BO123" i="6"/>
  <c r="CA124" i="6"/>
  <c r="K125" i="6"/>
  <c r="AQ125" i="6"/>
  <c r="AM126" i="6"/>
  <c r="BC126" i="6"/>
  <c r="BS126" i="6"/>
  <c r="CI126" i="6"/>
  <c r="AQ140" i="6"/>
  <c r="AM141" i="6"/>
  <c r="AI21" i="6"/>
  <c r="BO21" i="6"/>
  <c r="G24" i="6"/>
  <c r="BC24" i="6"/>
  <c r="CY24" i="6"/>
  <c r="AY25" i="6"/>
  <c r="AA62" i="6"/>
  <c r="BG62" i="6"/>
  <c r="BW62" i="6"/>
  <c r="BS63" i="6"/>
  <c r="CI29" i="6"/>
  <c r="S30" i="6"/>
  <c r="BO30" i="6"/>
  <c r="BG32" i="6"/>
  <c r="BW43" i="6"/>
  <c r="W44" i="6"/>
  <c r="S45" i="6"/>
  <c r="CE60" i="6"/>
  <c r="O61" i="6"/>
  <c r="AE61" i="6"/>
  <c r="AU64" i="6"/>
  <c r="BK64" i="6"/>
  <c r="CA64" i="6"/>
  <c r="AQ88" i="6"/>
  <c r="BG88" i="6"/>
  <c r="CM88" i="6"/>
  <c r="W89" i="6"/>
  <c r="AE91" i="6"/>
  <c r="AU91" i="6"/>
  <c r="AA92" i="6"/>
  <c r="BW92" i="6"/>
  <c r="CM92" i="6"/>
  <c r="W93" i="6"/>
  <c r="AA103" i="6"/>
  <c r="BC119" i="6"/>
  <c r="CY119" i="6"/>
  <c r="S120" i="6"/>
  <c r="AY120" i="6"/>
  <c r="AU121" i="6"/>
  <c r="BK121" i="6"/>
  <c r="G130" i="6"/>
  <c r="BO135" i="6"/>
  <c r="CE135" i="6"/>
  <c r="AI155" i="6"/>
  <c r="CU155" i="6"/>
  <c r="O156" i="6"/>
  <c r="AE156" i="6"/>
  <c r="AQ157" i="6"/>
  <c r="AA43" i="6"/>
  <c r="CI93" i="6"/>
  <c r="AE95" i="6"/>
  <c r="CY97" i="6"/>
  <c r="CE98" i="6"/>
  <c r="BK99" i="6"/>
  <c r="BG114" i="6"/>
  <c r="BG122" i="6"/>
  <c r="AI143" i="6"/>
  <c r="CM145" i="6"/>
  <c r="S27" i="6"/>
  <c r="O28" i="6"/>
  <c r="BK28" i="6"/>
  <c r="K29" i="6"/>
  <c r="BC34" i="6"/>
  <c r="AU36" i="6"/>
  <c r="K37" i="6"/>
  <c r="CY45" i="6"/>
  <c r="BW47" i="6"/>
  <c r="BS48" i="6"/>
  <c r="BG51" i="6"/>
  <c r="AA59" i="6"/>
  <c r="CI60" i="6"/>
  <c r="CY60" i="6"/>
  <c r="S61" i="6"/>
  <c r="CY74" i="6"/>
  <c r="AI75" i="6"/>
  <c r="BO95" i="6"/>
  <c r="CU95" i="6"/>
  <c r="O96" i="6"/>
  <c r="AE96" i="6"/>
  <c r="BK96" i="6"/>
  <c r="CA96" i="6"/>
  <c r="BG97" i="6"/>
  <c r="BW97" i="6"/>
  <c r="G98" i="6"/>
  <c r="CA114" i="6"/>
  <c r="CE117" i="6"/>
  <c r="CU117" i="6"/>
  <c r="AU118" i="6"/>
  <c r="O5" i="6"/>
  <c r="BK5" i="6"/>
  <c r="CA5" i="6"/>
  <c r="K6" i="6"/>
  <c r="BG6" i="6"/>
  <c r="BC7" i="6"/>
  <c r="CY7" i="6"/>
  <c r="AY8" i="6"/>
  <c r="BS15" i="6"/>
  <c r="O17" i="6"/>
  <c r="AQ18" i="6"/>
  <c r="G19" i="6"/>
  <c r="AM19" i="6"/>
  <c r="S24" i="6"/>
  <c r="O25" i="6"/>
  <c r="AE25" i="6"/>
  <c r="BW33" i="6"/>
  <c r="AA37" i="6"/>
  <c r="AQ37" i="6"/>
  <c r="BG37" i="6"/>
  <c r="W38" i="6"/>
  <c r="AM38" i="6"/>
  <c r="CI38" i="6"/>
  <c r="W53" i="6"/>
  <c r="BS53" i="6"/>
  <c r="BO54" i="6"/>
  <c r="BK55" i="6"/>
  <c r="BG56" i="6"/>
  <c r="AY58" i="6"/>
  <c r="AU59" i="6"/>
  <c r="BK59" i="6"/>
  <c r="CA59" i="6"/>
  <c r="BS60" i="6"/>
  <c r="BK65" i="6"/>
  <c r="CA65" i="6"/>
  <c r="AQ66" i="6"/>
  <c r="BW66" i="6"/>
  <c r="CM66" i="6"/>
  <c r="AI68" i="6"/>
  <c r="BO72" i="6"/>
  <c r="CU72" i="6"/>
  <c r="O73" i="6"/>
  <c r="AE73" i="6"/>
  <c r="AU73" i="6"/>
  <c r="BK73" i="6"/>
  <c r="S76" i="6"/>
  <c r="CI94" i="6"/>
  <c r="BS98" i="6"/>
  <c r="S99" i="6"/>
  <c r="AY99" i="6"/>
  <c r="BO99" i="6"/>
  <c r="G108" i="6"/>
  <c r="O51" i="6"/>
  <c r="AE51" i="6"/>
  <c r="O65" i="6"/>
  <c r="AY72" i="6"/>
  <c r="AU100" i="6"/>
  <c r="CM101" i="6"/>
  <c r="AI103" i="6"/>
  <c r="AU107" i="6"/>
  <c r="AU111" i="6"/>
  <c r="CA111" i="6"/>
  <c r="W124" i="6"/>
  <c r="AE130" i="6"/>
  <c r="CA130" i="6"/>
  <c r="BS136" i="6"/>
  <c r="S137" i="6"/>
  <c r="AY137" i="6"/>
  <c r="CI140" i="6"/>
  <c r="CY140" i="6"/>
  <c r="AA150" i="6"/>
  <c r="K154" i="6"/>
  <c r="BG63" i="6"/>
  <c r="BW63" i="6"/>
  <c r="CM63" i="6"/>
  <c r="G64" i="6"/>
  <c r="W64" i="6"/>
  <c r="BC64" i="6"/>
  <c r="BG82" i="6"/>
  <c r="AQ86" i="6"/>
  <c r="BG86" i="6"/>
  <c r="BW86" i="6"/>
  <c r="CM86" i="6"/>
  <c r="AI88" i="6"/>
  <c r="K94" i="6"/>
  <c r="G95" i="6"/>
  <c r="BC95" i="6"/>
  <c r="AY96" i="6"/>
  <c r="CU96" i="6"/>
  <c r="K98" i="6"/>
  <c r="BG98" i="6"/>
  <c r="CM98" i="6"/>
  <c r="AU104" i="6"/>
  <c r="BW105" i="6"/>
  <c r="CE110" i="6"/>
  <c r="AM113" i="6"/>
  <c r="BS113" i="6"/>
  <c r="CI113" i="6"/>
  <c r="CY113" i="6"/>
  <c r="S114" i="6"/>
  <c r="O119" i="6"/>
  <c r="CI125" i="6"/>
  <c r="CY125" i="6"/>
  <c r="CU137" i="6"/>
  <c r="O146" i="6"/>
  <c r="BK146" i="6"/>
  <c r="CI148" i="6"/>
  <c r="BO149" i="6"/>
  <c r="CU149" i="6"/>
  <c r="AU150" i="6"/>
  <c r="BK150" i="6"/>
  <c r="K151" i="6"/>
  <c r="AQ151" i="6"/>
  <c r="BW151" i="6"/>
  <c r="BC152" i="6"/>
  <c r="BK154" i="6"/>
  <c r="CA154" i="6"/>
  <c r="AA155" i="6"/>
  <c r="BG155" i="6"/>
  <c r="G156" i="6"/>
  <c r="AQ34" i="6"/>
  <c r="CE17" i="6"/>
  <c r="S43" i="6"/>
  <c r="BG45" i="6"/>
  <c r="BC61" i="6"/>
  <c r="G72" i="6"/>
  <c r="AM72" i="6"/>
  <c r="W91" i="6"/>
  <c r="AE101" i="6"/>
  <c r="AA102" i="6"/>
  <c r="AQ102" i="6"/>
  <c r="BW102" i="6"/>
  <c r="BW109" i="6"/>
  <c r="S111" i="6"/>
  <c r="CE111" i="6"/>
  <c r="BW120" i="6"/>
  <c r="G129" i="6"/>
  <c r="AM129" i="6"/>
  <c r="BC129" i="6"/>
  <c r="BO130" i="6"/>
  <c r="AQ136" i="6"/>
  <c r="CM136" i="6"/>
  <c r="AM137" i="6"/>
  <c r="AE139" i="6"/>
  <c r="AQ27" i="6"/>
  <c r="W68" i="6"/>
  <c r="BW75" i="6"/>
  <c r="W99" i="6"/>
  <c r="AM106" i="6"/>
  <c r="AM5" i="6"/>
  <c r="CE6" i="6"/>
  <c r="W9" i="6"/>
  <c r="BO10" i="6"/>
  <c r="K12" i="6"/>
  <c r="BC13" i="6"/>
  <c r="W21" i="6"/>
  <c r="O23" i="6"/>
  <c r="AU23" i="6"/>
  <c r="AQ24" i="6"/>
  <c r="AM25" i="6"/>
  <c r="CI25" i="6"/>
  <c r="CI47" i="6"/>
  <c r="AE49" i="6"/>
  <c r="O53" i="6"/>
  <c r="AM59" i="6"/>
  <c r="BS59" i="6"/>
  <c r="AM62" i="6"/>
  <c r="CY65" i="6"/>
  <c r="S66" i="6"/>
  <c r="AU67" i="6"/>
  <c r="W84" i="6"/>
  <c r="BO85" i="6"/>
  <c r="O86" i="6"/>
  <c r="K87" i="6"/>
  <c r="W88" i="6"/>
  <c r="AY97" i="6"/>
  <c r="AI107" i="6"/>
  <c r="CI5" i="6"/>
  <c r="BS65" i="6"/>
  <c r="AY74" i="6"/>
  <c r="CY77" i="6"/>
  <c r="AI78" i="6"/>
  <c r="CU78" i="6"/>
  <c r="CA79" i="6"/>
  <c r="BC104" i="6"/>
  <c r="BS104" i="6"/>
  <c r="BW106" i="6"/>
  <c r="CM106" i="6"/>
  <c r="G107" i="6"/>
  <c r="AM107" i="6"/>
  <c r="S108" i="6"/>
  <c r="AI108" i="6"/>
  <c r="AY108" i="6"/>
  <c r="BO108" i="6"/>
  <c r="BK109" i="6"/>
  <c r="AY119" i="6"/>
  <c r="AQ129" i="6"/>
  <c r="BW137" i="6"/>
  <c r="CY138" i="6"/>
  <c r="AM11" i="6"/>
  <c r="CE12" i="6"/>
  <c r="AA14" i="6"/>
  <c r="CI26" i="6"/>
  <c r="CM32" i="6"/>
  <c r="W33" i="6"/>
  <c r="BC33" i="6"/>
  <c r="BS33" i="6"/>
  <c r="AM43" i="6"/>
  <c r="BC43" i="6"/>
  <c r="CE50" i="6"/>
  <c r="CY61" i="6"/>
  <c r="AU65" i="6"/>
  <c r="W67" i="6"/>
  <c r="BC67" i="6"/>
  <c r="BK72" i="6"/>
  <c r="K73" i="6"/>
  <c r="BG73" i="6"/>
  <c r="BW73" i="6"/>
  <c r="AE89" i="6"/>
  <c r="AU89" i="6"/>
  <c r="BK89" i="6"/>
  <c r="K90" i="6"/>
  <c r="AA90" i="6"/>
  <c r="S92" i="6"/>
  <c r="AY92" i="6"/>
  <c r="BO92" i="6"/>
  <c r="CY98" i="6"/>
  <c r="BG100" i="6"/>
  <c r="BW100" i="6"/>
  <c r="BO102" i="6"/>
  <c r="S105" i="6"/>
  <c r="CU105" i="6"/>
  <c r="BC107" i="6"/>
  <c r="CA108" i="6"/>
  <c r="O111" i="6"/>
  <c r="AE111" i="6"/>
  <c r="AA112" i="6"/>
  <c r="BG112" i="6"/>
  <c r="BW112" i="6"/>
  <c r="CE119" i="6"/>
  <c r="BC122" i="6"/>
  <c r="AU127" i="6"/>
  <c r="W129" i="6"/>
  <c r="AY129" i="6"/>
  <c r="BO133" i="6"/>
  <c r="K135" i="6"/>
  <c r="AU138" i="6"/>
  <c r="K142" i="6"/>
  <c r="CM142" i="6"/>
  <c r="BC143" i="6"/>
  <c r="AQ145" i="6"/>
  <c r="CE147" i="6"/>
  <c r="CU147" i="6"/>
  <c r="O148" i="6"/>
  <c r="CA148" i="6"/>
  <c r="BG149" i="6"/>
  <c r="CM149" i="6"/>
  <c r="AM150" i="6"/>
  <c r="BC150" i="6"/>
  <c r="CY150" i="6"/>
  <c r="BO151" i="6"/>
  <c r="K153" i="6"/>
  <c r="AA153" i="6"/>
  <c r="BC154" i="6"/>
  <c r="AQ36" i="6"/>
  <c r="K42" i="6"/>
  <c r="CI43" i="6"/>
  <c r="CU44" i="6"/>
  <c r="AQ52" i="6"/>
  <c r="AY57" i="6"/>
  <c r="BK58" i="6"/>
  <c r="AQ61" i="6"/>
  <c r="BG61" i="6"/>
  <c r="BW61" i="6"/>
  <c r="CM61" i="6"/>
  <c r="AE63" i="6"/>
  <c r="AU63" i="6"/>
  <c r="BK63" i="6"/>
  <c r="AA69" i="6"/>
  <c r="AM74" i="6"/>
  <c r="S75" i="6"/>
  <c r="CE75" i="6"/>
  <c r="CM76" i="6"/>
  <c r="BK82" i="6"/>
  <c r="K83" i="6"/>
  <c r="AQ83" i="6"/>
  <c r="BS87" i="6"/>
  <c r="AM91" i="6"/>
  <c r="CI91" i="6"/>
  <c r="AM95" i="6"/>
  <c r="CM103" i="6"/>
  <c r="G104" i="6"/>
  <c r="AI105" i="6"/>
  <c r="AY105" i="6"/>
  <c r="K131" i="6"/>
  <c r="BG131" i="6"/>
  <c r="S20" i="6"/>
  <c r="BO24" i="6"/>
  <c r="G30" i="6"/>
  <c r="W30" i="6"/>
  <c r="CY30" i="6"/>
  <c r="S31" i="6"/>
  <c r="AI31" i="6"/>
  <c r="AY31" i="6"/>
  <c r="BO31" i="6"/>
  <c r="CE31" i="6"/>
  <c r="CU31" i="6"/>
  <c r="O32" i="6"/>
  <c r="AY38" i="6"/>
  <c r="CE38" i="6"/>
  <c r="AE39" i="6"/>
  <c r="AU39" i="6"/>
  <c r="CA39" i="6"/>
  <c r="AE42" i="6"/>
  <c r="AI44" i="6"/>
  <c r="CE44" i="6"/>
  <c r="AY54" i="6"/>
  <c r="W56" i="6"/>
  <c r="S60" i="6"/>
  <c r="AY60" i="6"/>
  <c r="CA63" i="6"/>
  <c r="K64" i="6"/>
  <c r="K70" i="6"/>
  <c r="AQ70" i="6"/>
  <c r="BW70" i="6"/>
  <c r="G71" i="6"/>
  <c r="W71" i="6"/>
  <c r="AE76" i="6"/>
  <c r="AM77" i="6"/>
  <c r="BC77" i="6"/>
  <c r="BG79" i="6"/>
  <c r="BW83" i="6"/>
  <c r="CM83" i="6"/>
  <c r="CI84" i="6"/>
  <c r="O89" i="6"/>
  <c r="AA94" i="6"/>
  <c r="BW94" i="6"/>
  <c r="BC98" i="6"/>
  <c r="CU99" i="6"/>
  <c r="AM101" i="6"/>
  <c r="BS101" i="6"/>
  <c r="BS107" i="6"/>
  <c r="W110" i="6"/>
  <c r="CM128" i="6"/>
  <c r="W146" i="6"/>
  <c r="AA40" i="6"/>
  <c r="BW40" i="6"/>
  <c r="AI54" i="6"/>
  <c r="O100" i="6"/>
  <c r="O103" i="6"/>
  <c r="BS110" i="6"/>
  <c r="CI110" i="6"/>
  <c r="CY110" i="6"/>
  <c r="O112" i="6"/>
  <c r="CA112" i="6"/>
  <c r="AA119" i="6"/>
  <c r="AQ119" i="6"/>
  <c r="AU128" i="6"/>
  <c r="AY138" i="6"/>
  <c r="CE138" i="6"/>
  <c r="CA145" i="6"/>
  <c r="AA146" i="6"/>
  <c r="AQ146" i="6"/>
  <c r="BW146" i="6"/>
  <c r="CM146" i="6"/>
  <c r="W147" i="6"/>
  <c r="AM147" i="6"/>
  <c r="BS147" i="6"/>
  <c r="CY147" i="6"/>
  <c r="S148" i="6"/>
  <c r="CU148" i="6"/>
  <c r="AU149" i="6"/>
  <c r="BK149" i="6"/>
  <c r="BO45" i="6"/>
  <c r="BW53" i="6"/>
  <c r="G54" i="6"/>
  <c r="W54" i="6"/>
  <c r="BK61" i="6"/>
  <c r="CA61" i="6"/>
  <c r="CI62" i="6"/>
  <c r="CY62" i="6"/>
  <c r="S63" i="6"/>
  <c r="AI63" i="6"/>
  <c r="AY63" i="6"/>
  <c r="G65" i="6"/>
  <c r="AI65" i="6"/>
  <c r="BO68" i="6"/>
  <c r="BC71" i="6"/>
  <c r="BW74" i="6"/>
  <c r="W75" i="6"/>
  <c r="BS75" i="6"/>
  <c r="K77" i="6"/>
  <c r="AE79" i="6"/>
  <c r="AU79" i="6"/>
  <c r="W81" i="6"/>
  <c r="AM81" i="6"/>
  <c r="BS81" i="6"/>
  <c r="CY81" i="6"/>
  <c r="AI85" i="6"/>
  <c r="CA86" i="6"/>
  <c r="AU94" i="6"/>
  <c r="AA95" i="6"/>
  <c r="AQ95" i="6"/>
  <c r="CA97" i="6"/>
  <c r="BC99" i="6"/>
  <c r="BG101" i="6"/>
  <c r="CI102" i="6"/>
  <c r="AA104" i="6"/>
  <c r="CE106" i="6"/>
  <c r="K107" i="6"/>
  <c r="S109" i="6"/>
  <c r="AI109" i="6"/>
  <c r="AA110" i="6"/>
  <c r="O115" i="6"/>
  <c r="AE115" i="6"/>
  <c r="CA115" i="6"/>
  <c r="AA116" i="6"/>
  <c r="BW116" i="6"/>
  <c r="CM116" i="6"/>
  <c r="W117" i="6"/>
  <c r="AM117" i="6"/>
  <c r="BS117" i="6"/>
  <c r="CY117" i="6"/>
  <c r="S118" i="6"/>
  <c r="CM119" i="6"/>
  <c r="CM122" i="6"/>
  <c r="AM123" i="6"/>
  <c r="CI123" i="6"/>
  <c r="CY123" i="6"/>
  <c r="S124" i="6"/>
  <c r="AI124" i="6"/>
  <c r="AE128" i="6"/>
  <c r="CU130" i="6"/>
  <c r="CI133" i="6"/>
  <c r="AI134" i="6"/>
  <c r="CI137" i="6"/>
  <c r="AI138" i="6"/>
  <c r="BW139" i="6"/>
  <c r="BW143" i="6"/>
  <c r="W144" i="6"/>
  <c r="CE5" i="6"/>
  <c r="AQ19" i="6"/>
  <c r="AU26" i="6"/>
  <c r="CE32" i="6"/>
  <c r="K33" i="6"/>
  <c r="BK46" i="6"/>
  <c r="K50" i="6"/>
  <c r="AY52" i="6"/>
  <c r="CU52" i="6"/>
  <c r="BG53" i="6"/>
  <c r="CY54" i="6"/>
  <c r="S55" i="6"/>
  <c r="S58" i="6"/>
  <c r="AE59" i="6"/>
  <c r="W60" i="6"/>
  <c r="CE63" i="6"/>
  <c r="CM64" i="6"/>
  <c r="K67" i="6"/>
  <c r="BS68" i="6"/>
  <c r="CI68" i="6"/>
  <c r="CY68" i="6"/>
  <c r="S69" i="6"/>
  <c r="CU69" i="6"/>
  <c r="K74" i="6"/>
  <c r="AQ74" i="6"/>
  <c r="CM77" i="6"/>
  <c r="AE83" i="6"/>
  <c r="AM85" i="6"/>
  <c r="BC85" i="6"/>
  <c r="BS85" i="6"/>
  <c r="CY85" i="6"/>
  <c r="AI86" i="6"/>
  <c r="BO89" i="6"/>
  <c r="BC92" i="6"/>
  <c r="BO93" i="6"/>
  <c r="CE97" i="6"/>
  <c r="CI99" i="6"/>
  <c r="CA100" i="6"/>
  <c r="W102" i="6"/>
  <c r="AE104" i="6"/>
  <c r="CA104" i="6"/>
  <c r="CY108" i="6"/>
  <c r="BO109" i="6"/>
  <c r="G111" i="6"/>
  <c r="W111" i="6"/>
  <c r="AM111" i="6"/>
  <c r="BC111" i="6"/>
  <c r="CI120" i="6"/>
  <c r="CE124" i="6"/>
  <c r="CA125" i="6"/>
  <c r="BC127" i="6"/>
  <c r="BS127" i="6"/>
  <c r="AY131" i="6"/>
  <c r="CE131" i="6"/>
  <c r="AA133" i="6"/>
  <c r="BW133" i="6"/>
  <c r="O136" i="6"/>
  <c r="AE136" i="6"/>
  <c r="BK136" i="6"/>
  <c r="CA136" i="6"/>
  <c r="AA137" i="6"/>
  <c r="BW140" i="6"/>
  <c r="S145" i="6"/>
  <c r="CE145" i="6"/>
  <c r="CU14" i="6"/>
  <c r="CI17" i="6"/>
  <c r="AI18" i="6"/>
  <c r="CM37" i="6"/>
  <c r="CA40" i="6"/>
  <c r="K41" i="6"/>
  <c r="BO42" i="6"/>
  <c r="BG44" i="6"/>
  <c r="BW44" i="6"/>
  <c r="AY49" i="6"/>
  <c r="BS51" i="6"/>
  <c r="BG54" i="6"/>
  <c r="AM55" i="6"/>
  <c r="W58" i="6"/>
  <c r="BS58" i="6"/>
  <c r="CI58" i="6"/>
  <c r="BO61" i="6"/>
  <c r="G63" i="6"/>
  <c r="W63" i="6"/>
  <c r="AM63" i="6"/>
  <c r="BK70" i="6"/>
  <c r="K71" i="6"/>
  <c r="K75" i="6"/>
  <c r="AA75" i="6"/>
  <c r="G76" i="6"/>
  <c r="BO76" i="6"/>
  <c r="O77" i="6"/>
  <c r="AE77" i="6"/>
  <c r="CA77" i="6"/>
  <c r="BS78" i="6"/>
  <c r="BG81" i="6"/>
  <c r="BW81" i="6"/>
  <c r="G82" i="6"/>
  <c r="CE90" i="6"/>
  <c r="CU90" i="6"/>
  <c r="S94" i="6"/>
  <c r="AI94" i="6"/>
  <c r="BO94" i="6"/>
  <c r="CE94" i="6"/>
  <c r="CI96" i="6"/>
  <c r="CU100" i="6"/>
  <c r="BO103" i="6"/>
  <c r="K105" i="6"/>
  <c r="CU106" i="6"/>
  <c r="BG108" i="6"/>
  <c r="BW108" i="6"/>
  <c r="CM108" i="6"/>
  <c r="CA113" i="6"/>
  <c r="CI114" i="6"/>
  <c r="S115" i="6"/>
  <c r="BO115" i="6"/>
  <c r="CE115" i="6"/>
  <c r="CM126" i="6"/>
  <c r="W28" i="6"/>
  <c r="W32" i="6"/>
  <c r="BS32" i="6"/>
  <c r="CY35" i="6"/>
  <c r="BW38" i="6"/>
  <c r="CY39" i="6"/>
  <c r="BG41" i="6"/>
  <c r="CA43" i="6"/>
  <c r="BC45" i="6"/>
  <c r="AU47" i="6"/>
  <c r="AQ48" i="6"/>
  <c r="BG48" i="6"/>
  <c r="CM48" i="6"/>
  <c r="CA50" i="6"/>
  <c r="AQ54" i="6"/>
  <c r="CM54" i="6"/>
  <c r="AQ60" i="6"/>
  <c r="BG60" i="6"/>
  <c r="BW60" i="6"/>
  <c r="CY63" i="6"/>
  <c r="S64" i="6"/>
  <c r="AA65" i="6"/>
  <c r="CM68" i="6"/>
  <c r="G69" i="6"/>
  <c r="W69" i="6"/>
  <c r="BO70" i="6"/>
  <c r="CE70" i="6"/>
  <c r="CU70" i="6"/>
  <c r="CA71" i="6"/>
  <c r="K72" i="6"/>
  <c r="AQ72" i="6"/>
  <c r="AY73" i="6"/>
  <c r="BS82" i="6"/>
  <c r="AU84" i="6"/>
  <c r="BK84" i="6"/>
  <c r="CI86" i="6"/>
  <c r="AE88" i="6"/>
  <c r="W100" i="6"/>
  <c r="AM100" i="6"/>
  <c r="AM103" i="6"/>
  <c r="S104" i="6"/>
  <c r="CE104" i="6"/>
  <c r="O105" i="6"/>
  <c r="AE105" i="6"/>
  <c r="O113" i="6"/>
  <c r="K114" i="6"/>
  <c r="AM118" i="6"/>
  <c r="BC118" i="6"/>
  <c r="BS118" i="6"/>
  <c r="BS121" i="6"/>
  <c r="CI121" i="6"/>
  <c r="CY121" i="6"/>
  <c r="CI124" i="6"/>
  <c r="CY124" i="6"/>
  <c r="S125" i="6"/>
  <c r="CA126" i="6"/>
  <c r="K127" i="6"/>
  <c r="AQ127" i="6"/>
  <c r="BW134" i="6"/>
  <c r="W135" i="6"/>
  <c r="BS135" i="6"/>
  <c r="CI135" i="6"/>
  <c r="CY135" i="6"/>
  <c r="K141" i="6"/>
  <c r="CI156" i="6"/>
  <c r="AA5" i="6"/>
  <c r="BW5" i="6"/>
  <c r="CM5" i="6"/>
  <c r="G6" i="6"/>
  <c r="S7" i="6"/>
  <c r="AY7" i="6"/>
  <c r="BO7" i="6"/>
  <c r="O8" i="6"/>
  <c r="AU8" i="6"/>
  <c r="BS18" i="6"/>
  <c r="CY18" i="6"/>
  <c r="O27" i="6"/>
  <c r="AI29" i="6"/>
  <c r="AQ31" i="6"/>
  <c r="BG31" i="6"/>
  <c r="G32" i="6"/>
  <c r="AM42" i="6"/>
  <c r="AQ45" i="6"/>
  <c r="CU46" i="6"/>
  <c r="AU50" i="6"/>
  <c r="CI55" i="6"/>
  <c r="BK57" i="6"/>
  <c r="CA57" i="6"/>
  <c r="K58" i="6"/>
  <c r="AY59" i="6"/>
  <c r="CM60" i="6"/>
  <c r="G61" i="6"/>
  <c r="W61" i="6"/>
  <c r="CA62" i="6"/>
  <c r="AY64" i="6"/>
  <c r="BO64" i="6"/>
  <c r="CE64" i="6"/>
  <c r="AM66" i="6"/>
  <c r="BC66" i="6"/>
  <c r="CY66" i="6"/>
  <c r="AI67" i="6"/>
  <c r="BC73" i="6"/>
  <c r="BS76" i="6"/>
  <c r="BW78" i="6"/>
  <c r="W79" i="6"/>
  <c r="BS79" i="6"/>
  <c r="AY80" i="6"/>
  <c r="BG85" i="6"/>
  <c r="AI91" i="6"/>
  <c r="BO91" i="6"/>
  <c r="CE91" i="6"/>
  <c r="O92" i="6"/>
  <c r="BW96" i="6"/>
  <c r="BO101" i="6"/>
  <c r="CE101" i="6"/>
  <c r="CI103" i="6"/>
  <c r="BO107" i="6"/>
  <c r="AI110" i="6"/>
  <c r="AQ111" i="6"/>
  <c r="BG111" i="6"/>
  <c r="AI113" i="6"/>
  <c r="AY113" i="6"/>
  <c r="S122" i="6"/>
  <c r="AE126" i="6"/>
  <c r="BW127" i="6"/>
  <c r="BC128" i="6"/>
  <c r="BS128" i="6"/>
  <c r="CI128" i="6"/>
  <c r="K134" i="6"/>
  <c r="BG134" i="6"/>
  <c r="O137" i="6"/>
  <c r="BG138" i="6"/>
  <c r="BW138" i="6"/>
  <c r="G142" i="6"/>
  <c r="CU146" i="6"/>
  <c r="O147" i="6"/>
  <c r="AU147" i="6"/>
  <c r="BK147" i="6"/>
  <c r="BK12" i="6"/>
  <c r="CU19" i="6"/>
  <c r="AI23" i="6"/>
  <c r="BW25" i="6"/>
  <c r="AA28" i="6"/>
  <c r="BW28" i="6"/>
  <c r="AM29" i="6"/>
  <c r="BG35" i="6"/>
  <c r="O41" i="6"/>
  <c r="AU44" i="6"/>
  <c r="CA44" i="6"/>
  <c r="AE54" i="6"/>
  <c r="AE57" i="6"/>
  <c r="BG58" i="6"/>
  <c r="BW58" i="6"/>
  <c r="G59" i="6"/>
  <c r="K63" i="6"/>
  <c r="CE67" i="6"/>
  <c r="S74" i="6"/>
  <c r="AI74" i="6"/>
  <c r="BK75" i="6"/>
  <c r="CI76" i="6"/>
  <c r="S77" i="6"/>
  <c r="BW82" i="6"/>
  <c r="CM82" i="6"/>
  <c r="G83" i="6"/>
  <c r="CY90" i="6"/>
  <c r="BW93" i="6"/>
  <c r="CY94" i="6"/>
  <c r="S95" i="6"/>
  <c r="AY95" i="6"/>
  <c r="S98" i="6"/>
  <c r="CA102" i="6"/>
  <c r="CU107" i="6"/>
  <c r="O108" i="6"/>
  <c r="AE108" i="6"/>
  <c r="K109" i="6"/>
  <c r="AQ109" i="6"/>
  <c r="BG109" i="6"/>
  <c r="CY109" i="6"/>
  <c r="S110" i="6"/>
  <c r="AY116" i="6"/>
  <c r="BO116" i="6"/>
  <c r="CU116" i="6"/>
  <c r="CA123" i="6"/>
  <c r="K124" i="6"/>
  <c r="BK144" i="6"/>
  <c r="AM145" i="6"/>
  <c r="BO146" i="6"/>
  <c r="K152" i="6"/>
  <c r="G153" i="6"/>
  <c r="BC153" i="6"/>
  <c r="CU154" i="6"/>
  <c r="AQ16" i="6"/>
  <c r="K34" i="6"/>
  <c r="S38" i="6"/>
  <c r="O39" i="6"/>
  <c r="K13" i="6"/>
  <c r="BG13" i="6"/>
  <c r="AY33" i="6"/>
  <c r="BK23" i="6"/>
  <c r="AE26" i="6"/>
  <c r="CI27" i="6"/>
  <c r="AU37" i="6"/>
  <c r="BC38" i="6"/>
  <c r="G44" i="6"/>
  <c r="BC44" i="6"/>
  <c r="AE45" i="6"/>
  <c r="AU5" i="6"/>
  <c r="W7" i="6"/>
  <c r="AQ14" i="6"/>
  <c r="AY19" i="6"/>
  <c r="K21" i="6"/>
  <c r="BG21" i="6"/>
  <c r="CY22" i="6"/>
  <c r="AI28" i="6"/>
  <c r="BG29" i="6"/>
  <c r="AI34" i="6"/>
  <c r="AQ35" i="6"/>
  <c r="CM35" i="6"/>
  <c r="AM36" i="6"/>
  <c r="BK67" i="6"/>
  <c r="BO23" i="6"/>
  <c r="CU23" i="6"/>
  <c r="CM27" i="6"/>
  <c r="AQ30" i="6"/>
  <c r="BW30" i="6"/>
  <c r="CM30" i="6"/>
  <c r="G31" i="6"/>
  <c r="W31" i="6"/>
  <c r="AM31" i="6"/>
  <c r="AE32" i="6"/>
  <c r="BK32" i="6"/>
  <c r="G42" i="6"/>
  <c r="CU42" i="6"/>
  <c r="O43" i="6"/>
  <c r="AE43" i="6"/>
  <c r="CY44" i="6"/>
  <c r="O46" i="6"/>
  <c r="S53" i="6"/>
  <c r="AI53" i="6"/>
  <c r="BO53" i="6"/>
  <c r="AQ71" i="6"/>
  <c r="BK7" i="6"/>
  <c r="AU19" i="6"/>
  <c r="AY30" i="6"/>
  <c r="CI35" i="6"/>
  <c r="CU36" i="6"/>
  <c r="AI39" i="6"/>
  <c r="O45" i="6"/>
  <c r="S5" i="6"/>
  <c r="AY5" i="6"/>
  <c r="BO5" i="6"/>
  <c r="CU5" i="6"/>
  <c r="AU24" i="6"/>
  <c r="CM24" i="6"/>
  <c r="AI5" i="6"/>
  <c r="AU6" i="6"/>
  <c r="CM7" i="6"/>
  <c r="AM8" i="6"/>
  <c r="CM18" i="6"/>
  <c r="BC19" i="6"/>
  <c r="AI20" i="6"/>
  <c r="CU20" i="6"/>
  <c r="AE21" i="6"/>
  <c r="AU21" i="6"/>
  <c r="AQ22" i="6"/>
  <c r="BW22" i="6"/>
  <c r="W23" i="6"/>
  <c r="CA24" i="6"/>
  <c r="BO26" i="6"/>
  <c r="BG27" i="6"/>
  <c r="BW27" i="6"/>
  <c r="AM28" i="6"/>
  <c r="CA29" i="6"/>
  <c r="AM34" i="6"/>
  <c r="AI40" i="6"/>
  <c r="CU40" i="6"/>
  <c r="AI45" i="6"/>
  <c r="G50" i="6"/>
  <c r="W50" i="6"/>
  <c r="CU50" i="6"/>
  <c r="CA51" i="6"/>
  <c r="K52" i="6"/>
  <c r="BG52" i="6"/>
  <c r="BW52" i="6"/>
  <c r="AY53" i="6"/>
  <c r="CU53" i="6"/>
  <c r="CA82" i="6"/>
  <c r="CY28" i="6"/>
  <c r="S32" i="6"/>
  <c r="G40" i="6"/>
  <c r="BK41" i="6"/>
  <c r="BS42" i="6"/>
  <c r="CY42" i="6"/>
  <c r="CY59" i="6"/>
  <c r="CM62" i="6"/>
  <c r="K66" i="6"/>
  <c r="AU71" i="6"/>
  <c r="AU74" i="6"/>
  <c r="BK74" i="6"/>
  <c r="G81" i="6"/>
  <c r="AU82" i="6"/>
  <c r="CY5" i="6"/>
  <c r="BS8" i="6"/>
  <c r="S9" i="6"/>
  <c r="BO9" i="6"/>
  <c r="O10" i="6"/>
  <c r="BK10" i="6"/>
  <c r="K11" i="6"/>
  <c r="BG11" i="6"/>
  <c r="G12" i="6"/>
  <c r="BC12" i="6"/>
  <c r="CY12" i="6"/>
  <c r="AY13" i="6"/>
  <c r="CU13" i="6"/>
  <c r="AU14" i="6"/>
  <c r="AQ15" i="6"/>
  <c r="CM15" i="6"/>
  <c r="AM16" i="6"/>
  <c r="CI16" i="6"/>
  <c r="AI17" i="6"/>
  <c r="BK18" i="6"/>
  <c r="CI19" i="6"/>
  <c r="CA21" i="6"/>
  <c r="AQ25" i="6"/>
  <c r="W26" i="6"/>
  <c r="BS28" i="6"/>
  <c r="CE29" i="6"/>
  <c r="AE30" i="6"/>
  <c r="AU30" i="6"/>
  <c r="BW31" i="6"/>
  <c r="BO32" i="6"/>
  <c r="CM39" i="6"/>
  <c r="AM40" i="6"/>
  <c r="BC40" i="6"/>
  <c r="CI40" i="6"/>
  <c r="W42" i="6"/>
  <c r="BC42" i="6"/>
  <c r="CU43" i="6"/>
  <c r="W48" i="6"/>
  <c r="O49" i="6"/>
  <c r="AU49" i="6"/>
  <c r="CI50" i="6"/>
  <c r="S51" i="6"/>
  <c r="AI51" i="6"/>
  <c r="BO51" i="6"/>
  <c r="CE51" i="6"/>
  <c r="O52" i="6"/>
  <c r="BC53" i="6"/>
  <c r="CE58" i="6"/>
  <c r="CU58" i="6"/>
  <c r="AQ59" i="6"/>
  <c r="BG59" i="6"/>
  <c r="BW59" i="6"/>
  <c r="AI60" i="6"/>
  <c r="CI61" i="6"/>
  <c r="AE62" i="6"/>
  <c r="AU62" i="6"/>
  <c r="BK62" i="6"/>
  <c r="BW64" i="6"/>
  <c r="S65" i="6"/>
  <c r="AA66" i="6"/>
  <c r="AQ77" i="6"/>
  <c r="BW80" i="6"/>
  <c r="CM80" i="6"/>
  <c r="CM25" i="6"/>
  <c r="AI35" i="6"/>
  <c r="AY35" i="6"/>
  <c r="BO35" i="6"/>
  <c r="CI37" i="6"/>
  <c r="W40" i="6"/>
  <c r="BS40" i="6"/>
  <c r="AI41" i="6"/>
  <c r="AQ42" i="6"/>
  <c r="BG42" i="6"/>
  <c r="CI48" i="6"/>
  <c r="CY48" i="6"/>
  <c r="AA50" i="6"/>
  <c r="BW50" i="6"/>
  <c r="AY65" i="6"/>
  <c r="CM69" i="6"/>
  <c r="W70" i="6"/>
  <c r="BS70" i="6"/>
  <c r="AA88" i="6"/>
  <c r="AE18" i="6"/>
  <c r="CI20" i="6"/>
  <c r="BK25" i="6"/>
  <c r="K40" i="6"/>
  <c r="BO41" i="6"/>
  <c r="AI49" i="6"/>
  <c r="CE79" i="6"/>
  <c r="BK87" i="6"/>
  <c r="K88" i="6"/>
  <c r="AU113" i="6"/>
  <c r="CY26" i="6"/>
  <c r="CA27" i="6"/>
  <c r="BG28" i="6"/>
  <c r="AE28" i="6"/>
  <c r="AU31" i="6"/>
  <c r="CY32" i="6"/>
  <c r="BO33" i="6"/>
  <c r="O34" i="6"/>
  <c r="BK36" i="6"/>
  <c r="BW45" i="6"/>
  <c r="CM45" i="6"/>
  <c r="W46" i="6"/>
  <c r="BS46" i="6"/>
  <c r="CA47" i="6"/>
  <c r="BC56" i="6"/>
  <c r="BS56" i="6"/>
  <c r="AE69" i="6"/>
  <c r="BK69" i="6"/>
  <c r="CA69" i="6"/>
  <c r="G79" i="6"/>
  <c r="AQ23" i="6"/>
  <c r="AM6" i="6"/>
  <c r="CI6" i="6"/>
  <c r="CY6" i="6"/>
  <c r="CA8" i="6"/>
  <c r="AA9" i="6"/>
  <c r="CA55" i="6"/>
  <c r="AM56" i="6"/>
  <c r="CI56" i="6"/>
  <c r="BO57" i="6"/>
  <c r="AA58" i="6"/>
  <c r="AU61" i="6"/>
  <c r="AI64" i="6"/>
  <c r="G68" i="6"/>
  <c r="AM68" i="6"/>
  <c r="O69" i="6"/>
  <c r="K76" i="6"/>
  <c r="AQ85" i="6"/>
  <c r="CM85" i="6"/>
  <c r="G86" i="6"/>
  <c r="W86" i="6"/>
  <c r="AM86" i="6"/>
  <c r="BG19" i="6"/>
  <c r="W20" i="6"/>
  <c r="K20" i="6"/>
  <c r="AQ20" i="6"/>
  <c r="CI24" i="6"/>
  <c r="S25" i="6"/>
  <c r="BG5" i="6"/>
  <c r="CE18" i="6"/>
  <c r="BW9" i="6"/>
  <c r="W10" i="6"/>
  <c r="S11" i="6"/>
  <c r="BO11" i="6"/>
  <c r="O12" i="6"/>
  <c r="W14" i="6"/>
  <c r="BS14" i="6"/>
  <c r="S15" i="6"/>
  <c r="BO55" i="6"/>
  <c r="AQ56" i="6"/>
  <c r="O67" i="6"/>
  <c r="CA67" i="6"/>
  <c r="K68" i="6"/>
  <c r="BC68" i="6"/>
  <c r="BG71" i="6"/>
  <c r="BW71" i="6"/>
  <c r="CM71" i="6"/>
  <c r="AY75" i="6"/>
  <c r="BK78" i="6"/>
  <c r="CY83" i="6"/>
  <c r="AI84" i="6"/>
  <c r="AY84" i="6"/>
  <c r="CE84" i="6"/>
  <c r="W5" i="6"/>
  <c r="BS5" i="6"/>
  <c r="CA7" i="6"/>
  <c r="K8" i="6"/>
  <c r="CE10" i="6"/>
  <c r="CM12" i="6"/>
  <c r="CU18" i="6"/>
  <c r="K23" i="6"/>
  <c r="BO15" i="6"/>
  <c r="O16" i="6"/>
  <c r="BK16" i="6"/>
  <c r="K17" i="6"/>
  <c r="BG17" i="6"/>
  <c r="CM17" i="6"/>
  <c r="BS21" i="6"/>
  <c r="CA23" i="6"/>
  <c r="CU25" i="6"/>
  <c r="G27" i="6"/>
  <c r="BS36" i="6"/>
  <c r="CI36" i="6"/>
  <c r="CA37" i="6"/>
  <c r="CY38" i="6"/>
  <c r="CM42" i="6"/>
  <c r="AY43" i="6"/>
  <c r="W45" i="6"/>
  <c r="AQ46" i="6"/>
  <c r="CU49" i="6"/>
  <c r="BK52" i="6"/>
  <c r="AM53" i="6"/>
  <c r="CE55" i="6"/>
  <c r="G57" i="6"/>
  <c r="O58" i="6"/>
  <c r="S59" i="6"/>
  <c r="CM59" i="6"/>
  <c r="BK60" i="6"/>
  <c r="AI61" i="6"/>
  <c r="G62" i="6"/>
  <c r="BO65" i="6"/>
  <c r="G67" i="6"/>
  <c r="BG68" i="6"/>
  <c r="BC72" i="6"/>
  <c r="BG76" i="6"/>
  <c r="CY76" i="6"/>
  <c r="BK77" i="6"/>
  <c r="G78" i="6"/>
  <c r="BC79" i="6"/>
  <c r="CA80" i="6"/>
  <c r="CI81" i="6"/>
  <c r="AY82" i="6"/>
  <c r="CU84" i="6"/>
  <c r="O85" i="6"/>
  <c r="AE85" i="6"/>
  <c r="AI87" i="6"/>
  <c r="AY87" i="6"/>
  <c r="BO87" i="6"/>
  <c r="CE87" i="6"/>
  <c r="G89" i="6"/>
  <c r="CU89" i="6"/>
  <c r="AU90" i="6"/>
  <c r="CY91" i="6"/>
  <c r="AI95" i="6"/>
  <c r="CE34" i="6"/>
  <c r="G39" i="6"/>
  <c r="W39" i="6"/>
  <c r="BS41" i="6"/>
  <c r="CI41" i="6"/>
  <c r="G43" i="6"/>
  <c r="W47" i="6"/>
  <c r="CE47" i="6"/>
  <c r="CU47" i="6"/>
  <c r="CI49" i="6"/>
  <c r="W51" i="6"/>
  <c r="BC51" i="6"/>
  <c r="AA53" i="6"/>
  <c r="AM57" i="6"/>
  <c r="BC57" i="6"/>
  <c r="CE57" i="6"/>
  <c r="CU57" i="6"/>
  <c r="AU58" i="6"/>
  <c r="CY58" i="6"/>
  <c r="AI59" i="6"/>
  <c r="G60" i="6"/>
  <c r="CA60" i="6"/>
  <c r="AY61" i="6"/>
  <c r="W62" i="6"/>
  <c r="BO63" i="6"/>
  <c r="AM64" i="6"/>
  <c r="W65" i="6"/>
  <c r="CU67" i="6"/>
  <c r="AY69" i="6"/>
  <c r="CE69" i="6"/>
  <c r="BO71" i="6"/>
  <c r="AA72" i="6"/>
  <c r="CY72" i="6"/>
  <c r="G74" i="6"/>
  <c r="W74" i="6"/>
  <c r="CU75" i="6"/>
  <c r="AQ76" i="6"/>
  <c r="CE78" i="6"/>
  <c r="K79" i="6"/>
  <c r="CY79" i="6"/>
  <c r="K81" i="6"/>
  <c r="S82" i="6"/>
  <c r="AI82" i="6"/>
  <c r="BO82" i="6"/>
  <c r="CE82" i="6"/>
  <c r="AU83" i="6"/>
  <c r="G84" i="6"/>
  <c r="AM84" i="6"/>
  <c r="BC84" i="6"/>
  <c r="AU85" i="6"/>
  <c r="CA85" i="6"/>
  <c r="CY86" i="6"/>
  <c r="AQ94" i="6"/>
  <c r="BG94" i="6"/>
  <c r="CM94" i="6"/>
  <c r="CE95" i="6"/>
  <c r="BO69" i="6"/>
  <c r="BG70" i="6"/>
  <c r="K36" i="6"/>
  <c r="BG36" i="6"/>
  <c r="BK38" i="6"/>
  <c r="CM38" i="6"/>
  <c r="AU42" i="6"/>
  <c r="BK44" i="6"/>
  <c r="AM47" i="6"/>
  <c r="AE48" i="6"/>
  <c r="AA49" i="6"/>
  <c r="AA51" i="6"/>
  <c r="S52" i="6"/>
  <c r="BO52" i="6"/>
  <c r="CE52" i="6"/>
  <c r="CM53" i="6"/>
  <c r="BG55" i="6"/>
  <c r="BS57" i="6"/>
  <c r="CY57" i="6"/>
  <c r="AE58" i="6"/>
  <c r="W59" i="6"/>
  <c r="BO60" i="6"/>
  <c r="AM61" i="6"/>
  <c r="K62" i="6"/>
  <c r="CE62" i="6"/>
  <c r="BC63" i="6"/>
  <c r="AA64" i="6"/>
  <c r="K65" i="6"/>
  <c r="BK66" i="6"/>
  <c r="CA68" i="6"/>
  <c r="AM69" i="6"/>
  <c r="BC69" i="6"/>
  <c r="O70" i="6"/>
  <c r="AE70" i="6"/>
  <c r="AU70" i="6"/>
  <c r="AM71" i="6"/>
  <c r="AE72" i="6"/>
  <c r="BW72" i="6"/>
  <c r="AI73" i="6"/>
  <c r="AU76" i="6"/>
  <c r="BK76" i="6"/>
  <c r="AY77" i="6"/>
  <c r="BC78" i="6"/>
  <c r="AQ79" i="6"/>
  <c r="CE80" i="6"/>
  <c r="CU80" i="6"/>
  <c r="AA81" i="6"/>
  <c r="BC82" i="6"/>
  <c r="BK83" i="6"/>
  <c r="CA83" i="6"/>
  <c r="S85" i="6"/>
  <c r="BS92" i="6"/>
  <c r="CI92" i="6"/>
  <c r="AY93" i="6"/>
  <c r="CE93" i="6"/>
  <c r="CU93" i="6"/>
  <c r="AU99" i="6"/>
  <c r="O33" i="6"/>
  <c r="AE33" i="6"/>
  <c r="BK33" i="6"/>
  <c r="CY34" i="6"/>
  <c r="BW36" i="6"/>
  <c r="O38" i="6"/>
  <c r="AE38" i="6"/>
  <c r="AA39" i="6"/>
  <c r="AQ39" i="6"/>
  <c r="AY40" i="6"/>
  <c r="BO40" i="6"/>
  <c r="AI42" i="6"/>
  <c r="AY44" i="6"/>
  <c r="AA45" i="6"/>
  <c r="BO46" i="6"/>
  <c r="AI48" i="6"/>
  <c r="K49" i="6"/>
  <c r="K51" i="6"/>
  <c r="AQ51" i="6"/>
  <c r="CM51" i="6"/>
  <c r="AU53" i="6"/>
  <c r="AM54" i="6"/>
  <c r="BC54" i="6"/>
  <c r="CE54" i="6"/>
  <c r="CU54" i="6"/>
  <c r="CY55" i="6"/>
  <c r="CE56" i="6"/>
  <c r="O57" i="6"/>
  <c r="AQ57" i="6"/>
  <c r="AI58" i="6"/>
  <c r="CM58" i="6"/>
  <c r="BO59" i="6"/>
  <c r="AM60" i="6"/>
  <c r="K61" i="6"/>
  <c r="CE61" i="6"/>
  <c r="BC62" i="6"/>
  <c r="AA63" i="6"/>
  <c r="CU63" i="6"/>
  <c r="BS64" i="6"/>
  <c r="BG65" i="6"/>
  <c r="AI66" i="6"/>
  <c r="CA66" i="6"/>
  <c r="BS67" i="6"/>
  <c r="CI67" i="6"/>
  <c r="S68" i="6"/>
  <c r="CI69" i="6"/>
  <c r="BS71" i="6"/>
  <c r="CI71" i="6"/>
  <c r="CY71" i="6"/>
  <c r="BC74" i="6"/>
  <c r="CU74" i="6"/>
  <c r="O75" i="6"/>
  <c r="BG75" i="6"/>
  <c r="BO77" i="6"/>
  <c r="CE77" i="6"/>
  <c r="CI78" i="6"/>
  <c r="O79" i="6"/>
  <c r="BW79" i="6"/>
  <c r="G80" i="6"/>
  <c r="W80" i="6"/>
  <c r="AY85" i="6"/>
  <c r="CE85" i="6"/>
  <c r="CU85" i="6"/>
  <c r="AE86" i="6"/>
  <c r="BS95" i="6"/>
  <c r="S96" i="6"/>
  <c r="CY43" i="6"/>
  <c r="S46" i="6"/>
  <c r="AY46" i="6"/>
  <c r="AQ47" i="6"/>
  <c r="BG47" i="6"/>
  <c r="S48" i="6"/>
  <c r="BO48" i="6"/>
  <c r="G52" i="6"/>
  <c r="W52" i="6"/>
  <c r="AM52" i="6"/>
  <c r="CI52" i="6"/>
  <c r="CM57" i="6"/>
  <c r="K59" i="6"/>
  <c r="CE59" i="6"/>
  <c r="BC60" i="6"/>
  <c r="AA61" i="6"/>
  <c r="CU61" i="6"/>
  <c r="BS62" i="6"/>
  <c r="AQ63" i="6"/>
  <c r="O64" i="6"/>
  <c r="CM65" i="6"/>
  <c r="AY66" i="6"/>
  <c r="BO66" i="6"/>
  <c r="AA67" i="6"/>
  <c r="BG67" i="6"/>
  <c r="AY68" i="6"/>
  <c r="CA72" i="6"/>
  <c r="BO73" i="6"/>
  <c r="CI74" i="6"/>
  <c r="AI76" i="6"/>
  <c r="AY76" i="6"/>
  <c r="W77" i="6"/>
  <c r="AU81" i="6"/>
  <c r="BK81" i="6"/>
  <c r="CM84" i="6"/>
  <c r="BK86" i="6"/>
  <c r="BO88" i="6"/>
  <c r="CE88" i="6"/>
  <c r="BW89" i="6"/>
  <c r="W90" i="6"/>
  <c r="AM90" i="6"/>
  <c r="BC90" i="6"/>
  <c r="K92" i="6"/>
  <c r="AQ98" i="6"/>
  <c r="AY56" i="6"/>
  <c r="BG57" i="6"/>
  <c r="BC59" i="6"/>
  <c r="AA60" i="6"/>
  <c r="CU60" i="6"/>
  <c r="BS61" i="6"/>
  <c r="AQ62" i="6"/>
  <c r="O63" i="6"/>
  <c r="CI63" i="6"/>
  <c r="BG64" i="6"/>
  <c r="CI64" i="6"/>
  <c r="AE65" i="6"/>
  <c r="CU66" i="6"/>
  <c r="CU68" i="6"/>
  <c r="AQ69" i="6"/>
  <c r="CY69" i="6"/>
  <c r="AI70" i="6"/>
  <c r="AA71" i="6"/>
  <c r="S72" i="6"/>
  <c r="W73" i="6"/>
  <c r="CE73" i="6"/>
  <c r="AU75" i="6"/>
  <c r="AA78" i="6"/>
  <c r="BG78" i="6"/>
  <c r="BK79" i="6"/>
  <c r="CI80" i="6"/>
  <c r="K82" i="6"/>
  <c r="AA82" i="6"/>
  <c r="AQ82" i="6"/>
  <c r="CU83" i="6"/>
  <c r="AA87" i="6"/>
  <c r="AQ87" i="6"/>
  <c r="BW87" i="6"/>
  <c r="G88" i="6"/>
  <c r="CM89" i="6"/>
  <c r="S91" i="6"/>
  <c r="AM93" i="6"/>
  <c r="K95" i="6"/>
  <c r="AQ101" i="6"/>
  <c r="AE118" i="6"/>
  <c r="CE72" i="6"/>
  <c r="AA73" i="6"/>
  <c r="CI73" i="6"/>
  <c r="CU73" i="6"/>
  <c r="CM74" i="6"/>
  <c r="W76" i="6"/>
  <c r="AA77" i="6"/>
  <c r="O78" i="6"/>
  <c r="AE78" i="6"/>
  <c r="AQ80" i="6"/>
  <c r="BG80" i="6"/>
  <c r="AY81" i="6"/>
  <c r="BO81" i="6"/>
  <c r="CU81" i="6"/>
  <c r="BC83" i="6"/>
  <c r="BS83" i="6"/>
  <c r="CI83" i="6"/>
  <c r="O84" i="6"/>
  <c r="S86" i="6"/>
  <c r="CE86" i="6"/>
  <c r="AM88" i="6"/>
  <c r="BS88" i="6"/>
  <c r="CI88" i="6"/>
  <c r="CA89" i="6"/>
  <c r="AY91" i="6"/>
  <c r="W72" i="6"/>
  <c r="BS73" i="6"/>
  <c r="G75" i="6"/>
  <c r="CA75" i="6"/>
  <c r="CI77" i="6"/>
  <c r="AI79" i="6"/>
  <c r="AI81" i="6"/>
  <c r="CE81" i="6"/>
  <c r="AE82" i="6"/>
  <c r="AM83" i="6"/>
  <c r="K85" i="6"/>
  <c r="AY86" i="6"/>
  <c r="BO86" i="6"/>
  <c r="CU86" i="6"/>
  <c r="O87" i="6"/>
  <c r="CA87" i="6"/>
  <c r="BC88" i="6"/>
  <c r="S89" i="6"/>
  <c r="BG93" i="6"/>
  <c r="AU95" i="6"/>
  <c r="BK95" i="6"/>
  <c r="CA95" i="6"/>
  <c r="AA96" i="6"/>
  <c r="CM96" i="6"/>
  <c r="W97" i="6"/>
  <c r="AM97" i="6"/>
  <c r="AY100" i="6"/>
  <c r="CE114" i="6"/>
  <c r="BS119" i="6"/>
  <c r="BK124" i="6"/>
  <c r="BS125" i="6"/>
  <c r="AQ131" i="6"/>
  <c r="BW131" i="6"/>
  <c r="W132" i="6"/>
  <c r="BC132" i="6"/>
  <c r="BK137" i="6"/>
  <c r="W141" i="6"/>
  <c r="K143" i="6"/>
  <c r="BS144" i="6"/>
  <c r="CI144" i="6"/>
  <c r="BK145" i="6"/>
  <c r="AA106" i="6"/>
  <c r="K110" i="6"/>
  <c r="AQ110" i="6"/>
  <c r="CI112" i="6"/>
  <c r="BK113" i="6"/>
  <c r="BC114" i="6"/>
  <c r="BK118" i="6"/>
  <c r="K119" i="6"/>
  <c r="BK126" i="6"/>
  <c r="G135" i="6"/>
  <c r="BG146" i="6"/>
  <c r="CU156" i="6"/>
  <c r="AI102" i="6"/>
  <c r="W105" i="6"/>
  <c r="AM105" i="6"/>
  <c r="CE107" i="6"/>
  <c r="AQ108" i="6"/>
  <c r="AY109" i="6"/>
  <c r="BW110" i="6"/>
  <c r="BO120" i="6"/>
  <c r="AY89" i="6"/>
  <c r="BW90" i="6"/>
  <c r="CM90" i="6"/>
  <c r="G91" i="6"/>
  <c r="AU92" i="6"/>
  <c r="BK92" i="6"/>
  <c r="BC93" i="6"/>
  <c r="BS93" i="6"/>
  <c r="O94" i="6"/>
  <c r="AE94" i="6"/>
  <c r="BK94" i="6"/>
  <c r="CA94" i="6"/>
  <c r="W95" i="6"/>
  <c r="AU96" i="6"/>
  <c r="G97" i="6"/>
  <c r="BS97" i="6"/>
  <c r="AU98" i="6"/>
  <c r="AI99" i="6"/>
  <c r="BS100" i="6"/>
  <c r="CI100" i="6"/>
  <c r="AU101" i="6"/>
  <c r="CA101" i="6"/>
  <c r="G102" i="6"/>
  <c r="AM102" i="6"/>
  <c r="CU102" i="6"/>
  <c r="BG103" i="6"/>
  <c r="AI104" i="6"/>
  <c r="CI105" i="6"/>
  <c r="CA106" i="6"/>
  <c r="W107" i="6"/>
  <c r="CI107" i="6"/>
  <c r="AU108" i="6"/>
  <c r="BK108" i="6"/>
  <c r="G109" i="6"/>
  <c r="W109" i="6"/>
  <c r="BC109" i="6"/>
  <c r="O110" i="6"/>
  <c r="AE110" i="6"/>
  <c r="BG110" i="6"/>
  <c r="CM110" i="6"/>
  <c r="AI111" i="6"/>
  <c r="AQ112" i="6"/>
  <c r="CM112" i="6"/>
  <c r="CU113" i="6"/>
  <c r="AQ114" i="6"/>
  <c r="O116" i="6"/>
  <c r="AE116" i="6"/>
  <c r="BK116" i="6"/>
  <c r="BO118" i="6"/>
  <c r="CE118" i="6"/>
  <c r="CU120" i="6"/>
  <c r="BG121" i="6"/>
  <c r="BW121" i="6"/>
  <c r="BW123" i="6"/>
  <c r="CM123" i="6"/>
  <c r="S126" i="6"/>
  <c r="AY126" i="6"/>
  <c r="BC136" i="6"/>
  <c r="BO137" i="6"/>
  <c r="AQ138" i="6"/>
  <c r="CU139" i="6"/>
  <c r="BK140" i="6"/>
  <c r="AY142" i="6"/>
  <c r="BG90" i="6"/>
  <c r="BC91" i="6"/>
  <c r="BS91" i="6"/>
  <c r="CA92" i="6"/>
  <c r="K93" i="6"/>
  <c r="AA93" i="6"/>
  <c r="CI95" i="6"/>
  <c r="CY95" i="6"/>
  <c r="AE98" i="6"/>
  <c r="CA98" i="6"/>
  <c r="BC102" i="6"/>
  <c r="CE102" i="6"/>
  <c r="BW103" i="6"/>
  <c r="BO104" i="6"/>
  <c r="AQ105" i="6"/>
  <c r="BS105" i="6"/>
  <c r="BK106" i="6"/>
  <c r="AA107" i="6"/>
  <c r="AQ107" i="6"/>
  <c r="CY107" i="6"/>
  <c r="BS109" i="6"/>
  <c r="CU109" i="6"/>
  <c r="BO111" i="6"/>
  <c r="CU111" i="6"/>
  <c r="W113" i="6"/>
  <c r="BW114" i="6"/>
  <c r="K117" i="6"/>
  <c r="AA117" i="6"/>
  <c r="AY118" i="6"/>
  <c r="CU118" i="6"/>
  <c r="AE119" i="6"/>
  <c r="G120" i="6"/>
  <c r="AM120" i="6"/>
  <c r="BC120" i="6"/>
  <c r="BS120" i="6"/>
  <c r="BO122" i="6"/>
  <c r="CE122" i="6"/>
  <c r="AE123" i="6"/>
  <c r="AM124" i="6"/>
  <c r="BC124" i="6"/>
  <c r="AE125" i="6"/>
  <c r="W128" i="6"/>
  <c r="BK131" i="6"/>
  <c r="BC133" i="6"/>
  <c r="S134" i="6"/>
  <c r="AI137" i="6"/>
  <c r="G139" i="6"/>
  <c r="BC139" i="6"/>
  <c r="CY139" i="6"/>
  <c r="AU140" i="6"/>
  <c r="K97" i="6"/>
  <c r="AA97" i="6"/>
  <c r="AI98" i="6"/>
  <c r="AI101" i="6"/>
  <c r="W104" i="6"/>
  <c r="S106" i="6"/>
  <c r="AI106" i="6"/>
  <c r="BO106" i="6"/>
  <c r="BK110" i="6"/>
  <c r="CA110" i="6"/>
  <c r="AE112" i="6"/>
  <c r="CM114" i="6"/>
  <c r="G115" i="6"/>
  <c r="W115" i="6"/>
  <c r="BC115" i="6"/>
  <c r="CI115" i="6"/>
  <c r="CY115" i="6"/>
  <c r="S116" i="6"/>
  <c r="BG117" i="6"/>
  <c r="BW117" i="6"/>
  <c r="CM117" i="6"/>
  <c r="G118" i="6"/>
  <c r="AU119" i="6"/>
  <c r="BK119" i="6"/>
  <c r="CA119" i="6"/>
  <c r="BK123" i="6"/>
  <c r="BK125" i="6"/>
  <c r="O127" i="6"/>
  <c r="BK127" i="6"/>
  <c r="CA127" i="6"/>
  <c r="G128" i="6"/>
  <c r="O129" i="6"/>
  <c r="BW129" i="6"/>
  <c r="CM129" i="6"/>
  <c r="AY134" i="6"/>
  <c r="CU134" i="6"/>
  <c r="CU143" i="6"/>
  <c r="AU144" i="6"/>
  <c r="W145" i="6"/>
  <c r="CY145" i="6"/>
  <c r="AY146" i="6"/>
  <c r="BW156" i="6"/>
  <c r="W157" i="6"/>
  <c r="AM157" i="6"/>
  <c r="CY157" i="6"/>
  <c r="BO80" i="6"/>
  <c r="CY82" i="6"/>
  <c r="S83" i="6"/>
  <c r="K84" i="6"/>
  <c r="AA84" i="6"/>
  <c r="BG84" i="6"/>
  <c r="AA86" i="6"/>
  <c r="G87" i="6"/>
  <c r="W87" i="6"/>
  <c r="AM87" i="6"/>
  <c r="CA88" i="6"/>
  <c r="K89" i="6"/>
  <c r="AM89" i="6"/>
  <c r="BS89" i="6"/>
  <c r="BG91" i="6"/>
  <c r="G92" i="6"/>
  <c r="CU92" i="6"/>
  <c r="O93" i="6"/>
  <c r="CM93" i="6"/>
  <c r="G94" i="6"/>
  <c r="CM95" i="6"/>
  <c r="BO96" i="6"/>
  <c r="O97" i="6"/>
  <c r="BO98" i="6"/>
  <c r="AA99" i="6"/>
  <c r="AQ99" i="6"/>
  <c r="W101" i="6"/>
  <c r="CY102" i="6"/>
  <c r="K104" i="6"/>
  <c r="CM105" i="6"/>
  <c r="G106" i="6"/>
  <c r="AY106" i="6"/>
  <c r="O107" i="6"/>
  <c r="AE107" i="6"/>
  <c r="CE108" i="6"/>
  <c r="CI109" i="6"/>
  <c r="K111" i="6"/>
  <c r="CI111" i="6"/>
  <c r="CY111" i="6"/>
  <c r="BK112" i="6"/>
  <c r="K113" i="6"/>
  <c r="AA113" i="6"/>
  <c r="AE114" i="6"/>
  <c r="AU114" i="6"/>
  <c r="AI121" i="6"/>
  <c r="K122" i="6"/>
  <c r="BS122" i="6"/>
  <c r="CY122" i="6"/>
  <c r="S123" i="6"/>
  <c r="AA124" i="6"/>
  <c r="AQ124" i="6"/>
  <c r="BG124" i="6"/>
  <c r="AA126" i="6"/>
  <c r="CY126" i="6"/>
  <c r="AI127" i="6"/>
  <c r="K128" i="6"/>
  <c r="CY128" i="6"/>
  <c r="BK129" i="6"/>
  <c r="CA129" i="6"/>
  <c r="AI131" i="6"/>
  <c r="CA132" i="6"/>
  <c r="CI87" i="6"/>
  <c r="CY87" i="6"/>
  <c r="S88" i="6"/>
  <c r="AU88" i="6"/>
  <c r="CI89" i="6"/>
  <c r="CY89" i="6"/>
  <c r="AI90" i="6"/>
  <c r="K91" i="6"/>
  <c r="AA91" i="6"/>
  <c r="AQ91" i="6"/>
  <c r="AM92" i="6"/>
  <c r="CE92" i="6"/>
  <c r="AE93" i="6"/>
  <c r="W94" i="6"/>
  <c r="BC94" i="6"/>
  <c r="BS94" i="6"/>
  <c r="CU94" i="6"/>
  <c r="O95" i="6"/>
  <c r="BG95" i="6"/>
  <c r="BW95" i="6"/>
  <c r="G96" i="6"/>
  <c r="BC96" i="6"/>
  <c r="CM97" i="6"/>
  <c r="W98" i="6"/>
  <c r="AY98" i="6"/>
  <c r="CM100" i="6"/>
  <c r="G101" i="6"/>
  <c r="K102" i="6"/>
  <c r="CA103" i="6"/>
  <c r="W106" i="6"/>
  <c r="BC106" i="6"/>
  <c r="BS106" i="6"/>
  <c r="W108" i="6"/>
  <c r="CU108" i="6"/>
  <c r="AA109" i="6"/>
  <c r="CM109" i="6"/>
  <c r="AY110" i="6"/>
  <c r="BO110" i="6"/>
  <c r="BS111" i="6"/>
  <c r="AI112" i="6"/>
  <c r="BO112" i="6"/>
  <c r="AQ113" i="6"/>
  <c r="BG115" i="6"/>
  <c r="CM115" i="6"/>
  <c r="K118" i="6"/>
  <c r="AI119" i="6"/>
  <c r="BO119" i="6"/>
  <c r="AQ122" i="6"/>
  <c r="AY123" i="6"/>
  <c r="BO125" i="6"/>
  <c r="CI130" i="6"/>
  <c r="AQ142" i="6"/>
  <c r="BG142" i="6"/>
  <c r="AQ89" i="6"/>
  <c r="AY90" i="6"/>
  <c r="BK93" i="6"/>
  <c r="CY99" i="6"/>
  <c r="AI100" i="6"/>
  <c r="BK100" i="6"/>
  <c r="BC101" i="6"/>
  <c r="O102" i="6"/>
  <c r="AE102" i="6"/>
  <c r="AY103" i="6"/>
  <c r="CE103" i="6"/>
  <c r="AQ104" i="6"/>
  <c r="BG104" i="6"/>
  <c r="CY104" i="6"/>
  <c r="BK107" i="6"/>
  <c r="CA107" i="6"/>
  <c r="AM108" i="6"/>
  <c r="AE109" i="6"/>
  <c r="AU109" i="6"/>
  <c r="G110" i="6"/>
  <c r="CU110" i="6"/>
  <c r="S112" i="6"/>
  <c r="AY112" i="6"/>
  <c r="CE112" i="6"/>
  <c r="CU112" i="6"/>
  <c r="AY114" i="6"/>
  <c r="BO114" i="6"/>
  <c r="AQ115" i="6"/>
  <c r="AM116" i="6"/>
  <c r="BC116" i="6"/>
  <c r="CM118" i="6"/>
  <c r="G119" i="6"/>
  <c r="CU119" i="6"/>
  <c r="CM120" i="6"/>
  <c r="G121" i="6"/>
  <c r="W121" i="6"/>
  <c r="AY121" i="6"/>
  <c r="CE121" i="6"/>
  <c r="CU123" i="6"/>
  <c r="CE125" i="6"/>
  <c r="CU125" i="6"/>
  <c r="BW126" i="6"/>
  <c r="AQ128" i="6"/>
  <c r="S129" i="6"/>
  <c r="BK148" i="6"/>
  <c r="AQ149" i="6"/>
  <c r="AY151" i="6"/>
  <c r="CE151" i="6"/>
  <c r="AE152" i="6"/>
  <c r="AM154" i="6"/>
  <c r="CE155" i="6"/>
  <c r="CY96" i="6"/>
  <c r="AI97" i="6"/>
  <c r="BK97" i="6"/>
  <c r="O99" i="6"/>
  <c r="AE99" i="6"/>
  <c r="K101" i="6"/>
  <c r="W103" i="6"/>
  <c r="CU103" i="6"/>
  <c r="K106" i="6"/>
  <c r="CY106" i="6"/>
  <c r="S107" i="6"/>
  <c r="K108" i="6"/>
  <c r="BS108" i="6"/>
  <c r="CI108" i="6"/>
  <c r="G112" i="6"/>
  <c r="AE113" i="6"/>
  <c r="CI116" i="6"/>
  <c r="CY116" i="6"/>
  <c r="AI117" i="6"/>
  <c r="BW118" i="6"/>
  <c r="AM119" i="6"/>
  <c r="CU121" i="6"/>
  <c r="G123" i="6"/>
  <c r="AU124" i="6"/>
  <c r="W125" i="6"/>
  <c r="G127" i="6"/>
  <c r="CU129" i="6"/>
  <c r="W131" i="6"/>
  <c r="AQ134" i="6"/>
  <c r="BG137" i="6"/>
  <c r="AA140" i="6"/>
  <c r="S141" i="6"/>
  <c r="AE142" i="6"/>
  <c r="AU142" i="6"/>
  <c r="CE144" i="6"/>
  <c r="AE145" i="6"/>
  <c r="AU145" i="6"/>
  <c r="AE132" i="6"/>
  <c r="W134" i="6"/>
  <c r="BC134" i="6"/>
  <c r="CA135" i="6"/>
  <c r="CE137" i="6"/>
  <c r="BG141" i="6"/>
  <c r="BW141" i="6"/>
  <c r="K144" i="6"/>
  <c r="BC144" i="6"/>
  <c r="BO145" i="6"/>
  <c r="AI148" i="6"/>
  <c r="BS154" i="6"/>
  <c r="AA157" i="6"/>
  <c r="O128" i="6"/>
  <c r="BG128" i="6"/>
  <c r="BO129" i="6"/>
  <c r="AA130" i="6"/>
  <c r="BS131" i="6"/>
  <c r="BO132" i="6"/>
  <c r="CE132" i="6"/>
  <c r="CU132" i="6"/>
  <c r="O133" i="6"/>
  <c r="AM134" i="6"/>
  <c r="BS134" i="6"/>
  <c r="S135" i="6"/>
  <c r="AI135" i="6"/>
  <c r="S138" i="6"/>
  <c r="AQ139" i="6"/>
  <c r="BG139" i="6"/>
  <c r="CM139" i="6"/>
  <c r="AY140" i="6"/>
  <c r="AQ141" i="6"/>
  <c r="CY142" i="6"/>
  <c r="S143" i="6"/>
  <c r="AY143" i="6"/>
  <c r="K147" i="6"/>
  <c r="CA149" i="6"/>
  <c r="AQ150" i="6"/>
  <c r="BW150" i="6"/>
  <c r="CM150" i="6"/>
  <c r="G151" i="6"/>
  <c r="CI151" i="6"/>
  <c r="S152" i="6"/>
  <c r="AI152" i="6"/>
  <c r="AY152" i="6"/>
  <c r="BO152" i="6"/>
  <c r="AM155" i="6"/>
  <c r="BC155" i="6"/>
  <c r="BG157" i="6"/>
  <c r="AM140" i="6"/>
  <c r="CE140" i="6"/>
  <c r="AU141" i="6"/>
  <c r="BK141" i="6"/>
  <c r="BC142" i="6"/>
  <c r="O144" i="6"/>
  <c r="BG144" i="6"/>
  <c r="BC145" i="6"/>
  <c r="CA146" i="6"/>
  <c r="BG147" i="6"/>
  <c r="G148" i="6"/>
  <c r="W148" i="6"/>
  <c r="BC148" i="6"/>
  <c r="W151" i="6"/>
  <c r="W155" i="6"/>
  <c r="BO156" i="6"/>
  <c r="CE100" i="6"/>
  <c r="CY101" i="6"/>
  <c r="S102" i="6"/>
  <c r="AU102" i="6"/>
  <c r="BK102" i="6"/>
  <c r="K103" i="6"/>
  <c r="BS103" i="6"/>
  <c r="BO105" i="6"/>
  <c r="AQ106" i="6"/>
  <c r="BG106" i="6"/>
  <c r="AY107" i="6"/>
  <c r="AA108" i="6"/>
  <c r="BC108" i="6"/>
  <c r="O109" i="6"/>
  <c r="CA109" i="6"/>
  <c r="BC110" i="6"/>
  <c r="CM111" i="6"/>
  <c r="AM112" i="6"/>
  <c r="BC112" i="6"/>
  <c r="BW113" i="6"/>
  <c r="K115" i="6"/>
  <c r="AU117" i="6"/>
  <c r="CY118" i="6"/>
  <c r="S119" i="6"/>
  <c r="AQ120" i="6"/>
  <c r="CY120" i="6"/>
  <c r="W122" i="6"/>
  <c r="CU124" i="6"/>
  <c r="AI126" i="6"/>
  <c r="BG127" i="6"/>
  <c r="AY128" i="6"/>
  <c r="O130" i="6"/>
  <c r="S133" i="6"/>
  <c r="BC135" i="6"/>
  <c r="S136" i="6"/>
  <c r="BO136" i="6"/>
  <c r="CU136" i="6"/>
  <c r="AU137" i="6"/>
  <c r="W138" i="6"/>
  <c r="BC138" i="6"/>
  <c r="BS138" i="6"/>
  <c r="CA139" i="6"/>
  <c r="AI141" i="6"/>
  <c r="AA142" i="6"/>
  <c r="CI143" i="6"/>
  <c r="BW148" i="6"/>
  <c r="CE149" i="6"/>
  <c r="AE150" i="6"/>
  <c r="S153" i="6"/>
  <c r="AU154" i="6"/>
  <c r="CM155" i="6"/>
  <c r="BS156" i="6"/>
  <c r="AY157" i="6"/>
  <c r="BO157" i="6"/>
  <c r="CE157" i="6"/>
  <c r="CU157" i="6"/>
  <c r="G143" i="6"/>
  <c r="AM143" i="6"/>
  <c r="AI144" i="6"/>
  <c r="CA144" i="6"/>
  <c r="AE147" i="6"/>
  <c r="BS152" i="6"/>
  <c r="BO153" i="6"/>
  <c r="CU153" i="6"/>
  <c r="BO128" i="6"/>
  <c r="CE128" i="6"/>
  <c r="CU128" i="6"/>
  <c r="BG129" i="6"/>
  <c r="S130" i="6"/>
  <c r="K132" i="6"/>
  <c r="AQ132" i="6"/>
  <c r="BG132" i="6"/>
  <c r="G133" i="6"/>
  <c r="AY133" i="6"/>
  <c r="CU133" i="6"/>
  <c r="BK134" i="6"/>
  <c r="AA135" i="6"/>
  <c r="AQ135" i="6"/>
  <c r="BG135" i="6"/>
  <c r="AY136" i="6"/>
  <c r="K138" i="6"/>
  <c r="S139" i="6"/>
  <c r="BO139" i="6"/>
  <c r="CE139" i="6"/>
  <c r="O140" i="6"/>
  <c r="BO141" i="6"/>
  <c r="CA142" i="6"/>
  <c r="AA143" i="6"/>
  <c r="BS143" i="6"/>
  <c r="CU144" i="6"/>
  <c r="G146" i="6"/>
  <c r="AM146" i="6"/>
  <c r="CI146" i="6"/>
  <c r="W149" i="6"/>
  <c r="BC149" i="6"/>
  <c r="CY149" i="6"/>
  <c r="S150" i="6"/>
  <c r="CE150" i="6"/>
  <c r="BK151" i="6"/>
  <c r="BG152" i="6"/>
  <c r="AI154" i="6"/>
  <c r="AY154" i="6"/>
  <c r="AE5" i="6"/>
  <c r="BC6" i="6"/>
  <c r="CM6" i="6"/>
  <c r="O6" i="6"/>
  <c r="AE6" i="6"/>
  <c r="BK6" i="6"/>
  <c r="CA6" i="6"/>
  <c r="K7" i="6"/>
  <c r="AA7" i="6"/>
  <c r="AI8" i="6"/>
  <c r="BO8" i="6"/>
  <c r="CE8" i="6"/>
  <c r="O9" i="6"/>
  <c r="AE9" i="6"/>
  <c r="BK9" i="6"/>
  <c r="CA9" i="6"/>
  <c r="K10" i="6"/>
  <c r="AA10" i="6"/>
  <c r="BG10" i="6"/>
  <c r="BW10" i="6"/>
  <c r="W11" i="6"/>
  <c r="BC11" i="6"/>
  <c r="BS11" i="6"/>
  <c r="CY11" i="6"/>
  <c r="S12" i="6"/>
  <c r="AY12" i="6"/>
  <c r="BO12" i="6"/>
  <c r="CU12" i="6"/>
  <c r="O13" i="6"/>
  <c r="AU13" i="6"/>
  <c r="BK13" i="6"/>
  <c r="K14" i="6"/>
  <c r="BG23" i="6"/>
  <c r="AA20" i="6"/>
  <c r="AQ5" i="6"/>
  <c r="W6" i="6"/>
  <c r="BS6" i="6"/>
  <c r="AA8" i="6"/>
  <c r="O18" i="6"/>
  <c r="AU18" i="6"/>
  <c r="O20" i="6"/>
  <c r="AQ21" i="6"/>
  <c r="CI21" i="6"/>
  <c r="BS24" i="6"/>
  <c r="S26" i="6"/>
  <c r="AY26" i="6"/>
  <c r="CE26" i="6"/>
  <c r="CY27" i="6"/>
  <c r="BK31" i="6"/>
  <c r="CA31" i="6"/>
  <c r="BK35" i="6"/>
  <c r="CA35" i="6"/>
  <c r="S42" i="6"/>
  <c r="W13" i="6"/>
  <c r="AM13" i="6"/>
  <c r="BS13" i="6"/>
  <c r="CI13" i="6"/>
  <c r="S14" i="6"/>
  <c r="AI14" i="6"/>
  <c r="BO14" i="6"/>
  <c r="CE14" i="6"/>
  <c r="O15" i="6"/>
  <c r="AE15" i="6"/>
  <c r="BK15" i="6"/>
  <c r="CA15" i="6"/>
  <c r="K16" i="6"/>
  <c r="AA16" i="6"/>
  <c r="BG16" i="6"/>
  <c r="BW16" i="6"/>
  <c r="AA24" i="6"/>
  <c r="CM41" i="6"/>
  <c r="CY9" i="6"/>
  <c r="AI10" i="6"/>
  <c r="AY10" i="6"/>
  <c r="CU10" i="6"/>
  <c r="AI25" i="6"/>
  <c r="G26" i="6"/>
  <c r="BW41" i="6"/>
  <c r="S18" i="6"/>
  <c r="S23" i="6"/>
  <c r="AA6" i="6"/>
  <c r="AQ6" i="6"/>
  <c r="BW6" i="6"/>
  <c r="G7" i="6"/>
  <c r="CE7" i="6"/>
  <c r="CU7" i="6"/>
  <c r="AE8" i="6"/>
  <c r="BK8" i="6"/>
  <c r="K9" i="6"/>
  <c r="BG9" i="6"/>
  <c r="BC10" i="6"/>
  <c r="CY10" i="6"/>
  <c r="AY11" i="6"/>
  <c r="CU11" i="6"/>
  <c r="BW19" i="6"/>
  <c r="BW24" i="6"/>
  <c r="G25" i="6"/>
  <c r="G28" i="6"/>
  <c r="CI30" i="6"/>
  <c r="AI7" i="6"/>
  <c r="BG8" i="6"/>
  <c r="CM8" i="6"/>
  <c r="AM9" i="6"/>
  <c r="BC9" i="6"/>
  <c r="CI9" i="6"/>
  <c r="BS10" i="6"/>
  <c r="G14" i="6"/>
  <c r="BC14" i="6"/>
  <c r="CY14" i="6"/>
  <c r="AY15" i="6"/>
  <c r="CU15" i="6"/>
  <c r="AU16" i="6"/>
  <c r="AQ17" i="6"/>
  <c r="W18" i="6"/>
  <c r="K26" i="6"/>
  <c r="AM7" i="6"/>
  <c r="K22" i="6"/>
  <c r="BG22" i="6"/>
  <c r="G23" i="6"/>
  <c r="BK24" i="6"/>
  <c r="K30" i="6"/>
  <c r="AA30" i="6"/>
  <c r="S41" i="6"/>
  <c r="AI11" i="6"/>
  <c r="CE11" i="6"/>
  <c r="AE12" i="6"/>
  <c r="CA12" i="6"/>
  <c r="AA13" i="6"/>
  <c r="BW13" i="6"/>
  <c r="BG20" i="6"/>
  <c r="BW20" i="6"/>
  <c r="S21" i="6"/>
  <c r="CE21" i="6"/>
  <c r="AE22" i="6"/>
  <c r="AA23" i="6"/>
  <c r="CY23" i="6"/>
  <c r="AA25" i="6"/>
  <c r="O26" i="6"/>
  <c r="BO27" i="6"/>
  <c r="W29" i="6"/>
  <c r="AY29" i="6"/>
  <c r="CM40" i="6"/>
  <c r="G17" i="6"/>
  <c r="W17" i="6"/>
  <c r="BC17" i="6"/>
  <c r="BS17" i="6"/>
  <c r="CA18" i="6"/>
  <c r="AQ9" i="6"/>
  <c r="CM9" i="6"/>
  <c r="AM10" i="6"/>
  <c r="G18" i="6"/>
  <c r="CY20" i="6"/>
  <c r="G29" i="6"/>
  <c r="AE11" i="6"/>
  <c r="AU11" i="6"/>
  <c r="CA11" i="6"/>
  <c r="AA12" i="6"/>
  <c r="AQ12" i="6"/>
  <c r="BW12" i="6"/>
  <c r="BS7" i="6"/>
  <c r="CI7" i="6"/>
  <c r="S8" i="6"/>
  <c r="BG25" i="6"/>
  <c r="AM27" i="6"/>
  <c r="CI10" i="6"/>
  <c r="BC5" i="6"/>
  <c r="W19" i="6"/>
  <c r="AY22" i="6"/>
  <c r="BK40" i="6"/>
  <c r="AQ7" i="6"/>
  <c r="G22" i="6"/>
  <c r="CE22" i="6"/>
  <c r="BW23" i="6"/>
  <c r="CM23" i="6"/>
  <c r="AY24" i="6"/>
  <c r="AA27" i="6"/>
  <c r="K28" i="6"/>
  <c r="BO29" i="6"/>
  <c r="S6" i="6"/>
  <c r="AI6" i="6"/>
  <c r="BO6" i="6"/>
  <c r="BG7" i="6"/>
  <c r="BW7" i="6"/>
  <c r="W8" i="6"/>
  <c r="CI8" i="6"/>
  <c r="AI9" i="6"/>
  <c r="CE9" i="6"/>
  <c r="AE10" i="6"/>
  <c r="CA10" i="6"/>
  <c r="AA11" i="6"/>
  <c r="BW11" i="6"/>
  <c r="W12" i="6"/>
  <c r="BS12" i="6"/>
  <c r="S13" i="6"/>
  <c r="BO13" i="6"/>
  <c r="O14" i="6"/>
  <c r="BK14" i="6"/>
  <c r="K15" i="6"/>
  <c r="G16" i="6"/>
  <c r="BC16" i="6"/>
  <c r="CY16" i="6"/>
  <c r="AY17" i="6"/>
  <c r="BG18" i="6"/>
  <c r="CA19" i="6"/>
  <c r="CM19" i="6"/>
  <c r="AM20" i="6"/>
  <c r="O21" i="6"/>
  <c r="BK21" i="6"/>
  <c r="CU22" i="6"/>
  <c r="AE23" i="6"/>
  <c r="W24" i="6"/>
  <c r="W25" i="6"/>
  <c r="CE25" i="6"/>
  <c r="BS26" i="6"/>
  <c r="CU26" i="6"/>
  <c r="CE27" i="6"/>
  <c r="CE28" i="6"/>
  <c r="CU29" i="6"/>
  <c r="O30" i="6"/>
  <c r="BS37" i="6"/>
  <c r="CE42" i="6"/>
  <c r="AQ43" i="6"/>
  <c r="AI46" i="6"/>
  <c r="O7" i="6"/>
  <c r="AE7" i="6"/>
  <c r="AU7" i="6"/>
  <c r="BC8" i="6"/>
  <c r="CY8" i="6"/>
  <c r="AY9" i="6"/>
  <c r="CU9" i="6"/>
  <c r="AU10" i="6"/>
  <c r="AQ11" i="6"/>
  <c r="CM11" i="6"/>
  <c r="AM12" i="6"/>
  <c r="CI12" i="6"/>
  <c r="AI13" i="6"/>
  <c r="CE13" i="6"/>
  <c r="AE14" i="6"/>
  <c r="CA14" i="6"/>
  <c r="AA15" i="6"/>
  <c r="BW15" i="6"/>
  <c r="W16" i="6"/>
  <c r="BS16" i="6"/>
  <c r="S17" i="6"/>
  <c r="BO17" i="6"/>
  <c r="BW18" i="6"/>
  <c r="BK19" i="6"/>
  <c r="AA22" i="6"/>
  <c r="BC22" i="6"/>
  <c r="BS22" i="6"/>
  <c r="CI22" i="6"/>
  <c r="AM24" i="6"/>
  <c r="CE24" i="6"/>
  <c r="K25" i="6"/>
  <c r="BC25" i="6"/>
  <c r="AM26" i="6"/>
  <c r="BC26" i="6"/>
  <c r="BS27" i="6"/>
  <c r="CU27" i="6"/>
  <c r="BC29" i="6"/>
  <c r="BS29" i="6"/>
  <c r="BK30" i="6"/>
  <c r="G36" i="6"/>
  <c r="W36" i="6"/>
  <c r="BO36" i="6"/>
  <c r="CY37" i="6"/>
  <c r="AI38" i="6"/>
  <c r="CU41" i="6"/>
  <c r="BG43" i="6"/>
  <c r="AU45" i="6"/>
  <c r="BK45" i="6"/>
  <c r="AQ28" i="6"/>
  <c r="CI28" i="6"/>
  <c r="AA29" i="6"/>
  <c r="CA30" i="6"/>
  <c r="BW32" i="6"/>
  <c r="S33" i="6"/>
  <c r="CA33" i="6"/>
  <c r="O35" i="6"/>
  <c r="BW35" i="6"/>
  <c r="BW37" i="6"/>
  <c r="AE41" i="6"/>
  <c r="O42" i="6"/>
  <c r="CI42" i="6"/>
  <c r="CM44" i="6"/>
  <c r="AM46" i="6"/>
  <c r="AA47" i="6"/>
  <c r="BC47" i="6"/>
  <c r="BS47" i="6"/>
  <c r="AA52" i="6"/>
  <c r="CU24" i="6"/>
  <c r="BS25" i="6"/>
  <c r="AQ26" i="6"/>
  <c r="BG26" i="6"/>
  <c r="BW26" i="6"/>
  <c r="AU27" i="6"/>
  <c r="AQ29" i="6"/>
  <c r="CY29" i="6"/>
  <c r="AI30" i="6"/>
  <c r="AA31" i="6"/>
  <c r="BC31" i="6"/>
  <c r="AA34" i="6"/>
  <c r="BS34" i="6"/>
  <c r="CI34" i="6"/>
  <c r="AE35" i="6"/>
  <c r="AU35" i="6"/>
  <c r="BC36" i="6"/>
  <c r="AE37" i="6"/>
  <c r="CY41" i="6"/>
  <c r="BK43" i="6"/>
  <c r="G45" i="6"/>
  <c r="AY45" i="6"/>
  <c r="G51" i="6"/>
  <c r="BW42" i="6"/>
  <c r="CI46" i="6"/>
  <c r="O47" i="6"/>
  <c r="AE52" i="6"/>
  <c r="AU12" i="6"/>
  <c r="AQ13" i="6"/>
  <c r="CM13" i="6"/>
  <c r="AM14" i="6"/>
  <c r="CI14" i="6"/>
  <c r="AI15" i="6"/>
  <c r="CE15" i="6"/>
  <c r="AE16" i="6"/>
  <c r="CA16" i="6"/>
  <c r="AA17" i="6"/>
  <c r="BW17" i="6"/>
  <c r="AY18" i="6"/>
  <c r="K19" i="6"/>
  <c r="AU20" i="6"/>
  <c r="CM20" i="6"/>
  <c r="G21" i="6"/>
  <c r="AM21" i="6"/>
  <c r="AU22" i="6"/>
  <c r="BK22" i="6"/>
  <c r="O24" i="6"/>
  <c r="AE24" i="6"/>
  <c r="CM26" i="6"/>
  <c r="BK27" i="6"/>
  <c r="AU28" i="6"/>
  <c r="S29" i="6"/>
  <c r="CM29" i="6"/>
  <c r="CU30" i="6"/>
  <c r="CM31" i="6"/>
  <c r="AI32" i="6"/>
  <c r="AY32" i="6"/>
  <c r="CA32" i="6"/>
  <c r="AM33" i="6"/>
  <c r="CU33" i="6"/>
  <c r="BG34" i="6"/>
  <c r="S35" i="6"/>
  <c r="G41" i="6"/>
  <c r="BO44" i="6"/>
  <c r="CE45" i="6"/>
  <c r="CY19" i="6"/>
  <c r="BC21" i="6"/>
  <c r="CY21" i="6"/>
  <c r="CA22" i="6"/>
  <c r="W27" i="6"/>
  <c r="AY27" i="6"/>
  <c r="CM28" i="6"/>
  <c r="BK29" i="6"/>
  <c r="AM30" i="6"/>
  <c r="BC30" i="6"/>
  <c r="BS30" i="6"/>
  <c r="AE31" i="6"/>
  <c r="AE34" i="6"/>
  <c r="CU35" i="6"/>
  <c r="O36" i="6"/>
  <c r="CM36" i="6"/>
  <c r="BK39" i="6"/>
  <c r="W41" i="6"/>
  <c r="CA41" i="6"/>
  <c r="K44" i="6"/>
  <c r="AQ49" i="6"/>
  <c r="AI50" i="6"/>
  <c r="AA33" i="6"/>
  <c r="AQ33" i="6"/>
  <c r="CY33" i="6"/>
  <c r="AU34" i="6"/>
  <c r="BK34" i="6"/>
  <c r="CA34" i="6"/>
  <c r="W35" i="6"/>
  <c r="AQ38" i="6"/>
  <c r="BG38" i="6"/>
  <c r="S39" i="6"/>
  <c r="CA42" i="6"/>
  <c r="K43" i="6"/>
  <c r="BO43" i="6"/>
  <c r="CE43" i="6"/>
  <c r="BS44" i="6"/>
  <c r="K45" i="6"/>
  <c r="BG46" i="6"/>
  <c r="BW46" i="6"/>
  <c r="AI47" i="6"/>
  <c r="G48" i="6"/>
  <c r="AM32" i="6"/>
  <c r="BG33" i="6"/>
  <c r="BC35" i="6"/>
  <c r="BS35" i="6"/>
  <c r="AM37" i="6"/>
  <c r="BO39" i="6"/>
  <c r="CE39" i="6"/>
  <c r="CE41" i="6"/>
  <c r="K32" i="6"/>
  <c r="BC32" i="6"/>
  <c r="AY34" i="6"/>
  <c r="S36" i="6"/>
  <c r="AI36" i="6"/>
  <c r="CA36" i="6"/>
  <c r="BC37" i="6"/>
  <c r="CE37" i="6"/>
  <c r="CU37" i="6"/>
  <c r="AU38" i="6"/>
  <c r="AY39" i="6"/>
  <c r="CE40" i="6"/>
  <c r="AA41" i="6"/>
  <c r="BS43" i="6"/>
  <c r="O44" i="6"/>
  <c r="AE46" i="6"/>
  <c r="AU46" i="6"/>
  <c r="BK49" i="6"/>
  <c r="BS50" i="6"/>
  <c r="BG14" i="6"/>
  <c r="CM14" i="6"/>
  <c r="G15" i="6"/>
  <c r="AM15" i="6"/>
  <c r="BC15" i="6"/>
  <c r="CI15" i="6"/>
  <c r="CY15" i="6"/>
  <c r="AI16" i="6"/>
  <c r="AY16" i="6"/>
  <c r="CE16" i="6"/>
  <c r="CU16" i="6"/>
  <c r="AE17" i="6"/>
  <c r="AU17" i="6"/>
  <c r="CA17" i="6"/>
  <c r="CI18" i="6"/>
  <c r="AE19" i="6"/>
  <c r="CE20" i="6"/>
  <c r="CM21" i="6"/>
  <c r="S22" i="6"/>
  <c r="AI22" i="6"/>
  <c r="BC23" i="6"/>
  <c r="BS23" i="6"/>
  <c r="CI23" i="6"/>
  <c r="BG24" i="6"/>
  <c r="AU25" i="6"/>
  <c r="BK26" i="6"/>
  <c r="CA26" i="6"/>
  <c r="AI27" i="6"/>
  <c r="S28" i="6"/>
  <c r="AE29" i="6"/>
  <c r="BW29" i="6"/>
  <c r="K31" i="6"/>
  <c r="AA32" i="6"/>
  <c r="AQ32" i="6"/>
  <c r="CI32" i="6"/>
  <c r="CI33" i="6"/>
  <c r="S34" i="6"/>
  <c r="CE35" i="6"/>
  <c r="AA36" i="6"/>
  <c r="CY36" i="6"/>
  <c r="CA38" i="6"/>
  <c r="AM39" i="6"/>
  <c r="BC39" i="6"/>
  <c r="BS39" i="6"/>
  <c r="CU39" i="6"/>
  <c r="O40" i="6"/>
  <c r="AQ40" i="6"/>
  <c r="AY41" i="6"/>
  <c r="BK42" i="6"/>
  <c r="K46" i="6"/>
  <c r="CA46" i="6"/>
  <c r="G47" i="6"/>
  <c r="BK47" i="6"/>
  <c r="CM47" i="6"/>
  <c r="BK48" i="6"/>
  <c r="S49" i="6"/>
  <c r="BK50" i="6"/>
  <c r="CM50" i="6"/>
  <c r="BW51" i="6"/>
  <c r="AE53" i="6"/>
  <c r="CI53" i="6"/>
  <c r="CY53" i="6"/>
  <c r="S54" i="6"/>
  <c r="BW56" i="6"/>
  <c r="AU57" i="6"/>
  <c r="AU51" i="6"/>
  <c r="BK51" i="6"/>
  <c r="AU52" i="6"/>
  <c r="CY52" i="6"/>
  <c r="CA54" i="6"/>
  <c r="G55" i="6"/>
  <c r="CI66" i="6"/>
  <c r="CM67" i="6"/>
  <c r="CE68" i="6"/>
  <c r="BW69" i="6"/>
  <c r="CA70" i="6"/>
  <c r="CE30" i="6"/>
  <c r="O31" i="6"/>
  <c r="BS31" i="6"/>
  <c r="CI31" i="6"/>
  <c r="AU32" i="6"/>
  <c r="AU33" i="6"/>
  <c r="CM33" i="6"/>
  <c r="G34" i="6"/>
  <c r="BO34" i="6"/>
  <c r="K35" i="6"/>
  <c r="AE36" i="6"/>
  <c r="BK37" i="6"/>
  <c r="G38" i="6"/>
  <c r="BO38" i="6"/>
  <c r="CI39" i="6"/>
  <c r="AI43" i="6"/>
  <c r="AE44" i="6"/>
  <c r="CU45" i="6"/>
  <c r="CE46" i="6"/>
  <c r="G49" i="6"/>
  <c r="W49" i="6"/>
  <c r="CA49" i="6"/>
  <c r="CI45" i="6"/>
  <c r="AY48" i="6"/>
  <c r="AM49" i="6"/>
  <c r="AY51" i="6"/>
  <c r="AI52" i="6"/>
  <c r="AA55" i="6"/>
  <c r="BC55" i="6"/>
  <c r="BK56" i="6"/>
  <c r="G33" i="6"/>
  <c r="AI33" i="6"/>
  <c r="W34" i="6"/>
  <c r="CU34" i="6"/>
  <c r="AI37" i="6"/>
  <c r="AY37" i="6"/>
  <c r="K38" i="6"/>
  <c r="AA38" i="6"/>
  <c r="BS38" i="6"/>
  <c r="BW39" i="6"/>
  <c r="AU40" i="6"/>
  <c r="AQ41" i="6"/>
  <c r="W43" i="6"/>
  <c r="CM43" i="6"/>
  <c r="S44" i="6"/>
  <c r="CI44" i="6"/>
  <c r="BS45" i="6"/>
  <c r="BC46" i="6"/>
  <c r="BO47" i="6"/>
  <c r="K48" i="6"/>
  <c r="CE48" i="6"/>
  <c r="CA52" i="6"/>
  <c r="AY67" i="6"/>
  <c r="AM70" i="6"/>
  <c r="AM48" i="6"/>
  <c r="BC48" i="6"/>
  <c r="AM50" i="6"/>
  <c r="BC50" i="6"/>
  <c r="AM51" i="6"/>
  <c r="O55" i="6"/>
  <c r="AI56" i="6"/>
  <c r="CI57" i="6"/>
  <c r="BC65" i="6"/>
  <c r="AQ68" i="6"/>
  <c r="AE71" i="6"/>
  <c r="AA48" i="6"/>
  <c r="BC49" i="6"/>
  <c r="BS49" i="6"/>
  <c r="AQ50" i="6"/>
  <c r="BG50" i="6"/>
  <c r="CE53" i="6"/>
  <c r="BS54" i="6"/>
  <c r="BO56" i="6"/>
  <c r="BW57" i="6"/>
  <c r="AQ65" i="6"/>
  <c r="AU66" i="6"/>
  <c r="AM67" i="6"/>
  <c r="AE68" i="6"/>
  <c r="AI69" i="6"/>
  <c r="AA70" i="6"/>
  <c r="BG49" i="6"/>
  <c r="BW49" i="6"/>
  <c r="O50" i="6"/>
  <c r="AE50" i="6"/>
  <c r="BC52" i="6"/>
  <c r="CE71" i="6"/>
  <c r="AM44" i="6"/>
  <c r="S47" i="6"/>
  <c r="CY47" i="6"/>
  <c r="BW48" i="6"/>
  <c r="CY50" i="6"/>
  <c r="CI51" i="6"/>
  <c r="CY51" i="6"/>
  <c r="BS52" i="6"/>
  <c r="AI55" i="6"/>
  <c r="AY55" i="6"/>
  <c r="K56" i="6"/>
  <c r="G66" i="6"/>
  <c r="CM52" i="6"/>
  <c r="G53" i="6"/>
  <c r="CI54" i="6"/>
  <c r="BS55" i="6"/>
  <c r="AI57" i="6"/>
  <c r="CA58" i="6"/>
  <c r="W66" i="6"/>
  <c r="BO67" i="6"/>
  <c r="K69" i="6"/>
  <c r="BC70" i="6"/>
  <c r="CU71" i="6"/>
  <c r="AQ73" i="6"/>
  <c r="CA74" i="6"/>
  <c r="AQ55" i="6"/>
  <c r="AA56" i="6"/>
  <c r="W57" i="6"/>
  <c r="BO58" i="6"/>
  <c r="CY49" i="6"/>
  <c r="S50" i="6"/>
  <c r="CU51" i="6"/>
  <c r="BK53" i="6"/>
  <c r="AU54" i="6"/>
  <c r="BW54" i="6"/>
  <c r="K57" i="6"/>
  <c r="BC58" i="6"/>
  <c r="CU65" i="6"/>
  <c r="AQ67" i="6"/>
  <c r="BO74" i="6"/>
  <c r="CE76" i="6"/>
  <c r="CA53" i="6"/>
  <c r="BK54" i="6"/>
  <c r="AE55" i="6"/>
  <c r="AU55" i="6"/>
  <c r="O56" i="6"/>
  <c r="AE56" i="6"/>
  <c r="CU56" i="6"/>
  <c r="AQ58" i="6"/>
  <c r="CI65" i="6"/>
  <c r="AE67" i="6"/>
  <c r="BW68" i="6"/>
  <c r="S70" i="6"/>
  <c r="BK71" i="6"/>
  <c r="G73" i="6"/>
  <c r="BO75" i="6"/>
  <c r="BW77" i="6"/>
  <c r="BW65" i="6"/>
  <c r="S67" i="6"/>
  <c r="BK68" i="6"/>
  <c r="G70" i="6"/>
  <c r="AY71" i="6"/>
  <c r="AA74" i="6"/>
  <c r="AM75" i="6"/>
  <c r="AQ92" i="6"/>
  <c r="S56" i="6"/>
  <c r="G58" i="6"/>
  <c r="BG39" i="6"/>
  <c r="AE40" i="6"/>
  <c r="BG40" i="6"/>
  <c r="AM41" i="6"/>
  <c r="BC41" i="6"/>
  <c r="AY42" i="6"/>
  <c r="AU43" i="6"/>
  <c r="AA44" i="6"/>
  <c r="AQ44" i="6"/>
  <c r="AM45" i="6"/>
  <c r="G46" i="6"/>
  <c r="AE47" i="6"/>
  <c r="O48" i="6"/>
  <c r="CU48" i="6"/>
  <c r="BO49" i="6"/>
  <c r="CE49" i="6"/>
  <c r="AY50" i="6"/>
  <c r="BO50" i="6"/>
  <c r="K54" i="6"/>
  <c r="W55" i="6"/>
  <c r="CM55" i="6"/>
  <c r="G56" i="6"/>
  <c r="CM56" i="6"/>
  <c r="AM65" i="6"/>
  <c r="CE66" i="6"/>
  <c r="AA68" i="6"/>
  <c r="BS69" i="6"/>
  <c r="O71" i="6"/>
  <c r="BG72" i="6"/>
  <c r="CY73" i="6"/>
  <c r="AQ75" i="6"/>
  <c r="AQ53" i="6"/>
  <c r="AA54" i="6"/>
  <c r="K55" i="6"/>
  <c r="BS66" i="6"/>
  <c r="O68" i="6"/>
  <c r="BG69" i="6"/>
  <c r="CY70" i="6"/>
  <c r="AU72" i="6"/>
  <c r="CM73" i="6"/>
  <c r="BG74" i="6"/>
  <c r="O54" i="6"/>
  <c r="CA56" i="6"/>
  <c r="BG66" i="6"/>
  <c r="CY67" i="6"/>
  <c r="AU69" i="6"/>
  <c r="CM70" i="6"/>
  <c r="AI72" i="6"/>
  <c r="CA73" i="6"/>
  <c r="BC75" i="6"/>
  <c r="CU76" i="6"/>
  <c r="AQ78" i="6"/>
  <c r="CI79" i="6"/>
  <c r="S81" i="6"/>
  <c r="BO83" i="6"/>
  <c r="CU87" i="6"/>
  <c r="AE92" i="6"/>
  <c r="AY102" i="6"/>
  <c r="AE75" i="6"/>
  <c r="BW76" i="6"/>
  <c r="S78" i="6"/>
  <c r="S80" i="6"/>
  <c r="W85" i="6"/>
  <c r="BC89" i="6"/>
  <c r="AM76" i="6"/>
  <c r="AA83" i="6"/>
  <c r="S84" i="6"/>
  <c r="BG87" i="6"/>
  <c r="AY88" i="6"/>
  <c r="CM91" i="6"/>
  <c r="AM96" i="6"/>
  <c r="CE74" i="6"/>
  <c r="AA76" i="6"/>
  <c r="BS77" i="6"/>
  <c r="BS74" i="6"/>
  <c r="O76" i="6"/>
  <c r="BG77" i="6"/>
  <c r="AY78" i="6"/>
  <c r="CA78" i="6"/>
  <c r="BC80" i="6"/>
  <c r="O83" i="6"/>
  <c r="AU87" i="6"/>
  <c r="CA91" i="6"/>
  <c r="AM94" i="6"/>
  <c r="W96" i="6"/>
  <c r="CY75" i="6"/>
  <c r="AU77" i="6"/>
  <c r="BO79" i="6"/>
  <c r="AA80" i="6"/>
  <c r="W82" i="6"/>
  <c r="BC86" i="6"/>
  <c r="CI90" i="6"/>
  <c r="K96" i="6"/>
  <c r="CA105" i="6"/>
  <c r="CM75" i="6"/>
  <c r="AI77" i="6"/>
  <c r="AM79" i="6"/>
  <c r="AE81" i="6"/>
  <c r="BS84" i="6"/>
  <c r="BK85" i="6"/>
  <c r="CY88" i="6"/>
  <c r="AI93" i="6"/>
  <c r="AQ100" i="6"/>
  <c r="BC103" i="6"/>
  <c r="AY79" i="6"/>
  <c r="AM82" i="6"/>
  <c r="CE83" i="6"/>
  <c r="AA85" i="6"/>
  <c r="BS86" i="6"/>
  <c r="O88" i="6"/>
  <c r="BG89" i="6"/>
  <c r="O91" i="6"/>
  <c r="BG92" i="6"/>
  <c r="CY93" i="6"/>
  <c r="AQ96" i="6"/>
  <c r="BO97" i="6"/>
  <c r="CU97" i="6"/>
  <c r="CU98" i="6"/>
  <c r="AA79" i="6"/>
  <c r="BS80" i="6"/>
  <c r="O82" i="6"/>
  <c r="BG83" i="6"/>
  <c r="CY84" i="6"/>
  <c r="AU86" i="6"/>
  <c r="CM87" i="6"/>
  <c r="AI89" i="6"/>
  <c r="CA90" i="6"/>
  <c r="AI92" i="6"/>
  <c r="CA93" i="6"/>
  <c r="BC97" i="6"/>
  <c r="CI97" i="6"/>
  <c r="CM99" i="6"/>
  <c r="AA105" i="6"/>
  <c r="BO90" i="6"/>
  <c r="W92" i="6"/>
  <c r="AI114" i="6"/>
  <c r="AE117" i="6"/>
  <c r="CY78" i="6"/>
  <c r="AU80" i="6"/>
  <c r="CM81" i="6"/>
  <c r="AI83" i="6"/>
  <c r="CA84" i="6"/>
  <c r="AQ97" i="6"/>
  <c r="CM78" i="6"/>
  <c r="AI80" i="6"/>
  <c r="CA81" i="6"/>
  <c r="W83" i="6"/>
  <c r="BO84" i="6"/>
  <c r="K86" i="6"/>
  <c r="BC87" i="6"/>
  <c r="CU88" i="6"/>
  <c r="AQ90" i="6"/>
  <c r="CU91" i="6"/>
  <c r="AQ93" i="6"/>
  <c r="AU97" i="6"/>
  <c r="CM102" i="6"/>
  <c r="CY112" i="6"/>
  <c r="BO78" i="6"/>
  <c r="K80" i="6"/>
  <c r="BC81" i="6"/>
  <c r="CU82" i="6"/>
  <c r="AQ84" i="6"/>
  <c r="CI85" i="6"/>
  <c r="AE87" i="6"/>
  <c r="BW88" i="6"/>
  <c r="S90" i="6"/>
  <c r="BW91" i="6"/>
  <c r="S93" i="6"/>
  <c r="AM99" i="6"/>
  <c r="BO100" i="6"/>
  <c r="CU104" i="6"/>
  <c r="CU79" i="6"/>
  <c r="AQ81" i="6"/>
  <c r="CI82" i="6"/>
  <c r="AE84" i="6"/>
  <c r="BW85" i="6"/>
  <c r="S87" i="6"/>
  <c r="BK88" i="6"/>
  <c r="G90" i="6"/>
  <c r="BK91" i="6"/>
  <c r="G93" i="6"/>
  <c r="AY94" i="6"/>
  <c r="AI96" i="6"/>
  <c r="S97" i="6"/>
  <c r="CE113" i="6"/>
  <c r="BG116" i="6"/>
  <c r="K99" i="6"/>
  <c r="BC100" i="6"/>
  <c r="CU101" i="6"/>
  <c r="AQ103" i="6"/>
  <c r="CI104" i="6"/>
  <c r="BW111" i="6"/>
  <c r="S113" i="6"/>
  <c r="BK114" i="6"/>
  <c r="CY114" i="6"/>
  <c r="BW115" i="6"/>
  <c r="AU116" i="6"/>
  <c r="S117" i="6"/>
  <c r="CI101" i="6"/>
  <c r="AE103" i="6"/>
  <c r="BW104" i="6"/>
  <c r="BK111" i="6"/>
  <c r="G113" i="6"/>
  <c r="AU115" i="6"/>
  <c r="BK117" i="6"/>
  <c r="AI118" i="6"/>
  <c r="CI98" i="6"/>
  <c r="AE100" i="6"/>
  <c r="BW101" i="6"/>
  <c r="S103" i="6"/>
  <c r="BK104" i="6"/>
  <c r="AY111" i="6"/>
  <c r="AM114" i="6"/>
  <c r="BK115" i="6"/>
  <c r="AI116" i="6"/>
  <c r="G117" i="6"/>
  <c r="CA117" i="6"/>
  <c r="O121" i="6"/>
  <c r="AY124" i="6"/>
  <c r="AE97" i="6"/>
  <c r="BW98" i="6"/>
  <c r="S100" i="6"/>
  <c r="BK101" i="6"/>
  <c r="G103" i="6"/>
  <c r="AY104" i="6"/>
  <c r="AA114" i="6"/>
  <c r="AI115" i="6"/>
  <c r="G116" i="6"/>
  <c r="CA116" i="6"/>
  <c r="AY117" i="6"/>
  <c r="W118" i="6"/>
  <c r="W119" i="6"/>
  <c r="K120" i="6"/>
  <c r="AA120" i="6"/>
  <c r="O123" i="6"/>
  <c r="BK98" i="6"/>
  <c r="G100" i="6"/>
  <c r="AY101" i="6"/>
  <c r="AM104" i="6"/>
  <c r="CE105" i="6"/>
  <c r="AA111" i="6"/>
  <c r="BS112" i="6"/>
  <c r="O114" i="6"/>
  <c r="AY115" i="6"/>
  <c r="W116" i="6"/>
  <c r="BO117" i="6"/>
  <c r="AM98" i="6"/>
  <c r="CE99" i="6"/>
  <c r="AA101" i="6"/>
  <c r="BS102" i="6"/>
  <c r="O104" i="6"/>
  <c r="BG105" i="6"/>
  <c r="AU112" i="6"/>
  <c r="CM113" i="6"/>
  <c r="AM115" i="6"/>
  <c r="K116" i="6"/>
  <c r="CE116" i="6"/>
  <c r="BC117" i="6"/>
  <c r="AA118" i="6"/>
  <c r="O120" i="6"/>
  <c r="AE120" i="6"/>
  <c r="CE96" i="6"/>
  <c r="AA98" i="6"/>
  <c r="BS99" i="6"/>
  <c r="O101" i="6"/>
  <c r="BG102" i="6"/>
  <c r="CY103" i="6"/>
  <c r="AU105" i="6"/>
  <c r="BS96" i="6"/>
  <c r="O98" i="6"/>
  <c r="W112" i="6"/>
  <c r="BO113" i="6"/>
  <c r="AA115" i="6"/>
  <c r="CU115" i="6"/>
  <c r="BS116" i="6"/>
  <c r="AQ117" i="6"/>
  <c r="O118" i="6"/>
  <c r="BG96" i="6"/>
  <c r="K112" i="6"/>
  <c r="BC113" i="6"/>
  <c r="CU114" i="6"/>
  <c r="BS115" i="6"/>
  <c r="AQ116" i="6"/>
  <c r="O117" i="6"/>
  <c r="CI117" i="6"/>
  <c r="BG118" i="6"/>
  <c r="CI118" i="6"/>
  <c r="BG119" i="6"/>
  <c r="BW119" i="6"/>
  <c r="BK120" i="6"/>
  <c r="CI119" i="6"/>
  <c r="AE121" i="6"/>
  <c r="S121" i="6"/>
  <c r="AM122" i="6"/>
  <c r="BG123" i="6"/>
  <c r="BO124" i="6"/>
  <c r="G126" i="6"/>
  <c r="BO126" i="6"/>
  <c r="AA127" i="6"/>
  <c r="CI127" i="6"/>
  <c r="K137" i="6"/>
  <c r="AA122" i="6"/>
  <c r="AU123" i="6"/>
  <c r="O124" i="6"/>
  <c r="AA125" i="6"/>
  <c r="K126" i="6"/>
  <c r="S128" i="6"/>
  <c r="CA128" i="6"/>
  <c r="CE120" i="6"/>
  <c r="O122" i="6"/>
  <c r="AI123" i="6"/>
  <c r="BS124" i="6"/>
  <c r="BC125" i="6"/>
  <c r="CU126" i="6"/>
  <c r="BG120" i="6"/>
  <c r="CM121" i="6"/>
  <c r="W123" i="6"/>
  <c r="BG125" i="6"/>
  <c r="O126" i="6"/>
  <c r="AQ126" i="6"/>
  <c r="AU120" i="6"/>
  <c r="AI120" i="6"/>
  <c r="CA121" i="6"/>
  <c r="CU122" i="6"/>
  <c r="G124" i="6"/>
  <c r="G136" i="6"/>
  <c r="CM138" i="6"/>
  <c r="AE140" i="6"/>
  <c r="BS141" i="6"/>
  <c r="W120" i="6"/>
  <c r="BO121" i="6"/>
  <c r="CI122" i="6"/>
  <c r="AA123" i="6"/>
  <c r="CM124" i="6"/>
  <c r="AU126" i="6"/>
  <c r="AE129" i="6"/>
  <c r="AM130" i="6"/>
  <c r="BC121" i="6"/>
  <c r="AI122" i="6"/>
  <c r="BW122" i="6"/>
  <c r="BC123" i="6"/>
  <c r="CE123" i="6"/>
  <c r="G125" i="6"/>
  <c r="AI125" i="6"/>
  <c r="CM125" i="6"/>
  <c r="AY127" i="6"/>
  <c r="BS123" i="6"/>
  <c r="O125" i="6"/>
  <c r="BG126" i="6"/>
  <c r="CY127" i="6"/>
  <c r="AU129" i="6"/>
  <c r="CI129" i="6"/>
  <c r="CY130" i="6"/>
  <c r="AI132" i="6"/>
  <c r="CM132" i="6"/>
  <c r="BK133" i="6"/>
  <c r="CA133" i="6"/>
  <c r="S140" i="6"/>
  <c r="BG140" i="6"/>
  <c r="AE141" i="6"/>
  <c r="CI141" i="6"/>
  <c r="BS142" i="6"/>
  <c r="AI146" i="6"/>
  <c r="BW147" i="6"/>
  <c r="O150" i="6"/>
  <c r="AQ152" i="6"/>
  <c r="CM152" i="6"/>
  <c r="AI153" i="6"/>
  <c r="AY153" i="6"/>
  <c r="CE153" i="6"/>
  <c r="BC156" i="6"/>
  <c r="CM127" i="6"/>
  <c r="AI129" i="6"/>
  <c r="AQ130" i="6"/>
  <c r="AU131" i="6"/>
  <c r="S132" i="6"/>
  <c r="BO134" i="6"/>
  <c r="K136" i="6"/>
  <c r="AM136" i="6"/>
  <c r="CA138" i="6"/>
  <c r="BK139" i="6"/>
  <c r="G140" i="6"/>
  <c r="CM140" i="6"/>
  <c r="O142" i="6"/>
  <c r="CU142" i="6"/>
  <c r="AQ143" i="6"/>
  <c r="CE143" i="6"/>
  <c r="BO144" i="6"/>
  <c r="AY145" i="6"/>
  <c r="S147" i="6"/>
  <c r="AY148" i="6"/>
  <c r="K149" i="6"/>
  <c r="AM151" i="6"/>
  <c r="CU151" i="6"/>
  <c r="AU152" i="6"/>
  <c r="AE154" i="6"/>
  <c r="BG154" i="6"/>
  <c r="BW154" i="6"/>
  <c r="G155" i="6"/>
  <c r="BO155" i="6"/>
  <c r="AA156" i="6"/>
  <c r="AQ156" i="6"/>
  <c r="BG156" i="6"/>
  <c r="S157" i="6"/>
  <c r="AI157" i="6"/>
  <c r="AU157" i="6"/>
  <c r="BK157" i="6"/>
  <c r="W126" i="6"/>
  <c r="BO127" i="6"/>
  <c r="K129" i="6"/>
  <c r="CM130" i="6"/>
  <c r="G132" i="6"/>
  <c r="AM132" i="6"/>
  <c r="K133" i="6"/>
  <c r="CE133" i="6"/>
  <c r="AA134" i="6"/>
  <c r="CY136" i="6"/>
  <c r="AE137" i="6"/>
  <c r="O138" i="6"/>
  <c r="BO138" i="6"/>
  <c r="AY139" i="6"/>
  <c r="AI140" i="6"/>
  <c r="CY141" i="6"/>
  <c r="CI142" i="6"/>
  <c r="AE143" i="6"/>
  <c r="AQ144" i="6"/>
  <c r="G147" i="6"/>
  <c r="CM147" i="6"/>
  <c r="CA152" i="6"/>
  <c r="AM153" i="6"/>
  <c r="BS153" i="6"/>
  <c r="CY153" i="6"/>
  <c r="O154" i="6"/>
  <c r="CM156" i="6"/>
  <c r="CY156" i="6"/>
  <c r="CY129" i="6"/>
  <c r="BW130" i="6"/>
  <c r="CE134" i="6"/>
  <c r="AA136" i="6"/>
  <c r="CI136" i="6"/>
  <c r="BS137" i="6"/>
  <c r="W140" i="6"/>
  <c r="G141" i="6"/>
  <c r="BG143" i="6"/>
  <c r="AA145" i="6"/>
  <c r="K146" i="6"/>
  <c r="CE148" i="6"/>
  <c r="CA150" i="6"/>
  <c r="BS151" i="6"/>
  <c r="BS155" i="6"/>
  <c r="AM131" i="6"/>
  <c r="AM133" i="6"/>
  <c r="O134" i="6"/>
  <c r="CI134" i="6"/>
  <c r="AM139" i="6"/>
  <c r="CM141" i="6"/>
  <c r="BW142" i="6"/>
  <c r="AE144" i="6"/>
  <c r="O145" i="6"/>
  <c r="CU145" i="6"/>
  <c r="CA147" i="6"/>
  <c r="BS148" i="6"/>
  <c r="BG151" i="6"/>
  <c r="CI153" i="6"/>
  <c r="AE127" i="6"/>
  <c r="BW128" i="6"/>
  <c r="AI130" i="6"/>
  <c r="BK130" i="6"/>
  <c r="BC131" i="6"/>
  <c r="BS132" i="6"/>
  <c r="AQ133" i="6"/>
  <c r="AE134" i="6"/>
  <c r="AU135" i="6"/>
  <c r="BW135" i="6"/>
  <c r="G137" i="6"/>
  <c r="CI138" i="6"/>
  <c r="K140" i="6"/>
  <c r="AI142" i="6"/>
  <c r="AU143" i="6"/>
  <c r="CY143" i="6"/>
  <c r="BW144" i="6"/>
  <c r="BG145" i="6"/>
  <c r="CE146" i="6"/>
  <c r="AM148" i="6"/>
  <c r="W150" i="6"/>
  <c r="BO150" i="6"/>
  <c r="O151" i="6"/>
  <c r="AA151" i="6"/>
  <c r="CE152" i="6"/>
  <c r="AQ153" i="6"/>
  <c r="CM153" i="6"/>
  <c r="K155" i="6"/>
  <c r="CA156" i="6"/>
  <c r="AE124" i="6"/>
  <c r="BW125" i="6"/>
  <c r="S127" i="6"/>
  <c r="BK128" i="6"/>
  <c r="W130" i="6"/>
  <c r="AA131" i="6"/>
  <c r="CU131" i="6"/>
  <c r="CI132" i="6"/>
  <c r="CY133" i="6"/>
  <c r="AE135" i="6"/>
  <c r="BK135" i="6"/>
  <c r="BW136" i="6"/>
  <c r="AE138" i="6"/>
  <c r="AA139" i="6"/>
  <c r="BC140" i="6"/>
  <c r="CA141" i="6"/>
  <c r="BK142" i="6"/>
  <c r="CM143" i="6"/>
  <c r="S144" i="6"/>
  <c r="CY144" i="6"/>
  <c r="CI145" i="6"/>
  <c r="AE146" i="6"/>
  <c r="BS146" i="6"/>
  <c r="BO147" i="6"/>
  <c r="K148" i="6"/>
  <c r="BG148" i="6"/>
  <c r="CY148" i="6"/>
  <c r="S149" i="6"/>
  <c r="AY149" i="6"/>
  <c r="CU150" i="6"/>
  <c r="AU151" i="6"/>
  <c r="CM151" i="6"/>
  <c r="G152" i="6"/>
  <c r="AM152" i="6"/>
  <c r="W154" i="6"/>
  <c r="O155" i="6"/>
  <c r="AQ155" i="6"/>
  <c r="BW155" i="6"/>
  <c r="CY155" i="6"/>
  <c r="S156" i="6"/>
  <c r="AY156" i="6"/>
  <c r="K157" i="6"/>
  <c r="BS157" i="6"/>
  <c r="AY125" i="6"/>
  <c r="AM128" i="6"/>
  <c r="CE129" i="6"/>
  <c r="K130" i="6"/>
  <c r="AY130" i="6"/>
  <c r="O131" i="6"/>
  <c r="BW132" i="6"/>
  <c r="AE133" i="6"/>
  <c r="CM133" i="6"/>
  <c r="AU134" i="6"/>
  <c r="CM135" i="6"/>
  <c r="O139" i="6"/>
  <c r="BC141" i="6"/>
  <c r="AM142" i="6"/>
  <c r="G144" i="6"/>
  <c r="CM144" i="6"/>
  <c r="BW145" i="6"/>
  <c r="S146" i="6"/>
  <c r="BC147" i="6"/>
  <c r="AI149" i="6"/>
  <c r="CI150" i="6"/>
  <c r="W152" i="6"/>
  <c r="CI152" i="6"/>
  <c r="O153" i="6"/>
  <c r="AE153" i="6"/>
  <c r="BK153" i="6"/>
  <c r="CA153" i="6"/>
  <c r="CE156" i="6"/>
  <c r="AY122" i="6"/>
  <c r="AM125" i="6"/>
  <c r="CE126" i="6"/>
  <c r="AA128" i="6"/>
  <c r="BS129" i="6"/>
  <c r="BC130" i="6"/>
  <c r="AE131" i="6"/>
  <c r="CI131" i="6"/>
  <c r="AU132" i="6"/>
  <c r="CY132" i="6"/>
  <c r="W137" i="6"/>
  <c r="G138" i="6"/>
  <c r="BK138" i="6"/>
  <c r="AU139" i="6"/>
  <c r="CI139" i="6"/>
  <c r="BS140" i="6"/>
  <c r="O141" i="6"/>
  <c r="CU141" i="6"/>
  <c r="W143" i="6"/>
  <c r="AI145" i="6"/>
  <c r="AU146" i="6"/>
  <c r="CY146" i="6"/>
  <c r="AQ147" i="6"/>
  <c r="AU148" i="6"/>
  <c r="G149" i="6"/>
  <c r="AM149" i="6"/>
  <c r="AI151" i="6"/>
  <c r="AA152" i="6"/>
  <c r="CY152" i="6"/>
  <c r="AA154" i="6"/>
  <c r="CI154" i="6"/>
  <c r="AE155" i="6"/>
  <c r="CA155" i="6"/>
  <c r="W156" i="6"/>
  <c r="AM156" i="6"/>
  <c r="O157" i="6"/>
  <c r="BW157" i="6"/>
  <c r="CM157" i="6"/>
  <c r="CA25" i="6"/>
  <c r="BK20" i="6"/>
  <c r="BG15" i="6"/>
  <c r="CY17" i="6"/>
  <c r="BW8" i="6"/>
  <c r="AU9" i="6"/>
  <c r="S10" i="6"/>
  <c r="CM10" i="6"/>
  <c r="BK11" i="6"/>
  <c r="AI12" i="6"/>
  <c r="G13" i="6"/>
  <c r="CA13" i="6"/>
  <c r="AY14" i="6"/>
  <c r="W15" i="6"/>
  <c r="BO16" i="6"/>
  <c r="AM17" i="6"/>
  <c r="K18" i="6"/>
  <c r="AY6" i="6"/>
  <c r="BO18" i="6"/>
  <c r="BO19" i="6"/>
  <c r="AY20" i="6"/>
  <c r="BO22" i="6"/>
  <c r="AY23" i="6"/>
  <c r="K24" i="6"/>
  <c r="BO25" i="6"/>
  <c r="K27" i="6"/>
  <c r="CU17" i="6"/>
  <c r="AA18" i="6"/>
  <c r="BC18" i="6"/>
  <c r="AA19" i="6"/>
  <c r="BO20" i="6"/>
  <c r="AM22" i="6"/>
  <c r="AM23" i="6"/>
  <c r="CE23" i="6"/>
  <c r="CA28" i="6"/>
  <c r="BS20" i="6"/>
  <c r="AA26" i="6"/>
  <c r="BO28" i="6"/>
  <c r="O19" i="6"/>
  <c r="BS19" i="6"/>
  <c r="BC20" i="6"/>
  <c r="CU21" i="6"/>
  <c r="O22" i="6"/>
  <c r="BC28" i="6"/>
  <c r="S16" i="6"/>
  <c r="CU8" i="6"/>
  <c r="BS9" i="6"/>
  <c r="AQ10" i="6"/>
  <c r="O11" i="6"/>
  <c r="CI11" i="6"/>
  <c r="BG12" i="6"/>
  <c r="AE13" i="6"/>
  <c r="CY13" i="6"/>
  <c r="BW14" i="6"/>
  <c r="AU15" i="6"/>
  <c r="CM16" i="6"/>
  <c r="BK17" i="6"/>
  <c r="CU6" i="6"/>
  <c r="AQ8" i="6"/>
  <c r="S19" i="6"/>
  <c r="AE20" i="6"/>
  <c r="CM22" i="6"/>
  <c r="AI24" i="6"/>
  <c r="BW21" i="6"/>
  <c r="G20" i="6"/>
  <c r="AY21" i="6"/>
  <c r="BG30" i="6"/>
  <c r="CM34" i="6"/>
  <c r="AM18" i="6"/>
  <c r="CE19" i="6"/>
  <c r="AA21" i="6"/>
  <c r="CE33" i="6"/>
  <c r="G37" i="6"/>
  <c r="AM35" i="6"/>
  <c r="CY31" i="6"/>
  <c r="K39" i="6"/>
  <c r="AI19" i="6"/>
  <c r="CA20" i="6"/>
  <c r="W22" i="6"/>
  <c r="AA35" i="6"/>
  <c r="BO37" i="6"/>
  <c r="CE36" i="6"/>
  <c r="S37" i="6"/>
  <c r="CU38" i="6"/>
  <c r="AU130" i="6"/>
  <c r="CM131" i="6"/>
  <c r="K139" i="6"/>
  <c r="AI133" i="6"/>
  <c r="CU138" i="6"/>
  <c r="CA131" i="6"/>
  <c r="CA134" i="6"/>
  <c r="W142" i="6"/>
  <c r="BO131" i="6"/>
  <c r="W133" i="6"/>
  <c r="W136" i="6"/>
  <c r="BS139" i="6"/>
  <c r="AA141" i="6"/>
  <c r="CU135" i="6"/>
  <c r="BC137" i="6"/>
  <c r="AQ137" i="6"/>
  <c r="CI147" i="6"/>
  <c r="AA144" i="6"/>
  <c r="S131" i="6"/>
  <c r="BK132" i="6"/>
  <c r="G134" i="6"/>
  <c r="AY135" i="6"/>
  <c r="AM138" i="6"/>
  <c r="CA140" i="6"/>
  <c r="BW153" i="6"/>
  <c r="G131" i="6"/>
  <c r="AY132" i="6"/>
  <c r="AM135" i="6"/>
  <c r="CE136" i="6"/>
  <c r="AA138" i="6"/>
  <c r="CE142" i="6"/>
  <c r="BO143" i="6"/>
  <c r="BS145" i="6"/>
  <c r="BC146" i="6"/>
  <c r="BS149" i="6"/>
  <c r="BK156" i="6"/>
  <c r="CE154" i="6"/>
  <c r="CE130" i="6"/>
  <c r="AA132" i="6"/>
  <c r="BS133" i="6"/>
  <c r="O135" i="6"/>
  <c r="BG136" i="6"/>
  <c r="CY137" i="6"/>
  <c r="BS130" i="6"/>
  <c r="O132" i="6"/>
  <c r="BG133" i="6"/>
  <c r="CY134" i="6"/>
  <c r="AU136" i="6"/>
  <c r="CM137" i="6"/>
  <c r="AI139" i="6"/>
  <c r="AA147" i="6"/>
  <c r="AE149" i="6"/>
  <c r="AU155" i="6"/>
  <c r="CI157" i="6"/>
  <c r="BG130" i="6"/>
  <c r="CY131" i="6"/>
  <c r="AU133" i="6"/>
  <c r="CM134" i="6"/>
  <c r="AI136" i="6"/>
  <c r="CA137" i="6"/>
  <c r="W139" i="6"/>
  <c r="AY141" i="6"/>
  <c r="AM144" i="6"/>
  <c r="AA148" i="6"/>
  <c r="AY150" i="6"/>
  <c r="S155" i="6"/>
  <c r="K145" i="6"/>
  <c r="G150" i="6"/>
  <c r="CM148" i="6"/>
  <c r="AI150" i="6"/>
  <c r="CA151" i="6"/>
  <c r="W153" i="6"/>
  <c r="BO154" i="6"/>
  <c r="K156" i="6"/>
  <c r="BC157" i="6"/>
  <c r="BO148" i="6"/>
  <c r="K150" i="6"/>
  <c r="BC151" i="6"/>
  <c r="CU152" i="6"/>
  <c r="AQ154" i="6"/>
  <c r="CI155" i="6"/>
  <c r="AE157" i="6"/>
  <c r="AQ148" i="6"/>
  <c r="CI149" i="6"/>
  <c r="AE151" i="6"/>
  <c r="BW152" i="6"/>
  <c r="S154" i="6"/>
  <c r="BK155" i="6"/>
  <c r="G157" i="6"/>
  <c r="AE148" i="6"/>
  <c r="BW149" i="6"/>
  <c r="S151" i="6"/>
  <c r="BK152" i="6"/>
  <c r="G154" i="6"/>
  <c r="AY155" i="6"/>
  <c r="AA149" i="6"/>
  <c r="BS150" i="6"/>
  <c r="O152" i="6"/>
  <c r="BG153" i="6"/>
  <c r="CY154" i="6"/>
  <c r="AU156" i="6"/>
  <c r="O149" i="6"/>
  <c r="BG150" i="6"/>
  <c r="CY151" i="6"/>
  <c r="AU153" i="6"/>
  <c r="CM154" i="6"/>
  <c r="AI156" i="6"/>
  <c r="CA157" i="6"/>
  <c r="K5" i="6"/>
  <c r="G5" i="6"/>
  <c r="C111" i="6" l="1"/>
  <c r="C58" i="6"/>
  <c r="C69" i="6"/>
  <c r="C76" i="6"/>
  <c r="C130" i="6"/>
  <c r="C65" i="6"/>
  <c r="C77" i="6"/>
  <c r="C64" i="6"/>
  <c r="C30" i="6"/>
  <c r="C24" i="6"/>
  <c r="C153" i="6"/>
  <c r="C129" i="6"/>
  <c r="C98" i="6"/>
  <c r="C54" i="6"/>
  <c r="C95" i="6"/>
  <c r="C122" i="6"/>
  <c r="C72" i="6"/>
  <c r="C63" i="6"/>
  <c r="C19" i="6"/>
  <c r="C145" i="6"/>
  <c r="C32" i="6"/>
  <c r="C71" i="6"/>
  <c r="C105" i="6"/>
  <c r="C85" i="6"/>
  <c r="C35" i="6"/>
  <c r="C142" i="6"/>
  <c r="C107" i="6"/>
  <c r="C61" i="6"/>
  <c r="C17" i="6"/>
  <c r="C99" i="6"/>
  <c r="C82" i="6"/>
  <c r="C104" i="6"/>
  <c r="C114" i="6"/>
  <c r="C6" i="6"/>
  <c r="C59" i="6"/>
  <c r="C156" i="6"/>
  <c r="C83" i="6"/>
  <c r="C108" i="6"/>
  <c r="C80" i="6"/>
  <c r="C57" i="6"/>
  <c r="C12" i="6"/>
  <c r="C141" i="6"/>
  <c r="C103" i="6"/>
  <c r="C70" i="6"/>
  <c r="C53" i="6"/>
  <c r="C33" i="6"/>
  <c r="C23" i="6"/>
  <c r="C28" i="6"/>
  <c r="C148" i="6"/>
  <c r="C42" i="6"/>
  <c r="C134" i="6"/>
  <c r="C157" i="6"/>
  <c r="C137" i="6"/>
  <c r="C136" i="6"/>
  <c r="C49" i="6"/>
  <c r="C34" i="6"/>
  <c r="C15" i="6"/>
  <c r="C51" i="6"/>
  <c r="C29" i="6"/>
  <c r="C25" i="6"/>
  <c r="C133" i="6"/>
  <c r="C112" i="6"/>
  <c r="C119" i="6"/>
  <c r="C110" i="6"/>
  <c r="C118" i="6"/>
  <c r="C39" i="6"/>
  <c r="C16" i="6"/>
  <c r="C124" i="6"/>
  <c r="C14" i="6"/>
  <c r="C127" i="6"/>
  <c r="C101" i="6"/>
  <c r="C75" i="6"/>
  <c r="C88" i="6"/>
  <c r="C84" i="6"/>
  <c r="C67" i="6"/>
  <c r="C5" i="6"/>
  <c r="C13" i="6"/>
  <c r="C149" i="6"/>
  <c r="C140" i="6"/>
  <c r="C55" i="6"/>
  <c r="C45" i="6"/>
  <c r="C8" i="6"/>
  <c r="C18" i="6"/>
  <c r="C7" i="6"/>
  <c r="C94" i="6"/>
  <c r="C139" i="6"/>
  <c r="C27" i="6"/>
  <c r="C68" i="6"/>
  <c r="C74" i="6"/>
  <c r="C147" i="6"/>
  <c r="C36" i="6"/>
  <c r="C22" i="6"/>
  <c r="C143" i="6"/>
  <c r="C123" i="6"/>
  <c r="C91" i="6"/>
  <c r="C62" i="6"/>
  <c r="C31" i="6"/>
  <c r="C46" i="6"/>
  <c r="C146" i="6"/>
  <c r="C120" i="6"/>
  <c r="C97" i="6"/>
  <c r="C52" i="6"/>
  <c r="C60" i="6"/>
  <c r="C44" i="6"/>
  <c r="C138" i="6"/>
  <c r="C66" i="6"/>
  <c r="C21" i="6"/>
  <c r="C128" i="6"/>
  <c r="C131" i="6"/>
  <c r="C73" i="6"/>
  <c r="C116" i="6"/>
  <c r="C56" i="6"/>
  <c r="C9" i="6"/>
  <c r="C151" i="6"/>
  <c r="C92" i="6"/>
  <c r="C89" i="6"/>
  <c r="C78" i="6"/>
  <c r="C40" i="6"/>
  <c r="C106" i="6"/>
  <c r="C20" i="6"/>
  <c r="C154" i="6"/>
  <c r="C132" i="6"/>
  <c r="C125" i="6"/>
  <c r="C117" i="6"/>
  <c r="C93" i="6"/>
  <c r="C38" i="6"/>
  <c r="C41" i="6"/>
  <c r="C10" i="6"/>
  <c r="C96" i="6"/>
  <c r="C79" i="6"/>
  <c r="C50" i="6"/>
  <c r="C144" i="6"/>
  <c r="C126" i="6"/>
  <c r="C37" i="6"/>
  <c r="C152" i="6"/>
  <c r="C48" i="6"/>
  <c r="C109" i="6"/>
  <c r="C102" i="6"/>
  <c r="C43" i="6"/>
  <c r="C86" i="6"/>
  <c r="C81" i="6"/>
  <c r="C87" i="6"/>
  <c r="C150" i="6"/>
  <c r="C155" i="6"/>
  <c r="C100" i="6"/>
  <c r="C113" i="6"/>
  <c r="C90" i="6"/>
  <c r="C47" i="6"/>
  <c r="C26" i="6"/>
  <c r="C11" i="6"/>
  <c r="C121" i="6"/>
  <c r="C115" i="6"/>
  <c r="C135" i="6"/>
</calcChain>
</file>

<file path=xl/sharedStrings.xml><?xml version="1.0" encoding="utf-8"?>
<sst xmlns="http://schemas.openxmlformats.org/spreadsheetml/2006/main" count="25855" uniqueCount="1747">
  <si>
    <t>aegis</t>
    <phoneticPr fontId="1"/>
  </si>
  <si>
    <t>duel</t>
    <phoneticPr fontId="1"/>
  </si>
  <si>
    <t>blitz</t>
    <phoneticPr fontId="1"/>
  </si>
  <si>
    <t>alert_setting</t>
  </si>
  <si>
    <t>client_mst</t>
  </si>
  <si>
    <t>daily_pdf_tbl</t>
  </si>
  <si>
    <t>eigyokuiki_mst</t>
  </si>
  <si>
    <t>eigyosyo_daily_sales_target</t>
  </si>
  <si>
    <t>eigyosyo_monthly_sales_target</t>
  </si>
  <si>
    <t>jomuin_daily_sales_target</t>
  </si>
  <si>
    <t>jomuin_mst_sales_target</t>
  </si>
  <si>
    <t>kubun_mst</t>
  </si>
  <si>
    <t>service_mst</t>
  </si>
  <si>
    <t>syaryo_mst</t>
  </si>
  <si>
    <t>untentiten_mst</t>
  </si>
  <si>
    <t>判定</t>
    <rPh sb="0" eb="2">
      <t>ハンテイ</t>
    </rPh>
    <phoneticPr fontId="1"/>
  </si>
  <si>
    <t>SELECT</t>
  </si>
  <si>
    <t>FROM</t>
  </si>
  <si>
    <t>cstm_cd</t>
  </si>
  <si>
    <t>eigyosyo_monthly_sales_target</t>
    <phoneticPr fontId="1"/>
  </si>
  <si>
    <t>02000001</t>
  </si>
  <si>
    <t>180</t>
  </si>
  <si>
    <t>2025-02-19 10:15:59</t>
  </si>
  <si>
    <t>02000002</t>
  </si>
  <si>
    <t>120</t>
  </si>
  <si>
    <t>2025-07-04 05:15:07</t>
  </si>
  <si>
    <t>02000003</t>
  </si>
  <si>
    <t>240</t>
  </si>
  <si>
    <t>02000004</t>
  </si>
  <si>
    <t>48</t>
  </si>
  <si>
    <t>2024-01-01 00:00:00</t>
  </si>
  <si>
    <t>02000005</t>
  </si>
  <si>
    <t>24</t>
  </si>
  <si>
    <t>2025-06-18 05:15:08</t>
  </si>
  <si>
    <t>02000011</t>
  </si>
  <si>
    <t>72</t>
  </si>
  <si>
    <t>2024-11-12 16:40:16</t>
  </si>
  <si>
    <t>02000012</t>
  </si>
  <si>
    <t>108</t>
  </si>
  <si>
    <t>2025-02-17 09:37:41</t>
  </si>
  <si>
    <t>02000013</t>
  </si>
  <si>
    <t>02000014</t>
  </si>
  <si>
    <t>02000015</t>
  </si>
  <si>
    <t>2025-02-05 17:41:44</t>
  </si>
  <si>
    <t>02000016</t>
  </si>
  <si>
    <t>60</t>
  </si>
  <si>
    <t>2025-02-09 08:59:58</t>
  </si>
  <si>
    <t>02000017</t>
  </si>
  <si>
    <t>02000018</t>
  </si>
  <si>
    <t>2025-02-07 09:49:04</t>
  </si>
  <si>
    <t>02000019</t>
  </si>
  <si>
    <t>2024-12-06 18:29:50</t>
  </si>
  <si>
    <t>02000020</t>
  </si>
  <si>
    <t>02000021</t>
  </si>
  <si>
    <t>02000022</t>
  </si>
  <si>
    <t>36</t>
  </si>
  <si>
    <t>2024-10-02 19:19:56</t>
  </si>
  <si>
    <t>02000023</t>
  </si>
  <si>
    <t>2024-11-07 16:35:48</t>
  </si>
  <si>
    <t>02000025</t>
  </si>
  <si>
    <t>2025-01-09 07:07:37</t>
  </si>
  <si>
    <t>02000026</t>
  </si>
  <si>
    <t>228</t>
  </si>
  <si>
    <t>2025-02-04 08:27:45</t>
  </si>
  <si>
    <t>02000027</t>
  </si>
  <si>
    <t>2025-02-11 13:40:42</t>
  </si>
  <si>
    <t>02000028</t>
  </si>
  <si>
    <t>2025-02-06 13:59:58</t>
  </si>
  <si>
    <t>02000029</t>
  </si>
  <si>
    <t>2025-02-21 08:54:54</t>
  </si>
  <si>
    <t>02000030</t>
  </si>
  <si>
    <t>2025-02-03 17:06:09</t>
  </si>
  <si>
    <t>02000031</t>
  </si>
  <si>
    <t>02000032</t>
  </si>
  <si>
    <t>2025-01-30 18:59:08</t>
  </si>
  <si>
    <t>02000033</t>
  </si>
  <si>
    <t>02000034</t>
  </si>
  <si>
    <t>84</t>
  </si>
  <si>
    <t>2025-02-03 07:16:24</t>
  </si>
  <si>
    <t>02000035</t>
  </si>
  <si>
    <t>2025-01-09 13:19:37</t>
  </si>
  <si>
    <t>02000036</t>
  </si>
  <si>
    <t>02000038</t>
  </si>
  <si>
    <t>2025-02-19 05:15:08</t>
  </si>
  <si>
    <t>02000039</t>
  </si>
  <si>
    <t>2025-01-15 13:40:16</t>
  </si>
  <si>
    <t>02000040</t>
  </si>
  <si>
    <t>2025-01-21 14:41:18</t>
  </si>
  <si>
    <t>02000041</t>
  </si>
  <si>
    <t>02000042</t>
  </si>
  <si>
    <t>96</t>
  </si>
  <si>
    <t>02000043</t>
  </si>
  <si>
    <t>2026-03-28 05:15:06</t>
  </si>
  <si>
    <t>02000044</t>
  </si>
  <si>
    <t>02000045</t>
  </si>
  <si>
    <t>2025-01-07 03:07:48</t>
  </si>
  <si>
    <t>02000046</t>
  </si>
  <si>
    <t>732</t>
  </si>
  <si>
    <t>2025-02-17 09:11:33</t>
  </si>
  <si>
    <t>02000047</t>
  </si>
  <si>
    <t>2025-02-10 10:44:27</t>
  </si>
  <si>
    <t>02000048</t>
  </si>
  <si>
    <t>2024-12-11 15:14:31</t>
  </si>
  <si>
    <t>02000049</t>
  </si>
  <si>
    <t>12</t>
  </si>
  <si>
    <t>02000050</t>
  </si>
  <si>
    <t>2025-02-12 07:30:20</t>
  </si>
  <si>
    <t>02000051</t>
  </si>
  <si>
    <t>02000052</t>
  </si>
  <si>
    <t>02000053</t>
  </si>
  <si>
    <t>2024-12-16 15:32:52</t>
  </si>
  <si>
    <t>02000054</t>
  </si>
  <si>
    <t>02000055</t>
  </si>
  <si>
    <t>2024-12-19 09:14:10</t>
  </si>
  <si>
    <t>02000056</t>
  </si>
  <si>
    <t>2025-02-04 08:46:57</t>
  </si>
  <si>
    <t>02000057</t>
  </si>
  <si>
    <t>2025-02-17 17:37:16</t>
  </si>
  <si>
    <t>02000058</t>
  </si>
  <si>
    <t>336</t>
  </si>
  <si>
    <t>2025-02-23 22:02:02</t>
  </si>
  <si>
    <t>02000059</t>
  </si>
  <si>
    <t>2024-07-22 17:15:08</t>
  </si>
  <si>
    <t>02000060</t>
  </si>
  <si>
    <t>02000061</t>
  </si>
  <si>
    <t>02000062</t>
  </si>
  <si>
    <t>02000063</t>
  </si>
  <si>
    <t>2024-12-12 20:25:48</t>
  </si>
  <si>
    <t>02000064</t>
  </si>
  <si>
    <t>2025-02-07 11:14:44</t>
  </si>
  <si>
    <t>02000065</t>
  </si>
  <si>
    <t>2025-02-08 10:04:29</t>
  </si>
  <si>
    <t>02000066</t>
  </si>
  <si>
    <t>2025-02-26 11:52:51</t>
  </si>
  <si>
    <t>02000067</t>
  </si>
  <si>
    <t>2024-10-01 22:29:43</t>
  </si>
  <si>
    <t>02000068</t>
  </si>
  <si>
    <t>2025-02-07 16:15:10</t>
  </si>
  <si>
    <t>02000069</t>
  </si>
  <si>
    <t>2025-02-04 09:10:30</t>
  </si>
  <si>
    <t>02000070</t>
  </si>
  <si>
    <t>2025-02-01 17:34:03</t>
  </si>
  <si>
    <t>02000071</t>
  </si>
  <si>
    <t>2025-02-21 16:50:41</t>
  </si>
  <si>
    <t>02000072</t>
  </si>
  <si>
    <t>2025-02-04 12:48:18</t>
  </si>
  <si>
    <t>02000073</t>
  </si>
  <si>
    <t>2025-01-08 08:01:30</t>
  </si>
  <si>
    <t>02000074</t>
  </si>
  <si>
    <t>2024-12-15 14:02:21</t>
  </si>
  <si>
    <t>02000075</t>
  </si>
  <si>
    <t>2025-01-03 12:37:02</t>
  </si>
  <si>
    <t>02000076</t>
  </si>
  <si>
    <t>2024-12-12 13:38:50</t>
  </si>
  <si>
    <t>02000077</t>
  </si>
  <si>
    <t>2024-10-01 22:29:39</t>
  </si>
  <si>
    <t>02000078</t>
  </si>
  <si>
    <t>02000079</t>
  </si>
  <si>
    <t>2024-12-05 17:46:04</t>
  </si>
  <si>
    <t>02000080</t>
  </si>
  <si>
    <t>02000081</t>
  </si>
  <si>
    <t>2025-02-10 15:09:17</t>
  </si>
  <si>
    <t>02000082</t>
  </si>
  <si>
    <t>2024-08-07 05:15:08</t>
  </si>
  <si>
    <t>02000083</t>
  </si>
  <si>
    <t>2025-11-13 05:15:07</t>
  </si>
  <si>
    <t>02000084</t>
  </si>
  <si>
    <t>2025-02-03 14:20:41</t>
  </si>
  <si>
    <t>02000085</t>
  </si>
  <si>
    <t>2025-02-19 13:40:31</t>
  </si>
  <si>
    <t>02000086</t>
  </si>
  <si>
    <t>2025-06-10 05:15:08</t>
  </si>
  <si>
    <t>02000087</t>
  </si>
  <si>
    <t>2025-02-13 09:44:10</t>
  </si>
  <si>
    <t>02000088</t>
  </si>
  <si>
    <t>2025-03-02 09:15:56</t>
  </si>
  <si>
    <t>02000089</t>
  </si>
  <si>
    <t>2025-03-04 05:15:08</t>
  </si>
  <si>
    <t>02000090</t>
  </si>
  <si>
    <t>2025-04-01 05:15:07</t>
  </si>
  <si>
    <t>02000091</t>
  </si>
  <si>
    <t>2025-04-22 05:15:08</t>
  </si>
  <si>
    <t>02000092</t>
  </si>
  <si>
    <t>2025-05-10 05:15:07</t>
  </si>
  <si>
    <t>02000093</t>
  </si>
  <si>
    <t>2025-05-21 05:15:08</t>
  </si>
  <si>
    <t>02000094</t>
  </si>
  <si>
    <t>2025-06-04 05:15:08</t>
  </si>
  <si>
    <t>02000095</t>
  </si>
  <si>
    <t>2025-06-17 05:15:08</t>
  </si>
  <si>
    <t>02000096</t>
  </si>
  <si>
    <t>2025-06-24 05:15:07</t>
  </si>
  <si>
    <t>02000097</t>
  </si>
  <si>
    <t>2025-06-20 05:15:08</t>
  </si>
  <si>
    <t>02000098</t>
  </si>
  <si>
    <t>2025-07-16 05:15:08</t>
  </si>
  <si>
    <t>02000099</t>
  </si>
  <si>
    <t>2025-07-17 05:15:07</t>
  </si>
  <si>
    <t>02000100</t>
  </si>
  <si>
    <t>2025-07-19 05:15:08</t>
  </si>
  <si>
    <t>02000101</t>
  </si>
  <si>
    <t>02000102</t>
  </si>
  <si>
    <t>2025-10-17 05:15:07</t>
  </si>
  <si>
    <t>02000103</t>
  </si>
  <si>
    <t>2025-08-01 05:15:08</t>
  </si>
  <si>
    <t>02000104</t>
  </si>
  <si>
    <t>02000105</t>
  </si>
  <si>
    <t>2025-08-09 05:15:07</t>
  </si>
  <si>
    <t>02000106</t>
  </si>
  <si>
    <t>2025-08-29 05:15:07</t>
  </si>
  <si>
    <t>02000107</t>
  </si>
  <si>
    <t>2025-09-02 05:15:07</t>
  </si>
  <si>
    <t>02000108</t>
  </si>
  <si>
    <t>02000109</t>
  </si>
  <si>
    <t>2025-09-03 05:15:07</t>
  </si>
  <si>
    <t>02000110</t>
  </si>
  <si>
    <t>2025-09-04 05:15:07</t>
  </si>
  <si>
    <t>02000111</t>
  </si>
  <si>
    <t>02000112</t>
  </si>
  <si>
    <t>2025-09-18 05:15:08</t>
  </si>
  <si>
    <t>02000113</t>
  </si>
  <si>
    <t>2025-09-13 05:15:07</t>
  </si>
  <si>
    <t>02000114</t>
  </si>
  <si>
    <t>2025-10-01 05:15:07</t>
  </si>
  <si>
    <t>02000115</t>
  </si>
  <si>
    <t>2025-10-02 05:15:07</t>
  </si>
  <si>
    <t>02000116</t>
  </si>
  <si>
    <t>02000117</t>
  </si>
  <si>
    <t>02000118</t>
  </si>
  <si>
    <t>02000119</t>
  </si>
  <si>
    <t>2025-10-07 05:15:07</t>
  </si>
  <si>
    <t>02000120</t>
  </si>
  <si>
    <t>02000121</t>
  </si>
  <si>
    <t>2025-10-24 05:15:07</t>
  </si>
  <si>
    <t>02000122</t>
  </si>
  <si>
    <t>02000123</t>
  </si>
  <si>
    <t>2025-10-30 05:15:07</t>
  </si>
  <si>
    <t>02000124</t>
  </si>
  <si>
    <t>2025-11-07 05:15:07</t>
  </si>
  <si>
    <t>02000125</t>
  </si>
  <si>
    <t>2025-11-14 05:15:07</t>
  </si>
  <si>
    <t>02000126</t>
  </si>
  <si>
    <t>2025-11-15 05:15:07</t>
  </si>
  <si>
    <t>02000127</t>
  </si>
  <si>
    <t>2025-11-18 05:15:07</t>
  </si>
  <si>
    <t>02000128</t>
  </si>
  <si>
    <t>2025-12-20 05:15:07</t>
  </si>
  <si>
    <t>02000129</t>
  </si>
  <si>
    <t>2025-12-26 05:15:07</t>
  </si>
  <si>
    <t>02000130</t>
  </si>
  <si>
    <t>2025-12-27 05:15:07</t>
  </si>
  <si>
    <t>02000131</t>
  </si>
  <si>
    <t>2026-01-14 05:15:07</t>
  </si>
  <si>
    <t>02000132</t>
  </si>
  <si>
    <t>2026-01-15 05:15:07</t>
  </si>
  <si>
    <t>02000133</t>
  </si>
  <si>
    <t>2026-01-30 05:15:08</t>
  </si>
  <si>
    <t>02000134</t>
  </si>
  <si>
    <t>2026-02-04 05:15:08</t>
  </si>
  <si>
    <t>02000135</t>
  </si>
  <si>
    <t>2026-02-07 05:15:07</t>
  </si>
  <si>
    <t>02000136</t>
  </si>
  <si>
    <t>2026-02-14 05:15:06</t>
  </si>
  <si>
    <t>02000137</t>
  </si>
  <si>
    <t>2026-02-25 05:15:06</t>
  </si>
  <si>
    <t>02000138</t>
  </si>
  <si>
    <t>2026-02-26 05:15:06</t>
  </si>
  <si>
    <t>02000139</t>
  </si>
  <si>
    <t>02000140</t>
  </si>
  <si>
    <t>2026-03-03 05:15:07</t>
  </si>
  <si>
    <t>02000141</t>
  </si>
  <si>
    <t>2026-03-07 05:15:06</t>
  </si>
  <si>
    <t>02000142</t>
  </si>
  <si>
    <t>2026-03-10 05:15:06</t>
  </si>
  <si>
    <t>02000143</t>
  </si>
  <si>
    <t>2026-03-14 05:15:06</t>
  </si>
  <si>
    <t>02000144</t>
  </si>
  <si>
    <t>2026-03-20 05:15:06</t>
  </si>
  <si>
    <t>02000145</t>
  </si>
  <si>
    <t>2026-03-24 05:15:07</t>
  </si>
  <si>
    <t>02000146</t>
  </si>
  <si>
    <t>2026-03-27 05:15:06</t>
  </si>
  <si>
    <t>02000147</t>
  </si>
  <si>
    <t>2026-03-31 05:15:06</t>
  </si>
  <si>
    <t>99999999</t>
  </si>
  <si>
    <t>105</t>
  </si>
  <si>
    <t>70</t>
  </si>
  <si>
    <t>140</t>
  </si>
  <si>
    <t>28</t>
  </si>
  <si>
    <t>14</t>
  </si>
  <si>
    <t>42</t>
  </si>
  <si>
    <t>63</t>
  </si>
  <si>
    <t>35</t>
  </si>
  <si>
    <t>21</t>
  </si>
  <si>
    <t>133</t>
  </si>
  <si>
    <t>49</t>
  </si>
  <si>
    <t>56</t>
  </si>
  <si>
    <t>427</t>
  </si>
  <si>
    <t>7</t>
  </si>
  <si>
    <t>196</t>
  </si>
  <si>
    <t>2025-04-01 05:15:08</t>
  </si>
  <si>
    <t>2025-05-21 05:15:07</t>
  </si>
  <si>
    <t>2025-06-17 05:15:07</t>
  </si>
  <si>
    <t>2025-06-24 05:15:08</t>
  </si>
  <si>
    <t>2025-07-16 05:15:07</t>
  </si>
  <si>
    <t>2025-09-02 05:15:08</t>
  </si>
  <si>
    <t>2025-09-13 05:15:08</t>
  </si>
  <si>
    <t>2026-03-03 05:15:06</t>
  </si>
  <si>
    <t>2026-03-24 05:15:06</t>
  </si>
  <si>
    <t>jomuin_monthly_sales_target</t>
    <phoneticPr fontId="1"/>
  </si>
  <si>
    <t>00000001</t>
  </si>
  <si>
    <t>2024-09-30 16:13:53</t>
  </si>
  <si>
    <t>00000002</t>
  </si>
  <si>
    <t>00000003</t>
  </si>
  <si>
    <t>00000004</t>
  </si>
  <si>
    <t>00000005</t>
  </si>
  <si>
    <t>00000007</t>
  </si>
  <si>
    <t>00000008</t>
  </si>
  <si>
    <t>00000030</t>
  </si>
  <si>
    <t>252</t>
  </si>
  <si>
    <t>2025-07-01 16:19:58</t>
  </si>
  <si>
    <t>2025-06-18 05:15:07</t>
  </si>
  <si>
    <t>02000024</t>
  </si>
  <si>
    <t>2025-04-03 09:08:40</t>
  </si>
  <si>
    <t>2025-02-13 07:48:21</t>
  </si>
  <si>
    <t>1452</t>
  </si>
  <si>
    <t>132</t>
  </si>
  <si>
    <t>2025-03-04 05:15:07</t>
  </si>
  <si>
    <t>2025-04-22 05:15:07</t>
  </si>
  <si>
    <t>2025-06-04 05:15:07</t>
  </si>
  <si>
    <t>2025-06-20 05:15:07</t>
  </si>
  <si>
    <t>2025-11-10 07:46:54</t>
  </si>
  <si>
    <t>2025-09-03 05:15:08</t>
  </si>
  <si>
    <t>2026-02-01 21:20:41</t>
  </si>
  <si>
    <t>2025-12-18 10:17:20</t>
  </si>
  <si>
    <t>2026-01-30 05:15:07</t>
  </si>
  <si>
    <t>30000203</t>
  </si>
  <si>
    <t>30000204</t>
  </si>
  <si>
    <t>30000205</t>
  </si>
  <si>
    <t>147</t>
  </si>
  <si>
    <t>847</t>
  </si>
  <si>
    <t>77</t>
  </si>
  <si>
    <t>2025-07-17 05:15:08</t>
  </si>
  <si>
    <t>2025-08-09 05:15:08</t>
  </si>
  <si>
    <t>2025-08-29 05:15:08</t>
  </si>
  <si>
    <t>2</t>
  </si>
  <si>
    <t>3</t>
  </si>
  <si>
    <t>1040</t>
  </si>
  <si>
    <t>924</t>
  </si>
  <si>
    <t>2024-10-24 11:05:44</t>
  </si>
  <si>
    <t>13</t>
  </si>
  <si>
    <t>794</t>
  </si>
  <si>
    <t>429</t>
  </si>
  <si>
    <t>1308</t>
  </si>
  <si>
    <t>583</t>
  </si>
  <si>
    <t>55</t>
  </si>
  <si>
    <t>26</t>
  </si>
  <si>
    <t>572</t>
  </si>
  <si>
    <t>2025-02-11 17:12:31</t>
  </si>
  <si>
    <t>306</t>
  </si>
  <si>
    <t>4</t>
  </si>
  <si>
    <t>31</t>
  </si>
  <si>
    <t>40</t>
  </si>
  <si>
    <t>205</t>
  </si>
  <si>
    <t>3909</t>
  </si>
  <si>
    <t>279</t>
  </si>
  <si>
    <t>297</t>
  </si>
  <si>
    <t>2025-02-06 14:00:34</t>
  </si>
  <si>
    <t>560</t>
  </si>
  <si>
    <t>2025-02-21 09:11:27</t>
  </si>
  <si>
    <t>455</t>
  </si>
  <si>
    <t>2025-02-25 10:46:55</t>
  </si>
  <si>
    <t>90</t>
  </si>
  <si>
    <t>294</t>
  </si>
  <si>
    <t>551</t>
  </si>
  <si>
    <t>2025-02-27 17:20:40</t>
  </si>
  <si>
    <t>107</t>
  </si>
  <si>
    <t>17</t>
  </si>
  <si>
    <t>189</t>
  </si>
  <si>
    <t>2025-02-20 13:06:13</t>
  </si>
  <si>
    <t>754</t>
  </si>
  <si>
    <t>359</t>
  </si>
  <si>
    <t>5538</t>
  </si>
  <si>
    <t>38</t>
  </si>
  <si>
    <t>2024-12-03 10:25:15</t>
  </si>
  <si>
    <t>65</t>
  </si>
  <si>
    <t>2025-01-18 09:47:41</t>
  </si>
  <si>
    <t>740</t>
  </si>
  <si>
    <t>2025-01-30 06:20:42</t>
  </si>
  <si>
    <t>6097</t>
  </si>
  <si>
    <t>2025-02-17 14:49:23</t>
  </si>
  <si>
    <t>376</t>
  </si>
  <si>
    <t>2025-02-19 13:22:34</t>
  </si>
  <si>
    <t>85</t>
  </si>
  <si>
    <t>2024-12-11 15:15:47</t>
  </si>
  <si>
    <t>118</t>
  </si>
  <si>
    <t>25</t>
  </si>
  <si>
    <t>19</t>
  </si>
  <si>
    <t>94</t>
  </si>
  <si>
    <t>2024-12-29 15:10:19</t>
  </si>
  <si>
    <t>674</t>
  </si>
  <si>
    <t>2025-02-18 17:45:00</t>
  </si>
  <si>
    <t>41</t>
  </si>
  <si>
    <t>1211</t>
  </si>
  <si>
    <t>2025-02-28 13:01:08</t>
  </si>
  <si>
    <t>2024-12-12 20:26:37</t>
  </si>
  <si>
    <t>135</t>
  </si>
  <si>
    <t>488</t>
  </si>
  <si>
    <t>2025-02-08 10:05:31</t>
  </si>
  <si>
    <t>476</t>
  </si>
  <si>
    <t>2025-02-26 11:56:05</t>
  </si>
  <si>
    <t>98</t>
  </si>
  <si>
    <t>2024-10-01 22:30:21</t>
  </si>
  <si>
    <t>322</t>
  </si>
  <si>
    <t>2025-02-07 16:19:06</t>
  </si>
  <si>
    <t>388</t>
  </si>
  <si>
    <t>2025-02-28 08:20:10</t>
  </si>
  <si>
    <t>79</t>
  </si>
  <si>
    <t>2025-02-22 08:45:41</t>
  </si>
  <si>
    <t>2025-02-21 16:52:51</t>
  </si>
  <si>
    <t>432</t>
  </si>
  <si>
    <t>2025-01-29 11:51:19</t>
  </si>
  <si>
    <t>284</t>
  </si>
  <si>
    <t>2025-01-31 15:25:55</t>
  </si>
  <si>
    <t>23</t>
  </si>
  <si>
    <t>2024-12-16 15:36:09</t>
  </si>
  <si>
    <t>2024-12-05 17:46:47</t>
  </si>
  <si>
    <t>2025-02-24 08:24:42</t>
  </si>
  <si>
    <t>155</t>
  </si>
  <si>
    <t>2025-01-31 18:21:31</t>
  </si>
  <si>
    <t>67</t>
  </si>
  <si>
    <t>2025-02-27 10:37:35</t>
  </si>
  <si>
    <t>68</t>
  </si>
  <si>
    <t>2025-02-19 14:11:51</t>
  </si>
  <si>
    <t>6</t>
  </si>
  <si>
    <t>2025-02-27 14:56:11</t>
  </si>
  <si>
    <t>16</t>
  </si>
  <si>
    <t>2025-02-13 18:59:48</t>
  </si>
  <si>
    <t>15</t>
  </si>
  <si>
    <t>2025-03-02 09:35:18</t>
  </si>
  <si>
    <t>46</t>
  </si>
  <si>
    <t>1</t>
  </si>
  <si>
    <t>2024-09-30 16:16:51</t>
  </si>
  <si>
    <t>2025-07-01 16:17:55</t>
  </si>
  <si>
    <t>8</t>
  </si>
  <si>
    <t>20</t>
  </si>
  <si>
    <t>5</t>
  </si>
  <si>
    <t>2025-02-08 05:15:08</t>
  </si>
  <si>
    <t>2024-12-13 16:10:32</t>
  </si>
  <si>
    <t>2024-09-21 05:15:07</t>
  </si>
  <si>
    <t>9</t>
  </si>
  <si>
    <t>2025-09-03 12:37:48</t>
  </si>
  <si>
    <t>2025-01-28 05:15:09</t>
  </si>
  <si>
    <t>2025-01-30 05:15:08</t>
  </si>
  <si>
    <t>2025-02-13 05:15:08</t>
  </si>
  <si>
    <t>2025-02-20 05:15:08</t>
  </si>
  <si>
    <t>2025-05-10 05:15:08</t>
  </si>
  <si>
    <t>2026-02-26 05:15:07</t>
  </si>
  <si>
    <t>2026-03-20 05:15:07</t>
  </si>
  <si>
    <t xml:space="preserve">jomuin_mst_alert_setting </t>
    <phoneticPr fontId="1"/>
  </si>
  <si>
    <t>309</t>
  </si>
  <si>
    <t>2026-03-04 13:17:55</t>
  </si>
  <si>
    <t>914</t>
  </si>
  <si>
    <t>2025-05-21 15:35:13</t>
  </si>
  <si>
    <t>2025-07-04 09:47:52</t>
  </si>
  <si>
    <t>2026-03-27 17:33:30</t>
  </si>
  <si>
    <t>192</t>
  </si>
  <si>
    <t>2026-03-03 13:03:47</t>
  </si>
  <si>
    <t>341</t>
  </si>
  <si>
    <t>2026-03-17 08:57:46</t>
  </si>
  <si>
    <t>162</t>
  </si>
  <si>
    <t>2026-02-09 19:02:33</t>
  </si>
  <si>
    <t>29</t>
  </si>
  <si>
    <t>2026-03-16 11:46:10</t>
  </si>
  <si>
    <t>231</t>
  </si>
  <si>
    <t>2026-04-01 09:38:55</t>
  </si>
  <si>
    <t>109</t>
  </si>
  <si>
    <t>2026-02-24 08:51:07</t>
  </si>
  <si>
    <t>34</t>
  </si>
  <si>
    <t>2026-03-10 14:49:06</t>
  </si>
  <si>
    <t>2026-02-01 08:25:14</t>
  </si>
  <si>
    <t>66</t>
  </si>
  <si>
    <t>2026-02-22 06:42:54</t>
  </si>
  <si>
    <t>2026-03-31 18:36:39</t>
  </si>
  <si>
    <t>2026-03-03 12:43:04</t>
  </si>
  <si>
    <t>88</t>
  </si>
  <si>
    <t>2025-12-15 16:52:53</t>
  </si>
  <si>
    <t>204</t>
  </si>
  <si>
    <t>2026-03-25 09:21:04</t>
  </si>
  <si>
    <t>130</t>
  </si>
  <si>
    <t>2026-03-26 09:21:40</t>
  </si>
  <si>
    <t>142</t>
  </si>
  <si>
    <t>2025-12-15 08:46:45</t>
  </si>
  <si>
    <t>124</t>
  </si>
  <si>
    <t>2026-03-17 16:49:33</t>
  </si>
  <si>
    <t>115</t>
  </si>
  <si>
    <t>2026-03-24 06:53:48</t>
  </si>
  <si>
    <t>32</t>
  </si>
  <si>
    <t>2026-02-02 08:21:19</t>
  </si>
  <si>
    <t>58</t>
  </si>
  <si>
    <t>2026-03-08 10:52:15</t>
  </si>
  <si>
    <t>314</t>
  </si>
  <si>
    <t>2026-03-12 13:44:30</t>
  </si>
  <si>
    <t>117</t>
  </si>
  <si>
    <t>2026-03-30 10:29:16</t>
  </si>
  <si>
    <t>2025-12-24 16:30:30</t>
  </si>
  <si>
    <t>2026-03-09 09:49:54</t>
  </si>
  <si>
    <t>185</t>
  </si>
  <si>
    <t>2026-03-30 04:04:36</t>
  </si>
  <si>
    <t>2017</t>
  </si>
  <si>
    <t>2026-04-01 14:19:14</t>
  </si>
  <si>
    <t>97</t>
  </si>
  <si>
    <t>2026-02-16 13:29:11</t>
  </si>
  <si>
    <t>33</t>
  </si>
  <si>
    <t>2026-01-30 14:29:49</t>
  </si>
  <si>
    <t>39</t>
  </si>
  <si>
    <t>2026-02-05 11:11:31</t>
  </si>
  <si>
    <t>37</t>
  </si>
  <si>
    <t>2026-03-02 15:59:45</t>
  </si>
  <si>
    <t>2026-04-01 07:22:20</t>
  </si>
  <si>
    <t>2025-03-14 18:05:11</t>
  </si>
  <si>
    <t>45</t>
  </si>
  <si>
    <t>2026-04-01 09:02:58</t>
  </si>
  <si>
    <t>340</t>
  </si>
  <si>
    <t>2026-03-23 10:37:49</t>
  </si>
  <si>
    <t>2026-02-17 02:20:00</t>
  </si>
  <si>
    <t>339</t>
  </si>
  <si>
    <t>2026-03-23 15:14:24</t>
  </si>
  <si>
    <t>2025-12-20 16:55:54</t>
  </si>
  <si>
    <t>2026-03-27 06:53:30</t>
  </si>
  <si>
    <t>111</t>
  </si>
  <si>
    <t>2026-01-23 15:07:25</t>
  </si>
  <si>
    <t>2026-03-13 14:35:30</t>
  </si>
  <si>
    <t>57</t>
  </si>
  <si>
    <t>2026-02-17 08:04:22</t>
  </si>
  <si>
    <t>2026-03-01 10:04:58</t>
  </si>
  <si>
    <t>99</t>
  </si>
  <si>
    <t>2026-03-13 14:21:43</t>
  </si>
  <si>
    <t>2025-08-31 15:11:55</t>
  </si>
  <si>
    <t>52</t>
  </si>
  <si>
    <t>2026-02-02 13:56:36</t>
  </si>
  <si>
    <t>2026-01-19 11:24:05</t>
  </si>
  <si>
    <t>2026-03-23 12:17:43</t>
  </si>
  <si>
    <t>2025-10-06 20:13:32</t>
  </si>
  <si>
    <t>81</t>
  </si>
  <si>
    <t>2025-12-01 10:10:09</t>
  </si>
  <si>
    <t>2026-02-22 17:38:32</t>
  </si>
  <si>
    <t>2026-02-26 11:15:34</t>
  </si>
  <si>
    <t>2026-03-05 18:33:31</t>
  </si>
  <si>
    <t>2025-11-28 12:45:22</t>
  </si>
  <si>
    <t>175</t>
  </si>
  <si>
    <t>2025-12-04 10:06:30</t>
  </si>
  <si>
    <t>2026-03-11 13:12:39</t>
  </si>
  <si>
    <t>2026-03-06 16:02:48</t>
  </si>
  <si>
    <t>2026-02-27 13:12:06</t>
  </si>
  <si>
    <t>18</t>
  </si>
  <si>
    <t>2025-12-29 17:00:56</t>
  </si>
  <si>
    <t>2026-03-31 12:48:46</t>
  </si>
  <si>
    <t>2026-03-24 11:48:28</t>
  </si>
  <si>
    <t>2025-06-27 09:19:57</t>
  </si>
  <si>
    <t>2026-03-10 16:05:35</t>
  </si>
  <si>
    <t>2025-07-30 11:59:47</t>
  </si>
  <si>
    <t>2025-06-13 09:15:21</t>
  </si>
  <si>
    <t>54</t>
  </si>
  <si>
    <t>2025-12-15 08:44:49</t>
  </si>
  <si>
    <t>2025-08-06 18:42:54</t>
  </si>
  <si>
    <t>2026-04-01 13:07:00</t>
  </si>
  <si>
    <t>2026-03-09 10:16:18</t>
  </si>
  <si>
    <t>2025-11-04 17:09:36</t>
  </si>
  <si>
    <t>547</t>
  </si>
  <si>
    <t>2026-03-13 16:56:21</t>
  </si>
  <si>
    <t>2026-03-28 08:08:25</t>
  </si>
  <si>
    <t>2026-01-20 17:10:23</t>
  </si>
  <si>
    <t>50</t>
  </si>
  <si>
    <t>2026-03-26 15:50:08</t>
  </si>
  <si>
    <t>2025-09-17 10:03:29</t>
  </si>
  <si>
    <t>2026-03-26 06:50:51</t>
  </si>
  <si>
    <t>113</t>
  </si>
  <si>
    <t>2026-03-21 08:21:55</t>
  </si>
  <si>
    <t>110</t>
  </si>
  <si>
    <t>2026-03-30 13:30:44</t>
  </si>
  <si>
    <t>222</t>
  </si>
  <si>
    <t>2026-03-24 11:44:47</t>
  </si>
  <si>
    <t>2026-03-11 15:47:19</t>
  </si>
  <si>
    <t>2026-03-06 14:11:38</t>
  </si>
  <si>
    <t>102</t>
  </si>
  <si>
    <t>2025-10-23 17:11:07</t>
  </si>
  <si>
    <t>2026-02-23 23:17:49</t>
  </si>
  <si>
    <t>2026-03-18 13:10:29</t>
  </si>
  <si>
    <t>2026-03-17 20:41:40</t>
  </si>
  <si>
    <t>2025-11-11 16:09:04</t>
  </si>
  <si>
    <t>2025-12-01 13:36:15</t>
  </si>
  <si>
    <t>2025-11-13 17:33:19</t>
  </si>
  <si>
    <t>11</t>
  </si>
  <si>
    <t>2026-03-06 12:16:07</t>
  </si>
  <si>
    <t>2025-12-16 14:51:46</t>
  </si>
  <si>
    <t>2026-03-19 07:27:48</t>
  </si>
  <si>
    <t>2026-01-20 15:44:47</t>
  </si>
  <si>
    <t>2026-02-10 15:07:19</t>
  </si>
  <si>
    <t>2026-03-18 17:24:03</t>
  </si>
  <si>
    <t>2026-03-28 07:46:41</t>
  </si>
  <si>
    <t>2026-02-17 16:30:16</t>
  </si>
  <si>
    <t>2026-02-27 12:55:52</t>
  </si>
  <si>
    <t>10</t>
  </si>
  <si>
    <t>2026-03-07 17:04:49</t>
  </si>
  <si>
    <t>2026-03-26 15:22:56</t>
  </si>
  <si>
    <t>2026-03-26 12:37:17</t>
  </si>
  <si>
    <t>2026-03-28 15:02:44</t>
  </si>
  <si>
    <t>2026-03-15 14:21:27</t>
  </si>
  <si>
    <t>2026-03-24 14:58:41</t>
  </si>
  <si>
    <t>47</t>
  </si>
  <si>
    <t>2026-03-28 13:47:53</t>
  </si>
  <si>
    <t>2026-03-26 12:51:37</t>
  </si>
  <si>
    <t>disposalday_mst</t>
    <phoneticPr fontId="1"/>
  </si>
  <si>
    <t>22</t>
  </si>
  <si>
    <t>2024-08-07 05:15:07</t>
  </si>
  <si>
    <t>2024-10-08 05:15:07</t>
  </si>
  <si>
    <t>2025-01-21 05:15:07</t>
  </si>
  <si>
    <t>2025-01-30 05:15:07</t>
  </si>
  <si>
    <t>2025-02-07 05:15:07</t>
  </si>
  <si>
    <t>2025-02-13 05:15:07</t>
  </si>
  <si>
    <t>2025-02-20 05:15:07</t>
  </si>
  <si>
    <t>2025-02-28 05:15:07</t>
  </si>
  <si>
    <t>2025-04-18 05:15:07</t>
  </si>
  <si>
    <t>2025-07-19 05:15:07</t>
  </si>
  <si>
    <t>2025-07-29 05:15:07</t>
  </si>
  <si>
    <t>2025-08-01 05:15:07</t>
  </si>
  <si>
    <t>2025-09-05 05:15:07</t>
  </si>
  <si>
    <t>2025-10-01 05:15:06</t>
  </si>
  <si>
    <t>2025-10-07 05:15:06</t>
  </si>
  <si>
    <t>2026-02-04 05:15:07</t>
  </si>
  <si>
    <t>ZZZZZZZ9</t>
  </si>
  <si>
    <t>2022-06-16 10:37:44</t>
  </si>
  <si>
    <t>2025-11-11 17:56:31</t>
  </si>
  <si>
    <t>2025-07-04 05:00:47</t>
  </si>
  <si>
    <t>2023-07-05 05:00:16</t>
  </si>
  <si>
    <t>2025-06-18 05:00:47</t>
  </si>
  <si>
    <t>2025-02-08 05:00:07</t>
  </si>
  <si>
    <t>2025-02-19 05:00:06</t>
  </si>
  <si>
    <t>2024-09-21 05:00:07</t>
  </si>
  <si>
    <t>2023-11-30 05:00:16</t>
  </si>
  <si>
    <t>2022-06-28 05:00:16</t>
  </si>
  <si>
    <t>2026-03-28 05:00:05</t>
  </si>
  <si>
    <t>2022-08-26 05:00:16</t>
  </si>
  <si>
    <t>2022-10-22 05:00:16</t>
  </si>
  <si>
    <t>2022-10-07 05:00:16</t>
  </si>
  <si>
    <t>2022-10-12 05:00:16</t>
  </si>
  <si>
    <t>2022-10-15 05:00:16</t>
  </si>
  <si>
    <t>2023-03-21 05:00:15</t>
  </si>
  <si>
    <t>2023-03-29 05:00:16</t>
  </si>
  <si>
    <t>2023-04-21 05:00:15</t>
  </si>
  <si>
    <t>2023-06-29 05:00:16</t>
  </si>
  <si>
    <t>2023-07-11 05:00:16</t>
  </si>
  <si>
    <t>2023-10-19 05:00:16</t>
  </si>
  <si>
    <t>2023-07-26 05:00:16</t>
  </si>
  <si>
    <t>2023-08-18 05:00:16</t>
  </si>
  <si>
    <t>2023-08-22 05:00:16</t>
  </si>
  <si>
    <t>2023-09-15 05:00:16</t>
  </si>
  <si>
    <t>2023-09-22 05:00:16</t>
  </si>
  <si>
    <t>2023-09-30 05:00:16</t>
  </si>
  <si>
    <t>2024-05-22 05:00:16</t>
  </si>
  <si>
    <t>2023-10-21 05:00:16</t>
  </si>
  <si>
    <t>2023-11-08 05:00:16</t>
  </si>
  <si>
    <t>2023-12-14 05:00:16</t>
  </si>
  <si>
    <t>2023-12-16 05:00:16</t>
  </si>
  <si>
    <t>2024-01-10 05:00:16</t>
  </si>
  <si>
    <t>2024-01-18 16:50:11</t>
  </si>
  <si>
    <t>2024-01-24 05:00:15</t>
  </si>
  <si>
    <t>2024-02-28 05:00:15</t>
  </si>
  <si>
    <t>2024-03-13 05:00:16</t>
  </si>
  <si>
    <t>2024-05-28 05:00:16</t>
  </si>
  <si>
    <t>2024-07-03 05:00:15</t>
  </si>
  <si>
    <t>2024-08-07 05:00:06</t>
  </si>
  <si>
    <t>2025-11-13 05:00:51</t>
  </si>
  <si>
    <t>2025-01-28 05:00:07</t>
  </si>
  <si>
    <t>2025-10-09 16:13:29</t>
  </si>
  <si>
    <t>2025-06-10 05:00:47</t>
  </si>
  <si>
    <t>2025-02-13 05:00:06</t>
  </si>
  <si>
    <t>2025-02-20 05:00:07</t>
  </si>
  <si>
    <t>2025-03-04 05:00:47</t>
  </si>
  <si>
    <t>2025-04-01 05:00:47</t>
  </si>
  <si>
    <t>2025-04-22 05:00:47</t>
  </si>
  <si>
    <t>2025-05-10 05:00:47</t>
  </si>
  <si>
    <t>2025-05-21 05:00:47</t>
  </si>
  <si>
    <t>2025-06-04 05:00:47</t>
  </si>
  <si>
    <t>2025-06-17 05:00:47</t>
  </si>
  <si>
    <t>2025-06-24 05:00:47</t>
  </si>
  <si>
    <t>2025-06-20 05:00:47</t>
  </si>
  <si>
    <t>2025-07-16 05:00:51</t>
  </si>
  <si>
    <t>2025-07-17 05:00:51</t>
  </si>
  <si>
    <t>2025-07-19 05:00:51</t>
  </si>
  <si>
    <t>2026-03-30 00:31:58</t>
  </si>
  <si>
    <t>2025-08-01 05:00:51</t>
  </si>
  <si>
    <t>2025-08-09 05:00:50</t>
  </si>
  <si>
    <t>2025-08-29 05:00:51</t>
  </si>
  <si>
    <t>2025-09-02 05:00:51</t>
  </si>
  <si>
    <t>2025-09-03 05:00:51</t>
  </si>
  <si>
    <t>2025-09-04 05:00:51</t>
  </si>
  <si>
    <t>2025-09-18 05:00:51</t>
  </si>
  <si>
    <t>2025-09-13 05:00:51</t>
  </si>
  <si>
    <t>2025-10-01 05:00:51</t>
  </si>
  <si>
    <t>2025-10-02 05:00:50</t>
  </si>
  <si>
    <t>2025-10-17 05:00:51</t>
  </si>
  <si>
    <t>2025-10-24 05:00:50</t>
  </si>
  <si>
    <t>2025-10-30 05:00:51</t>
  </si>
  <si>
    <t>2025-11-13 17:23:19</t>
  </si>
  <si>
    <t>2025-11-14 05:00:51</t>
  </si>
  <si>
    <t>2025-11-15 05:00:51</t>
  </si>
  <si>
    <t>2025-11-18 05:00:51</t>
  </si>
  <si>
    <t>2025-12-20 05:00:51</t>
  </si>
  <si>
    <t>2025-12-26 05:00:51</t>
  </si>
  <si>
    <t>2025-12-27 05:00:50</t>
  </si>
  <si>
    <t>2026-01-14 05:00:50</t>
  </si>
  <si>
    <t>2026-01-15 05:00:51</t>
  </si>
  <si>
    <t>2026-01-30 05:00:51</t>
  </si>
  <si>
    <t>2026-02-04 05:00:51</t>
  </si>
  <si>
    <t>2026-02-07 05:00:51</t>
  </si>
  <si>
    <t>2026-02-14 05:00:05</t>
  </si>
  <si>
    <t>2026-02-25 05:00:05</t>
  </si>
  <si>
    <t>2026-02-26 05:00:05</t>
  </si>
  <si>
    <t>2026-03-03 05:00:05</t>
  </si>
  <si>
    <t>2026-03-07 05:00:05</t>
  </si>
  <si>
    <t>2026-03-10 05:00:05</t>
  </si>
  <si>
    <t>2026-03-14 05:00:05</t>
  </si>
  <si>
    <t>2026-03-20 05:00:05</t>
  </si>
  <si>
    <t>2026-03-27 05:00:05</t>
  </si>
  <si>
    <t>2026-03-31 05:00:05</t>
  </si>
  <si>
    <t>2023-06-09 11:17:25</t>
  </si>
  <si>
    <t>3268</t>
  </si>
  <si>
    <t>2023-11-28 14:34:22</t>
  </si>
  <si>
    <t>5763</t>
  </si>
  <si>
    <t>eigyosyo_mst</t>
    <phoneticPr fontId="1"/>
  </si>
  <si>
    <t>2022-06-16 12:56:18</t>
  </si>
  <si>
    <t>2022-08-26 05:00:41</t>
  </si>
  <si>
    <t>2022-10-07 05:00:41</t>
  </si>
  <si>
    <t>2022-10-12 05:00:41</t>
  </si>
  <si>
    <t>2022-10-14 05:00:41</t>
  </si>
  <si>
    <t>2022-10-15 05:00:41</t>
  </si>
  <si>
    <t>2023-03-21 05:00:41</t>
  </si>
  <si>
    <t>2023-03-29 05:00:41</t>
  </si>
  <si>
    <t>2023-04-21 05:00:41</t>
  </si>
  <si>
    <t>2023-06-29 05:00:41</t>
  </si>
  <si>
    <t>2023-07-11 05:00:40</t>
  </si>
  <si>
    <t>2023-07-26 05:00:41</t>
  </si>
  <si>
    <t>2023-08-18 05:00:41</t>
  </si>
  <si>
    <t>2023-08-22 05:00:41</t>
  </si>
  <si>
    <t>2023-09-15 05:00:44</t>
  </si>
  <si>
    <t>2023-09-22 05:00:41</t>
  </si>
  <si>
    <t>2023-09-30 05:00:41</t>
  </si>
  <si>
    <t>2023-10-21 05:00:42</t>
  </si>
  <si>
    <t>2023-11-08 05:00:41</t>
  </si>
  <si>
    <t>2023-11-30 05:00:41</t>
  </si>
  <si>
    <t>2023-12-14 05:00:41</t>
  </si>
  <si>
    <t>2023-12-16 05:00:41</t>
  </si>
  <si>
    <t>2024-01-10 05:00:41</t>
  </si>
  <si>
    <t>2024-01-11 05:00:41</t>
  </si>
  <si>
    <t>2024-01-24 05:00:41</t>
  </si>
  <si>
    <t>2024-02-28 05:00:41</t>
  </si>
  <si>
    <t>2024-03-13 05:00:41</t>
  </si>
  <si>
    <t>2024-05-28 05:00:41</t>
  </si>
  <si>
    <t>2024-06-20 05:00:41</t>
  </si>
  <si>
    <t>2024-07-03 05:00:41</t>
  </si>
  <si>
    <t>2024-08-07 05:00:43</t>
  </si>
  <si>
    <t>2025-01-30 05:00:42</t>
  </si>
  <si>
    <t>2025-02-13 05:00:43</t>
  </si>
  <si>
    <t>2025-02-20 05:00:42</t>
  </si>
  <si>
    <t>2025-09-04 05:00:20</t>
  </si>
  <si>
    <t>2025-10-07 05:00:20</t>
  </si>
  <si>
    <t>2025-11-07 05:00:51</t>
  </si>
  <si>
    <t>2026-02-14 05:00:46</t>
  </si>
  <si>
    <t>2026-02-25 05:00:46</t>
  </si>
  <si>
    <t>2026-02-26 05:00:46</t>
  </si>
  <si>
    <t>2026-03-03 05:00:46</t>
  </si>
  <si>
    <t>2026-03-07 05:00:46</t>
  </si>
  <si>
    <t>2026-03-10 05:00:46</t>
  </si>
  <si>
    <t>2026-03-14 05:00:46</t>
  </si>
  <si>
    <t>2026-03-20 05:00:46</t>
  </si>
  <si>
    <t>2026-03-24 05:00:45</t>
  </si>
  <si>
    <t>2026-03-27 05:00:46</t>
  </si>
  <si>
    <t>2026-03-31 05:00:46</t>
  </si>
  <si>
    <t>kanrisya_mst</t>
    <phoneticPr fontId="1"/>
  </si>
  <si>
    <t>2025-10-09 11:19:58</t>
  </si>
  <si>
    <t>2022-12-05 15:23:44</t>
  </si>
  <si>
    <t>2022-11-18 00:28:32</t>
  </si>
  <si>
    <t>2023-10-17 13:37:15</t>
  </si>
  <si>
    <t>2024-01-11 05:00:15</t>
  </si>
  <si>
    <t>2024-09-17 08:55:32</t>
  </si>
  <si>
    <t>2025-01-30 05:00:06</t>
  </si>
  <si>
    <t>2025-06-04 15:13:16</t>
  </si>
  <si>
    <t>2026-03-31 15:16:47</t>
  </si>
  <si>
    <t>00000001</t>
    <phoneticPr fontId="1"/>
  </si>
  <si>
    <t>kokyaku_mst</t>
    <phoneticPr fontId="1"/>
  </si>
  <si>
    <t>2023-06-21 05:00:41</t>
  </si>
  <si>
    <t>2025-06-18 05:00:33</t>
  </si>
  <si>
    <t>2022-06-17 05:00:41</t>
  </si>
  <si>
    <t>2022-09-27 05:00:41</t>
  </si>
  <si>
    <t>2023-07-14 05:00:41</t>
  </si>
  <si>
    <t>2023-10-20 05:00:42</t>
  </si>
  <si>
    <t>2024-10-08 05:00:43</t>
  </si>
  <si>
    <t>2025-01-21 05:00:43</t>
  </si>
  <si>
    <t>2025-02-07 05:00:43</t>
  </si>
  <si>
    <t>2025-02-28 05:00:42</t>
  </si>
  <si>
    <t>2025-04-01 05:00:33</t>
  </si>
  <si>
    <t>2025-04-18 05:00:33</t>
  </si>
  <si>
    <t>2025-05-10 05:00:33</t>
  </si>
  <si>
    <t>2025-05-21 05:00:33</t>
  </si>
  <si>
    <t>2025-06-04 05:00:33</t>
  </si>
  <si>
    <t>2025-06-17 05:00:33</t>
  </si>
  <si>
    <t>2025-06-20 05:00:33</t>
  </si>
  <si>
    <t>2025-07-16 05:00:20</t>
  </si>
  <si>
    <t>2025-07-17 05:00:20</t>
  </si>
  <si>
    <t>2025-07-19 05:00:20</t>
  </si>
  <si>
    <t>2025-07-29 05:00:20</t>
  </si>
  <si>
    <t>2025-08-01 05:00:20</t>
  </si>
  <si>
    <t>2025-08-09 05:00:20</t>
  </si>
  <si>
    <t>2025-08-29 05:00:20</t>
  </si>
  <si>
    <t>2025-09-02 05:00:20</t>
  </si>
  <si>
    <t>2025-09-03 05:00:20</t>
  </si>
  <si>
    <t>2025-09-05 05:00:19</t>
  </si>
  <si>
    <t>2025-09-13 05:00:20</t>
  </si>
  <si>
    <t>2025-10-01 05:00:20</t>
  </si>
  <si>
    <t>2025-10-02 05:00:20</t>
  </si>
  <si>
    <t>2025-10-17 05:00:19</t>
  </si>
  <si>
    <t>2025-10-24 05:00:20</t>
  </si>
  <si>
    <t>2025-10-30 05:00:20</t>
  </si>
  <si>
    <t>2025-11-07 05:00:20</t>
  </si>
  <si>
    <t>2025-11-14 05:00:20</t>
  </si>
  <si>
    <t>2025-11-15 05:00:20</t>
  </si>
  <si>
    <t>2025-11-18 05:00:20</t>
  </si>
  <si>
    <t>2025-12-20 05:00:20</t>
  </si>
  <si>
    <t>2025-12-26 05:00:19</t>
  </si>
  <si>
    <t>2025-12-27 05:00:19</t>
  </si>
  <si>
    <t>2026-01-14 05:00:20</t>
  </si>
  <si>
    <t>2026-01-15 05:00:20</t>
  </si>
  <si>
    <t>2026-01-30 05:00:19</t>
  </si>
  <si>
    <t>2026-02-04 05:00:20</t>
  </si>
  <si>
    <t>2026-02-07 05:00:20</t>
  </si>
  <si>
    <t>sikutyoson_mst</t>
    <phoneticPr fontId="1"/>
  </si>
  <si>
    <t>406274</t>
    <phoneticPr fontId="1"/>
  </si>
  <si>
    <t>2025-11-18 19:32:30</t>
  </si>
  <si>
    <t>2025-10-06 12:32:30</t>
  </si>
  <si>
    <t>2025-07-07 14:44:01</t>
  </si>
  <si>
    <t>319</t>
  </si>
  <si>
    <t>2023-07-21 13:13:26</t>
  </si>
  <si>
    <t>2026-02-25 15:10:35</t>
  </si>
  <si>
    <t>249</t>
  </si>
  <si>
    <t>2026-03-27 15:10:35</t>
  </si>
  <si>
    <t>165</t>
  </si>
  <si>
    <t>2026-03-16 15:10:35</t>
  </si>
  <si>
    <t>2022-06-16 12:56:58</t>
  </si>
  <si>
    <t>128</t>
  </si>
  <si>
    <t>2025-10-29 18:32:30</t>
  </si>
  <si>
    <t>2025-04-07 18:05:35</t>
  </si>
  <si>
    <t>2026-03-26 13:10:35</t>
  </si>
  <si>
    <t>2025-07-04 12:05:35</t>
  </si>
  <si>
    <t>2026-01-29 10:32:30</t>
  </si>
  <si>
    <t>2026-01-24 14:32:30</t>
  </si>
  <si>
    <t>2025-03-14 15:05:35</t>
  </si>
  <si>
    <t>2025-07-23 14:32:30</t>
  </si>
  <si>
    <t>277</t>
  </si>
  <si>
    <t>2026-02-24 12:10:35</t>
  </si>
  <si>
    <t>2025-06-26 12:05:35</t>
  </si>
  <si>
    <t>2025-12-18 17:32:30</t>
  </si>
  <si>
    <t>2026-02-05 15:32:30</t>
  </si>
  <si>
    <t>2025-05-22 12:05:35</t>
  </si>
  <si>
    <t>93</t>
  </si>
  <si>
    <t>2026-03-25 14:10:35</t>
  </si>
  <si>
    <t>2024-11-19 11:14:00</t>
  </si>
  <si>
    <t>2025-12-25 13:32:30</t>
  </si>
  <si>
    <t>2023-11-10 15:39:42</t>
  </si>
  <si>
    <t>2025-09-25 16:32:30</t>
  </si>
  <si>
    <t>2026-03-06 11:10:35</t>
  </si>
  <si>
    <t>2026-03-09 14:10:35</t>
  </si>
  <si>
    <t>465</t>
  </si>
  <si>
    <t>2024-03-29 13:15:44</t>
  </si>
  <si>
    <t>2025-12-24 17:32:30</t>
  </si>
  <si>
    <t>2026-03-09 10:10:35</t>
  </si>
  <si>
    <t>53</t>
  </si>
  <si>
    <t>2024-10-09 12:14:00</t>
  </si>
  <si>
    <t>943</t>
  </si>
  <si>
    <t>2026-03-31 09:10:35</t>
  </si>
  <si>
    <t>44</t>
  </si>
  <si>
    <t>2025-04-21 19:05:35</t>
  </si>
  <si>
    <t>2025-03-22 11:05:35</t>
  </si>
  <si>
    <t>2025-02-27 10:14:00</t>
  </si>
  <si>
    <t>2024-07-10 18:15:43</t>
  </si>
  <si>
    <t>2025-12-13 00:32:30</t>
  </si>
  <si>
    <t>2025-03-25 17:05:34</t>
  </si>
  <si>
    <t>2026-04-01 08:10:35</t>
  </si>
  <si>
    <t>2025-09-01 15:32:30</t>
  </si>
  <si>
    <t>2026-03-31 10:10:35</t>
  </si>
  <si>
    <t>2024-07-03 17:15:44</t>
  </si>
  <si>
    <t>2026-02-18 11:10:35</t>
  </si>
  <si>
    <t>2025-11-17 16:32:30</t>
  </si>
  <si>
    <t>2023-08-28 13:01:50</t>
  </si>
  <si>
    <t>2025-11-28 14:32:30</t>
  </si>
  <si>
    <t>75</t>
  </si>
  <si>
    <t>2026-03-17 15:10:35</t>
  </si>
  <si>
    <t>30</t>
  </si>
  <si>
    <t>2026-02-17 12:10:35</t>
  </si>
  <si>
    <t>2025-11-13 14:32:30</t>
  </si>
  <si>
    <t>2026-03-05 12:10:35</t>
  </si>
  <si>
    <t>2025-08-01 18:32:30</t>
  </si>
  <si>
    <t>2024-12-20 15:14:00</t>
  </si>
  <si>
    <t>2026-01-29 13:32:30</t>
  </si>
  <si>
    <t>2026-02-12 13:10:35</t>
  </si>
  <si>
    <t>2025-09-11 10:32:30</t>
  </si>
  <si>
    <t>2026-03-23 12:10:35</t>
  </si>
  <si>
    <t>2026-02-12 17:10:35</t>
  </si>
  <si>
    <t>2025-03-03 14:05:35</t>
  </si>
  <si>
    <t>2024-04-08 13:15:44</t>
  </si>
  <si>
    <t>2025-04-17 18:05:35</t>
  </si>
  <si>
    <t>2025-12-23 17:32:30</t>
  </si>
  <si>
    <t>2026-01-30 14:32:30</t>
  </si>
  <si>
    <t>2025-07-04 14:05:35</t>
  </si>
  <si>
    <t>2025-10-20 14:32:30</t>
  </si>
  <si>
    <t>2026-01-27 16:32:30</t>
  </si>
  <si>
    <t>2026-02-16 17:10:35</t>
  </si>
  <si>
    <t>2025-03-11 12:05:35</t>
  </si>
  <si>
    <t>2025-07-29 09:32:30</t>
  </si>
  <si>
    <t>2025-05-09 16:05:35</t>
  </si>
  <si>
    <t>2026-03-05 18:10:35</t>
  </si>
  <si>
    <t>2025-09-04 14:32:30</t>
  </si>
  <si>
    <t>2025-06-13 11:05:36</t>
  </si>
  <si>
    <t>2025-12-12 13:32:30</t>
  </si>
  <si>
    <t>2025-06-24 15:05:35</t>
  </si>
  <si>
    <t>2025-08-28 13:32:30</t>
  </si>
  <si>
    <t>2025-10-29 16:32:30</t>
  </si>
  <si>
    <t>2025-10-22 13:32:30</t>
  </si>
  <si>
    <t>201</t>
  </si>
  <si>
    <t>69</t>
  </si>
  <si>
    <t>2026-01-28 17:32:30</t>
  </si>
  <si>
    <t>27</t>
  </si>
  <si>
    <t>2025-11-26 17:32:30</t>
  </si>
  <si>
    <t>2026-02-21 11:10:35</t>
  </si>
  <si>
    <t>2025-09-22 13:32:30</t>
  </si>
  <si>
    <t>2026-01-21 18:32:30</t>
  </si>
  <si>
    <t>2026-01-06 16:32:30</t>
  </si>
  <si>
    <t>2026-01-21 14:32:30</t>
  </si>
  <si>
    <t>2026-03-09 18:10:35</t>
  </si>
  <si>
    <t>2026-03-19 18:10:35</t>
  </si>
  <si>
    <t>2025-11-06 12:32:30</t>
  </si>
  <si>
    <t>2025-10-09 18:32:30</t>
  </si>
  <si>
    <t>2025-11-30 11:32:30</t>
  </si>
  <si>
    <t>82</t>
  </si>
  <si>
    <t>2025-12-03 10:32:30</t>
  </si>
  <si>
    <t>2025-11-11 15:32:30</t>
  </si>
  <si>
    <t>2026-01-15 10:32:30</t>
  </si>
  <si>
    <t>2025-11-06 17:32:30</t>
  </si>
  <si>
    <t>2026-01-09 17:32:30</t>
  </si>
  <si>
    <t>2026-02-12 14:10:35</t>
  </si>
  <si>
    <t>2026-03-02 16:10:35</t>
  </si>
  <si>
    <t>2026-01-25 14:32:30</t>
  </si>
  <si>
    <t>2026-02-27 17:10:35</t>
  </si>
  <si>
    <t>2026-02-15 15:10:35</t>
  </si>
  <si>
    <t>2026-02-25 16:10:35</t>
  </si>
  <si>
    <t>2026-02-17 17:10:35</t>
  </si>
  <si>
    <t>2026-03-30 16:10:35</t>
  </si>
  <si>
    <t>2026-03-31 17:10:35</t>
  </si>
  <si>
    <t>2026-03-24 15:10:35</t>
  </si>
  <si>
    <t>2026-03-12 11:10:35</t>
  </si>
  <si>
    <t>2026-04-01 14:10:35</t>
  </si>
  <si>
    <t>2025-03-03 17:51:58</t>
  </si>
  <si>
    <t>2023-10-17 13:38:01</t>
  </si>
  <si>
    <t>2025-06-04 15:15:54</t>
  </si>
  <si>
    <t>2026-01-29 13:57:26</t>
  </si>
  <si>
    <t>user_mst</t>
    <phoneticPr fontId="1"/>
  </si>
  <si>
    <t>2024-09-19 12:58:35</t>
  </si>
  <si>
    <t>2025-07-04 14:55:27</t>
  </si>
  <si>
    <t>64</t>
  </si>
  <si>
    <t>2026-01-15 18:05:35</t>
  </si>
  <si>
    <t>2026-03-25 09:45:51</t>
  </si>
  <si>
    <t>2026-03-30 19:25:51</t>
  </si>
  <si>
    <t>2024-04-15 16:45:08</t>
  </si>
  <si>
    <t>2026-03-30 19:05:51</t>
  </si>
  <si>
    <t>2025-02-07 10:15:34</t>
  </si>
  <si>
    <t>2026-03-30 19:35:51</t>
  </si>
  <si>
    <t>2024-09-20 10:55:35</t>
  </si>
  <si>
    <t>2026-03-31 18:25:51</t>
  </si>
  <si>
    <t>2026-03-31 18:15:51</t>
  </si>
  <si>
    <t>2026-03-30 19:15:51</t>
  </si>
  <si>
    <t>2024-01-31 11:04:45</t>
  </si>
  <si>
    <t>2024-05-15 13:15:09</t>
  </si>
  <si>
    <t>2024-05-07 17:35:08</t>
  </si>
  <si>
    <t>2024-10-31 16:55:34</t>
  </si>
  <si>
    <t>2024-10-17 09:35:35</t>
  </si>
  <si>
    <t>2026-03-31 08:45:51</t>
  </si>
  <si>
    <t>2025-07-25 17:05:35</t>
  </si>
  <si>
    <t>2024-01-18 11:27:22</t>
  </si>
  <si>
    <t>2024-02-01 15:55:09</t>
  </si>
  <si>
    <t>2024-03-07 11:34:35</t>
  </si>
  <si>
    <t>2024-04-11 10:36:08</t>
  </si>
  <si>
    <t>2024-05-27 18:05:08</t>
  </si>
  <si>
    <t>2024-10-01 22:42:44</t>
  </si>
  <si>
    <t>2025-12-02 10:15:35</t>
  </si>
  <si>
    <t>2025-01-27 10:55:34</t>
  </si>
  <si>
    <t>2025-07-10 16:15:35</t>
  </si>
  <si>
    <t>2025-06-09 13:05:28</t>
  </si>
  <si>
    <t>2025-03-03 14:05:28</t>
  </si>
  <si>
    <t>2025-10-23 17:15:35</t>
  </si>
  <si>
    <t>2025-06-19 16:55:28</t>
  </si>
  <si>
    <t>2025-06-23 17:25:28</t>
  </si>
  <si>
    <t>2025-10-23 17:25:35</t>
  </si>
  <si>
    <t>2025-10-16 15:25:35</t>
  </si>
  <si>
    <t>2025-09-12 11:15:35</t>
  </si>
  <si>
    <t>2025-09-04 05:15:08</t>
  </si>
  <si>
    <t>2025-09-17 16:15:35</t>
  </si>
  <si>
    <t>2025-10-01 05:15:08</t>
  </si>
  <si>
    <t>2025-10-02 05:15:08</t>
  </si>
  <si>
    <t>2025-10-07 05:15:08</t>
  </si>
  <si>
    <t>2025-10-17 05:15:08</t>
  </si>
  <si>
    <t>2025-10-24 05:15:08</t>
  </si>
  <si>
    <t>2025-10-30 05:15:08</t>
  </si>
  <si>
    <t>2025-11-07 05:15:08</t>
  </si>
  <si>
    <t>2025-11-14 05:15:08</t>
  </si>
  <si>
    <t>2025-11-15 05:15:08</t>
  </si>
  <si>
    <t>2025-11-18 05:15:08</t>
  </si>
  <si>
    <t>2025-12-20 05:15:08</t>
  </si>
  <si>
    <t>2025-12-26 05:15:08</t>
  </si>
  <si>
    <t>2025-12-27 05:15:08</t>
  </si>
  <si>
    <t>2026-01-14 05:15:08</t>
  </si>
  <si>
    <t>2026-01-15 05:15:08</t>
  </si>
  <si>
    <t>2026-02-07 05:15:08</t>
  </si>
  <si>
    <t>2026-02-14 05:15:07</t>
  </si>
  <si>
    <t>2026-02-25 05:15:07</t>
  </si>
  <si>
    <t>2026-03-07 05:15:07</t>
  </si>
  <si>
    <t>2026-03-10 05:15:07</t>
  </si>
  <si>
    <t>2026-03-14 05:15:07</t>
  </si>
  <si>
    <t>2026-03-27 05:15:07</t>
  </si>
  <si>
    <t>2026-03-31 05:15:07</t>
  </si>
  <si>
    <t>2022-06-16 12:57:41</t>
  </si>
  <si>
    <t>149</t>
  </si>
  <si>
    <t>2026-03-31 09:15:51</t>
  </si>
  <si>
    <t>02000001</t>
    <phoneticPr fontId="1"/>
  </si>
  <si>
    <t>userarea_l_mst</t>
    <phoneticPr fontId="1"/>
  </si>
  <si>
    <t>2025-09-01 11:40:05</t>
  </si>
  <si>
    <t>2026-03-25 11:27:13</t>
  </si>
  <si>
    <t>2025-05-16 15:44:45</t>
  </si>
  <si>
    <t>304</t>
  </si>
  <si>
    <t>2025-08-15 16:10:55</t>
  </si>
  <si>
    <t>2025-07-17 07:29:28</t>
  </si>
  <si>
    <t>2025-05-20 08:12:46</t>
  </si>
  <si>
    <t>2025-12-16 17:37:32</t>
  </si>
  <si>
    <t>2023-04-11 10:10:03</t>
  </si>
  <si>
    <t>203</t>
  </si>
  <si>
    <t>2025-09-26 09:19:56</t>
  </si>
  <si>
    <t>2023-07-24 15:39:10</t>
  </si>
  <si>
    <t>2024-05-17 13:01:28</t>
  </si>
  <si>
    <t>2024-03-05 13:36:45</t>
  </si>
  <si>
    <t>2024-09-04 17:19:10</t>
  </si>
  <si>
    <t>2025-10-27 18:10:05</t>
  </si>
  <si>
    <t>2026-03-06 16:12:16</t>
  </si>
  <si>
    <t>2025-09-09 13:21:34</t>
  </si>
  <si>
    <t>2025-02-14 13:20:50</t>
  </si>
  <si>
    <t>2025-07-17 16:19:47</t>
  </si>
  <si>
    <t>2025-05-22 12:37:34</t>
  </si>
  <si>
    <t>198</t>
  </si>
  <si>
    <t>2026-03-21 08:26:15</t>
  </si>
  <si>
    <t>214</t>
  </si>
  <si>
    <t>2025-12-01 14:37:38</t>
  </si>
  <si>
    <t>2025-10-19 10:06:03</t>
  </si>
  <si>
    <t>2026-02-25 08:51:47</t>
  </si>
  <si>
    <t>2026-03-30 10:39:38</t>
  </si>
  <si>
    <t>2026-03-27 16:56:16</t>
  </si>
  <si>
    <t>2025-11-20 08:02:33</t>
  </si>
  <si>
    <t>2026-02-01 11:13:38</t>
  </si>
  <si>
    <t>2026-01-23 10:17:26</t>
  </si>
  <si>
    <t>userarea_mst</t>
    <phoneticPr fontId="1"/>
  </si>
  <si>
    <t>userarea_p_mst</t>
    <phoneticPr fontId="1"/>
  </si>
  <si>
    <t>250</t>
  </si>
  <si>
    <t>1428</t>
  </si>
  <si>
    <t>428</t>
  </si>
  <si>
    <t>1099</t>
  </si>
  <si>
    <t>891</t>
  </si>
  <si>
    <t>1350</t>
  </si>
  <si>
    <t>695</t>
  </si>
  <si>
    <t>150</t>
  </si>
  <si>
    <t>682</t>
  </si>
  <si>
    <t>80</t>
  </si>
  <si>
    <t>1376</t>
  </si>
  <si>
    <t>2026-03-18 09:53:16</t>
  </si>
  <si>
    <t>17811</t>
  </si>
  <si>
    <t>2026-03-06 14:20:36</t>
  </si>
  <si>
    <t>2023-08-01 16:40:25</t>
  </si>
  <si>
    <t>97888</t>
  </si>
  <si>
    <t>2026-04-01 14:36:05</t>
  </si>
  <si>
    <t>65382</t>
  </si>
  <si>
    <t>2026-04-01 14:05:17</t>
  </si>
  <si>
    <t>46288</t>
  </si>
  <si>
    <t>2026-04-01 06:04:13</t>
  </si>
  <si>
    <t>54878</t>
  </si>
  <si>
    <t>2026-04-01 14:22:08</t>
  </si>
  <si>
    <t>25012</t>
  </si>
  <si>
    <t>2026-04-01 03:00:16</t>
  </si>
  <si>
    <t>5059</t>
  </si>
  <si>
    <t>2026-03-31 20:02:31</t>
  </si>
  <si>
    <t>6956</t>
  </si>
  <si>
    <t>2026-04-01 02:35:50</t>
  </si>
  <si>
    <t>2039</t>
  </si>
  <si>
    <t>2026-03-31 17:39:52</t>
  </si>
  <si>
    <t>13812</t>
  </si>
  <si>
    <t>2026-03-30 10:30:26</t>
  </si>
  <si>
    <t>147632</t>
  </si>
  <si>
    <t>2026-04-01 14:37:42</t>
  </si>
  <si>
    <t>33694</t>
  </si>
  <si>
    <t>2026-04-01 07:13:35</t>
  </si>
  <si>
    <t>25715</t>
  </si>
  <si>
    <t>2026-04-01 04:46:04</t>
  </si>
  <si>
    <t>33213</t>
  </si>
  <si>
    <t>2026-04-01 11:37:01</t>
  </si>
  <si>
    <t>34973</t>
  </si>
  <si>
    <t>2026-04-01 14:30:31</t>
  </si>
  <si>
    <t>2026-03-30 09:35:26</t>
  </si>
  <si>
    <t>18058</t>
  </si>
  <si>
    <t>2026-04-01 13:15:49</t>
  </si>
  <si>
    <t>27551</t>
  </si>
  <si>
    <t>2026-04-01 10:44:51</t>
  </si>
  <si>
    <t>10302</t>
  </si>
  <si>
    <t>2026-04-01 12:40:58</t>
  </si>
  <si>
    <t>1699</t>
  </si>
  <si>
    <t>2024-09-27 16:05:42</t>
  </si>
  <si>
    <t>20229</t>
  </si>
  <si>
    <t>2026-04-01 12:01:39</t>
  </si>
  <si>
    <t>11112</t>
  </si>
  <si>
    <t>2026-04-01 05:00:36</t>
  </si>
  <si>
    <t>14276</t>
  </si>
  <si>
    <t>2026-04-01 13:14:52</t>
  </si>
  <si>
    <t>170096</t>
  </si>
  <si>
    <t>2024-03-27 08:46:40</t>
  </si>
  <si>
    <t>5029</t>
  </si>
  <si>
    <t>2026-04-01 07:18:29</t>
  </si>
  <si>
    <t>9223</t>
  </si>
  <si>
    <t>2026-04-01 06:39:01</t>
  </si>
  <si>
    <t>46318</t>
  </si>
  <si>
    <t>2026-04-01 14:35:21</t>
  </si>
  <si>
    <t>371172</t>
  </si>
  <si>
    <t>2026-04-01 14:37:57</t>
  </si>
  <si>
    <t>24056</t>
  </si>
  <si>
    <t>2026-04-01 06:21:06</t>
  </si>
  <si>
    <t>7131</t>
  </si>
  <si>
    <t>2026-04-01 08:51:07</t>
  </si>
  <si>
    <t>8172</t>
  </si>
  <si>
    <t>2026-04-01 02:49:21</t>
  </si>
  <si>
    <t>9203</t>
  </si>
  <si>
    <t>2026-04-01 11:19:05</t>
  </si>
  <si>
    <t>7064</t>
  </si>
  <si>
    <t>2026-04-01 14:04:17</t>
  </si>
  <si>
    <t>12182</t>
  </si>
  <si>
    <t>2026-04-01 03:34:39</t>
  </si>
  <si>
    <t>3943</t>
  </si>
  <si>
    <t>2026-03-29 19:35:56</t>
  </si>
  <si>
    <t>4829</t>
  </si>
  <si>
    <t>2026-04-01 14:15:20</t>
  </si>
  <si>
    <t>42135</t>
  </si>
  <si>
    <t>2026-04-01 14:26:42</t>
  </si>
  <si>
    <t>6353</t>
  </si>
  <si>
    <t>2026-04-01 03:13:34</t>
  </si>
  <si>
    <t>99075</t>
  </si>
  <si>
    <t>2026-04-01 14:35:52</t>
  </si>
  <si>
    <t>6867</t>
  </si>
  <si>
    <t>2026-04-01 14:24:46</t>
  </si>
  <si>
    <t>5857</t>
  </si>
  <si>
    <t>2026-03-29 03:49:34</t>
  </si>
  <si>
    <t>31230</t>
  </si>
  <si>
    <t>2026-04-01 14:38:19</t>
  </si>
  <si>
    <t>26557</t>
  </si>
  <si>
    <t>2026-04-01 11:48:07</t>
  </si>
  <si>
    <t>13043</t>
  </si>
  <si>
    <t>2026-04-01 06:28:06</t>
  </si>
  <si>
    <t>9811</t>
  </si>
  <si>
    <t>2026-04-01 14:00:26</t>
  </si>
  <si>
    <t>22464</t>
  </si>
  <si>
    <t>2026-04-01 12:27:17</t>
  </si>
  <si>
    <t>6369</t>
  </si>
  <si>
    <t>2026-04-01 01:55:06</t>
  </si>
  <si>
    <t>9404</t>
  </si>
  <si>
    <t>2026-03-18 14:00:20</t>
  </si>
  <si>
    <t>9596</t>
  </si>
  <si>
    <t>2026-04-01 12:46:52</t>
  </si>
  <si>
    <t>9179</t>
  </si>
  <si>
    <t>2026-04-01 05:18:55</t>
  </si>
  <si>
    <t>6260</t>
  </si>
  <si>
    <t>2026-03-30 16:18:52</t>
  </si>
  <si>
    <t>14336</t>
  </si>
  <si>
    <t>2026-04-01 08:42:56</t>
  </si>
  <si>
    <t>4401</t>
  </si>
  <si>
    <t>2026-04-01 09:15:25</t>
  </si>
  <si>
    <t>2483</t>
  </si>
  <si>
    <t>2026-04-01 04:25:33</t>
  </si>
  <si>
    <t>332</t>
  </si>
  <si>
    <t>2026-03-25 11:32:57</t>
  </si>
  <si>
    <t>3556</t>
  </si>
  <si>
    <t>2026-04-01 09:57:47</t>
  </si>
  <si>
    <t>10572</t>
  </si>
  <si>
    <t>2026-04-01 13:27:56</t>
  </si>
  <si>
    <t>4630</t>
  </si>
  <si>
    <t>2026-04-01 09:23:57</t>
  </si>
  <si>
    <t>603</t>
  </si>
  <si>
    <t>2026-04-01 07:58:33</t>
  </si>
  <si>
    <t>1848</t>
  </si>
  <si>
    <t>2026-04-01 14:29:46</t>
  </si>
  <si>
    <t>1754</t>
  </si>
  <si>
    <t>2026-03-31 23:03:07</t>
  </si>
  <si>
    <t>3177</t>
  </si>
  <si>
    <t>2026-04-01 10:19:10</t>
  </si>
  <si>
    <t>1738</t>
  </si>
  <si>
    <t>2026-04-01 11:13:22</t>
  </si>
  <si>
    <t>631</t>
  </si>
  <si>
    <t>2026-02-11 00:03:25</t>
  </si>
  <si>
    <t>3011</t>
  </si>
  <si>
    <t>2026-04-01 10:01:01</t>
  </si>
  <si>
    <t>2395</t>
  </si>
  <si>
    <t>2026-04-01 01:08:00</t>
  </si>
  <si>
    <t>2902</t>
  </si>
  <si>
    <t>2026-04-01 02:09:49</t>
  </si>
  <si>
    <t>202</t>
  </si>
  <si>
    <t>2026-03-26 15:22:20</t>
  </si>
  <si>
    <t>1332</t>
  </si>
  <si>
    <t>2026-04-01 08:01:56</t>
  </si>
  <si>
    <t>2786</t>
  </si>
  <si>
    <t>2026-04-01 02:30:27</t>
  </si>
  <si>
    <t>1173</t>
  </si>
  <si>
    <t>2026-04-01 01:42:24</t>
  </si>
  <si>
    <t>14707</t>
  </si>
  <si>
    <t>2026-04-01 13:57:15</t>
  </si>
  <si>
    <t>6868</t>
  </si>
  <si>
    <t>2026-04-01 13:39:01</t>
  </si>
  <si>
    <t>2756</t>
  </si>
  <si>
    <t>2026-04-01 08:46:15</t>
  </si>
  <si>
    <t>1707</t>
  </si>
  <si>
    <t>2026-04-01 07:31:59</t>
  </si>
  <si>
    <t>771</t>
  </si>
  <si>
    <t>2026-04-01 02:41:38</t>
  </si>
  <si>
    <t>4361</t>
  </si>
  <si>
    <t>2026-04-01 14:02:57</t>
  </si>
  <si>
    <t>8431</t>
  </si>
  <si>
    <t>2026-04-01 05:32:53</t>
  </si>
  <si>
    <t>5415</t>
  </si>
  <si>
    <t>2026-04-01 14:01:22</t>
  </si>
  <si>
    <t>8223</t>
  </si>
  <si>
    <t>2026-04-01 13:10:45</t>
  </si>
  <si>
    <t>2939</t>
  </si>
  <si>
    <t>2026-04-01 10:36:20</t>
  </si>
  <si>
    <t>2318</t>
  </si>
  <si>
    <t>2026-04-01 07:52:15</t>
  </si>
  <si>
    <t>514</t>
  </si>
  <si>
    <t>2026-04-01 02:20:54</t>
  </si>
  <si>
    <t>1661</t>
  </si>
  <si>
    <t>2026-04-01 12:38:21</t>
  </si>
  <si>
    <t>5347</t>
  </si>
  <si>
    <t>2026-04-01 13:00:25</t>
  </si>
  <si>
    <t>4676</t>
  </si>
  <si>
    <t>2026-04-01 12:42:51</t>
  </si>
  <si>
    <t>2026-02-19 15:21:13</t>
  </si>
  <si>
    <t>2026-04-01 09:51:03</t>
  </si>
  <si>
    <t>2025-11-18 19:25:29</t>
  </si>
  <si>
    <t>220</t>
  </si>
  <si>
    <t>2026-04-01 09:13:19</t>
  </si>
  <si>
    <t>531</t>
  </si>
  <si>
    <t>2026-03-31 23:42:25</t>
  </si>
  <si>
    <t>707</t>
  </si>
  <si>
    <t>2026-04-01 05:05:42</t>
  </si>
  <si>
    <t>281</t>
  </si>
  <si>
    <t>2026-03-31 23:50:49</t>
  </si>
  <si>
    <t>408</t>
  </si>
  <si>
    <t>726</t>
  </si>
  <si>
    <t>2026-04-01 13:21:48</t>
  </si>
  <si>
    <t>778</t>
  </si>
  <si>
    <t>2026-04-01 04:01:52</t>
  </si>
  <si>
    <t>1199</t>
  </si>
  <si>
    <t>2026-04-01 14:27:22</t>
  </si>
  <si>
    <t>86</t>
  </si>
  <si>
    <t>2026-03-31 18:37:08</t>
  </si>
  <si>
    <t>2026-03-31 21:41:21</t>
  </si>
  <si>
    <t>51</t>
  </si>
  <si>
    <t>2026-04-01 11:54:17</t>
  </si>
  <si>
    <t>2026-03-31 22:50:36</t>
  </si>
  <si>
    <t>2026-03-28 16:44:31</t>
  </si>
  <si>
    <t>2026-03-28 17:42:02</t>
  </si>
  <si>
    <t>2026-04-01 14:38:13</t>
  </si>
  <si>
    <t>2025-07-08 05:00:48</t>
  </si>
  <si>
    <t>2025-07-07 14:47:39</t>
  </si>
  <si>
    <t>2026-03-26 05:00:20</t>
  </si>
  <si>
    <t>2026-03-07 05:00:20</t>
  </si>
  <si>
    <t>2025-11-21 05:00:48</t>
  </si>
  <si>
    <t>2026-01-24 05:00:48</t>
  </si>
  <si>
    <t>2026-03-12 05:00:20</t>
  </si>
  <si>
    <t>2025-11-22 05:00:48</t>
  </si>
  <si>
    <t>2025-08-26 05:00:48</t>
  </si>
  <si>
    <t>2025-07-16 05:00:48</t>
  </si>
  <si>
    <t>2025-07-17 05:00:48</t>
  </si>
  <si>
    <t>2025-07-19 05:00:48</t>
  </si>
  <si>
    <t>2025-07-29 05:00:48</t>
  </si>
  <si>
    <t>2025-08-01 05:00:48</t>
  </si>
  <si>
    <t>2025-08-09 05:00:48</t>
  </si>
  <si>
    <t>2025-08-29 05:00:48</t>
  </si>
  <si>
    <t>2025-09-02 05:00:48</t>
  </si>
  <si>
    <t>2025-09-03 05:00:48</t>
  </si>
  <si>
    <t>2025-09-04 05:00:48</t>
  </si>
  <si>
    <t>2025-09-05 05:00:48</t>
  </si>
  <si>
    <t>2025-09-13 05:00:48</t>
  </si>
  <si>
    <t>2025-10-01 05:00:48</t>
  </si>
  <si>
    <t>2025-10-02 05:00:48</t>
  </si>
  <si>
    <t>2025-10-07 05:00:48</t>
  </si>
  <si>
    <t>2025-10-17 05:00:48</t>
  </si>
  <si>
    <t>2025-10-24 05:00:48</t>
  </si>
  <si>
    <t>2025-10-30 05:00:48</t>
  </si>
  <si>
    <t>2025-11-07 05:01:04</t>
  </si>
  <si>
    <t>2025-11-14 05:00:48</t>
  </si>
  <si>
    <t>2025-11-15 05:00:48</t>
  </si>
  <si>
    <t>2025-11-18 05:00:48</t>
  </si>
  <si>
    <t>2025-12-20 05:00:48</t>
  </si>
  <si>
    <t>2025-12-26 05:00:48</t>
  </si>
  <si>
    <t>2025-12-27 05:00:48</t>
  </si>
  <si>
    <t>2026-01-14 05:00:48</t>
  </si>
  <si>
    <t>2026-01-15 05:00:48</t>
  </si>
  <si>
    <t>2026-01-30 05:00:48</t>
  </si>
  <si>
    <t>2026-02-04 05:00:48</t>
  </si>
  <si>
    <t>2026-02-07 05:00:48</t>
  </si>
  <si>
    <t>2026-02-14 05:00:20</t>
  </si>
  <si>
    <t>2026-02-25 05:00:20</t>
  </si>
  <si>
    <t>2026-02-26 05:00:20</t>
  </si>
  <si>
    <t>2026-03-03 05:00:20</t>
  </si>
  <si>
    <t>2026-03-10 05:00:20</t>
  </si>
  <si>
    <t>2026-03-14 05:00:20</t>
  </si>
  <si>
    <t>2026-03-20 05:00:20</t>
  </si>
  <si>
    <t>2026-03-24 05:00:20</t>
  </si>
  <si>
    <t>2026-03-27 05:00:20</t>
  </si>
  <si>
    <t>2026-03-31 05:00:20</t>
  </si>
  <si>
    <t>syasyu_mst</t>
    <phoneticPr fontId="1"/>
  </si>
  <si>
    <t>2024-07-22 17:50:20</t>
  </si>
  <si>
    <t>2025-11-19 08:44:39</t>
  </si>
  <si>
    <t>2024-12-13 17:42:27</t>
  </si>
  <si>
    <t>2025-10-07 08:28:54</t>
  </si>
  <si>
    <t>2025-11-27 09:00:21</t>
  </si>
  <si>
    <t>2023-12-01 13:44:17</t>
  </si>
  <si>
    <t>2022-09-06 12:15:44</t>
  </si>
  <si>
    <t>2022-08-29 15:41:13</t>
  </si>
  <si>
    <t>2025-11-05 11:04:21</t>
  </si>
  <si>
    <t>2022-10-12 17:39:44</t>
  </si>
  <si>
    <t>2022-11-10 16:21:50</t>
  </si>
  <si>
    <t>2023-01-06 10:35:40</t>
  </si>
  <si>
    <t>2022-10-19 11:28:28</t>
  </si>
  <si>
    <t>2023-03-30 09:00:42</t>
  </si>
  <si>
    <t>2023-05-13 13:41:48</t>
  </si>
  <si>
    <t>2023-07-14 17:05:47</t>
  </si>
  <si>
    <t>2023-10-20 08:47:21</t>
  </si>
  <si>
    <t>2023-09-19 17:34:45</t>
  </si>
  <si>
    <t>2023-08-25 19:11:40</t>
  </si>
  <si>
    <t>2024-01-09 12:29:18</t>
  </si>
  <si>
    <t>2023-10-02 09:31:54</t>
  </si>
  <si>
    <t>2023-12-05 09:17:37</t>
  </si>
  <si>
    <t>2024-01-15 17:49:00</t>
  </si>
  <si>
    <t>2023-12-27 10:01:21</t>
  </si>
  <si>
    <t>2024-01-17 12:49:42</t>
  </si>
  <si>
    <t>2024-04-05 15:43:24</t>
  </si>
  <si>
    <t>2024-11-05 17:09:15</t>
  </si>
  <si>
    <t>2025-12-25 12:35:24</t>
  </si>
  <si>
    <t>2025-02-19 16:13:30</t>
  </si>
  <si>
    <t>2025-05-16 12:43:41</t>
  </si>
  <si>
    <t>2025-05-22 12:28:32</t>
  </si>
  <si>
    <t>2025-05-22 17:37:54</t>
  </si>
  <si>
    <t>2025-06-04 15:10:22</t>
  </si>
  <si>
    <t>2025-06-19 13:10:52</t>
  </si>
  <si>
    <t>2025-08-06 09:53:57</t>
  </si>
  <si>
    <t>2025-08-06 09:57:40</t>
  </si>
  <si>
    <t>2025-11-10 07:49:27</t>
  </si>
  <si>
    <t>2025-09-29 18:25:50</t>
  </si>
  <si>
    <t>2025-09-04 10:14:58</t>
  </si>
  <si>
    <t>2025-10-14 17:08:31</t>
  </si>
  <si>
    <t>2025-10-06 17:56:22</t>
  </si>
  <si>
    <t>2025-10-10 17:54:00</t>
  </si>
  <si>
    <t>2025-10-10 19:06:16</t>
  </si>
  <si>
    <t>2025-11-11 11:29:08</t>
  </si>
  <si>
    <t>2025-12-15 11:28:45</t>
  </si>
  <si>
    <t>2026-02-06 06:12:32</t>
  </si>
  <si>
    <t>2026-01-30 13:28:34</t>
  </si>
  <si>
    <t>2026-01-30 11:20:23</t>
  </si>
  <si>
    <t>2026-03-05 13:45:36</t>
  </si>
  <si>
    <t>2026-03-26 19:29:27</t>
  </si>
  <si>
    <t>2026-03-25 08:42:10</t>
  </si>
  <si>
    <t>2026-03-14 14:43:40</t>
  </si>
  <si>
    <t>2026-03-27 07:15:44</t>
  </si>
  <si>
    <t>2024-07-22 17:50:54</t>
  </si>
  <si>
    <t>2025-11-19 08:43:56</t>
  </si>
  <si>
    <t>2023-01-20 16:33:27</t>
  </si>
  <si>
    <t>2024-11-09 18:12:04</t>
  </si>
  <si>
    <t>2025-01-28 19:17:12</t>
  </si>
  <si>
    <t>2025-06-05 13:53:46</t>
  </si>
  <si>
    <t>2025-12-09 19:18:18</t>
  </si>
  <si>
    <t>2025-12-11 11:30:59</t>
  </si>
  <si>
    <t>2026-02-06 22:15:48</t>
  </si>
  <si>
    <t>2026-01-30 11:22:41</t>
  </si>
  <si>
    <t>2026-03-25 08:41:55</t>
  </si>
  <si>
    <t>2026-03-27 07:14:50</t>
  </si>
  <si>
    <t>2026-03-26 12:49:08</t>
  </si>
  <si>
    <t>jomuin_mst</t>
    <phoneticPr fontId="1"/>
  </si>
  <si>
    <t>2026-03-04 13:17:51</t>
  </si>
  <si>
    <t>2025-07-30 09:39:26</t>
  </si>
  <si>
    <t>2025-07-04 09:47:51</t>
  </si>
  <si>
    <t>2023-07-13 18:48:37</t>
  </si>
  <si>
    <t>2026-03-27 17:33:26</t>
  </si>
  <si>
    <t>2026-03-03 13:03:43</t>
  </si>
  <si>
    <t>2026-03-17 08:57:42</t>
  </si>
  <si>
    <t>2026-02-09 19:02:32</t>
  </si>
  <si>
    <t>2026-03-16 11:46:07</t>
  </si>
  <si>
    <t>2026-04-01 09:38:54</t>
  </si>
  <si>
    <t>2026-03-03 10:10:13</t>
  </si>
  <si>
    <t>2026-03-10 14:49:02</t>
  </si>
  <si>
    <t>2026-02-01 08:25:11</t>
  </si>
  <si>
    <t>2026-02-22 06:42:51</t>
  </si>
  <si>
    <t>2026-03-31 18:36:38</t>
  </si>
  <si>
    <t>2026-03-04 10:45:16</t>
  </si>
  <si>
    <t>2025-12-15 16:52:49</t>
  </si>
  <si>
    <t>2026-03-25 09:21:03</t>
  </si>
  <si>
    <t>129</t>
  </si>
  <si>
    <t>2026-03-26 09:21:36</t>
  </si>
  <si>
    <t>2025-12-15 08:46:41</t>
  </si>
  <si>
    <t>2026-03-17 16:49:30</t>
  </si>
  <si>
    <t>114</t>
  </si>
  <si>
    <t>2026-03-24 06:53:45</t>
  </si>
  <si>
    <t>2026-02-02 08:21:15</t>
  </si>
  <si>
    <t>2024-01-26 11:00:03</t>
  </si>
  <si>
    <t>2026-03-08 10:52:11</t>
  </si>
  <si>
    <t>2026-03-12 13:44:27</t>
  </si>
  <si>
    <t>116</t>
  </si>
  <si>
    <t>2026-03-30 10:29:13</t>
  </si>
  <si>
    <t>2024-03-07 19:10:12</t>
  </si>
  <si>
    <t>2025-12-24 16:30:26</t>
  </si>
  <si>
    <t>2026-03-09 09:49:53</t>
  </si>
  <si>
    <t>184</t>
  </si>
  <si>
    <t>2026-03-30 04:04:35</t>
  </si>
  <si>
    <t>2026-04-01 14:19:10</t>
  </si>
  <si>
    <t>2026-02-16 13:29:07</t>
  </si>
  <si>
    <t>2026-01-30 14:29:48</t>
  </si>
  <si>
    <t>2026-02-05 11:11:27</t>
  </si>
  <si>
    <t>2026-03-02 15:59:42</t>
  </si>
  <si>
    <t>2026-04-01 07:22:17</t>
  </si>
  <si>
    <t>2025-03-14 18:05:32</t>
  </si>
  <si>
    <t>2026-04-01 09:02:57</t>
  </si>
  <si>
    <t>335</t>
  </si>
  <si>
    <t>2026-03-23 10:37:48</t>
  </si>
  <si>
    <t>2026-02-17 02:19:56</t>
  </si>
  <si>
    <t>328</t>
  </si>
  <si>
    <t>2026-03-23 15:14:20</t>
  </si>
  <si>
    <t>2025-12-27 10:14:21</t>
  </si>
  <si>
    <t>2026-03-27 06:53:26</t>
  </si>
  <si>
    <t>2026-01-23 15:07:24</t>
  </si>
  <si>
    <t>127</t>
  </si>
  <si>
    <t>2026-02-17 08:04:18</t>
  </si>
  <si>
    <t>2026-03-01 10:04:54</t>
  </si>
  <si>
    <t>2026-03-13 14:21:39</t>
  </si>
  <si>
    <t>2026-02-01 10:44:23</t>
  </si>
  <si>
    <t>2026-02-02 13:56:35</t>
  </si>
  <si>
    <t>2026-01-19 11:24:01</t>
  </si>
  <si>
    <t>2026-03-23 12:17:40</t>
  </si>
  <si>
    <t>2025-10-06 20:13:29</t>
  </si>
  <si>
    <t>2025-12-01 10:10:05</t>
  </si>
  <si>
    <t>2026-02-22 17:38:28</t>
  </si>
  <si>
    <t>2026-02-26 11:15:30</t>
  </si>
  <si>
    <t>2024-04-05 15:54:57</t>
  </si>
  <si>
    <t>2026-03-05 18:33:30</t>
  </si>
  <si>
    <t>2025-11-28 12:45:19</t>
  </si>
  <si>
    <t>173</t>
  </si>
  <si>
    <t>2025-12-04 10:06:24</t>
  </si>
  <si>
    <t>2026-03-11 13:12:38</t>
  </si>
  <si>
    <t>2026-03-06 16:02:45</t>
  </si>
  <si>
    <t>2026-02-27 13:12:05</t>
  </si>
  <si>
    <t>2025-12-29 17:00:52</t>
  </si>
  <si>
    <t>2026-03-31 12:48:43</t>
  </si>
  <si>
    <t>2026-03-24 11:48:27</t>
  </si>
  <si>
    <t>2025-06-27 09:19:56</t>
  </si>
  <si>
    <t>2026-03-10 16:05:31</t>
  </si>
  <si>
    <t>2025-07-30 11:59:42</t>
  </si>
  <si>
    <t>2025-06-13 09:15:20</t>
  </si>
  <si>
    <t>2025-12-15 08:44:48</t>
  </si>
  <si>
    <t>2025-08-06 18:42:50</t>
  </si>
  <si>
    <t>2026-04-01 13:06:56</t>
  </si>
  <si>
    <t>2026-03-09 10:16:17</t>
  </si>
  <si>
    <t>2025-11-04 17:09:33</t>
  </si>
  <si>
    <t>2026-03-30 00:57:19</t>
  </si>
  <si>
    <t>2026-03-28 08:08:24</t>
  </si>
  <si>
    <t>2026-01-20 17:10:19</t>
  </si>
  <si>
    <t>2026-03-26 15:50:07</t>
  </si>
  <si>
    <t>2025-09-17 10:03:25</t>
  </si>
  <si>
    <t>2026-03-26 06:50:48</t>
  </si>
  <si>
    <t>2026-03-21 08:21:54</t>
  </si>
  <si>
    <t>2026-03-30 13:30:43</t>
  </si>
  <si>
    <t>2026-03-24 11:46:54</t>
  </si>
  <si>
    <t>2026-03-11 15:47:16</t>
  </si>
  <si>
    <t>2026-03-06 14:11:34</t>
  </si>
  <si>
    <t>2025-10-23 17:11:03</t>
  </si>
  <si>
    <t>2026-03-02 21:23:22</t>
  </si>
  <si>
    <t>2026-03-18 13:10:25</t>
  </si>
  <si>
    <t>2026-03-17 20:41:36</t>
  </si>
  <si>
    <t>2025-11-11 16:09:00</t>
  </si>
  <si>
    <t>2025-12-01 13:36:12</t>
  </si>
  <si>
    <t>2025-11-13 17:33:18</t>
  </si>
  <si>
    <t>2026-03-06 12:16:06</t>
  </si>
  <si>
    <t>2025-12-16 14:51:43</t>
  </si>
  <si>
    <t>2026-03-19 07:27:45</t>
  </si>
  <si>
    <t>2026-01-20 15:44:43</t>
  </si>
  <si>
    <t>2026-02-10 15:07:18</t>
  </si>
  <si>
    <t>2026-03-18 17:24:00</t>
  </si>
  <si>
    <t>2026-03-28 07:46:37</t>
  </si>
  <si>
    <t>2026-02-17 16:30:12</t>
  </si>
  <si>
    <t>2026-02-27 12:55:51</t>
  </si>
  <si>
    <t>2026-03-07 17:04:45</t>
  </si>
  <si>
    <t>2026-03-26 15:22:55</t>
  </si>
  <si>
    <t>2026-03-26 12:37:16</t>
  </si>
  <si>
    <t>2026-03-28 15:02:40</t>
  </si>
  <si>
    <t>2026-03-15 14:21:24</t>
  </si>
  <si>
    <t>2026-03-24 14:58:37</t>
  </si>
  <si>
    <t>2026-03-28 13:47:49</t>
  </si>
  <si>
    <t>2026-03-26 12:51:36</t>
  </si>
  <si>
    <t>791</t>
  </si>
  <si>
    <t>753</t>
  </si>
  <si>
    <t>313</t>
  </si>
  <si>
    <t>536</t>
  </si>
  <si>
    <t>405834</t>
  </si>
  <si>
    <t>17741</t>
  </si>
  <si>
    <t>97869</t>
  </si>
  <si>
    <t>65379</t>
  </si>
  <si>
    <t>46279</t>
  </si>
  <si>
    <t>54864</t>
  </si>
  <si>
    <t>25009</t>
  </si>
  <si>
    <t>5058</t>
  </si>
  <si>
    <t>6953</t>
  </si>
  <si>
    <t>13789</t>
  </si>
  <si>
    <t>147606</t>
  </si>
  <si>
    <t>33682</t>
  </si>
  <si>
    <t>25709</t>
  </si>
  <si>
    <t>33204</t>
  </si>
  <si>
    <t>34968</t>
  </si>
  <si>
    <t>18053</t>
  </si>
  <si>
    <t>27547</t>
  </si>
  <si>
    <t>10297</t>
  </si>
  <si>
    <t>20227</t>
  </si>
  <si>
    <t>11111</t>
  </si>
  <si>
    <t>14274</t>
  </si>
  <si>
    <t>5028</t>
  </si>
  <si>
    <t>9222</t>
  </si>
  <si>
    <t>46309</t>
  </si>
  <si>
    <t>371085</t>
  </si>
  <si>
    <t>24053</t>
  </si>
  <si>
    <t>7129</t>
  </si>
  <si>
    <t>8170</t>
  </si>
  <si>
    <t>9202</t>
  </si>
  <si>
    <t>7060</t>
  </si>
  <si>
    <t>12180</t>
  </si>
  <si>
    <t>3937</t>
  </si>
  <si>
    <t>42125</t>
  </si>
  <si>
    <t>6342</t>
  </si>
  <si>
    <t>99023</t>
  </si>
  <si>
    <t>2026-04-01 14:42:57</t>
  </si>
  <si>
    <t>6866</t>
  </si>
  <si>
    <t>5854</t>
  </si>
  <si>
    <t>31224</t>
  </si>
  <si>
    <t>26548</t>
  </si>
  <si>
    <t>13041</t>
  </si>
  <si>
    <t>9810</t>
  </si>
  <si>
    <t>22457</t>
  </si>
  <si>
    <t>6362</t>
  </si>
  <si>
    <t>9395</t>
  </si>
  <si>
    <t>9594</t>
  </si>
  <si>
    <t>9178</t>
  </si>
  <si>
    <t>6248</t>
  </si>
  <si>
    <t>4386</t>
  </si>
  <si>
    <t>2481</t>
  </si>
  <si>
    <t>3554</t>
  </si>
  <si>
    <t>10566</t>
  </si>
  <si>
    <t>4620</t>
  </si>
  <si>
    <t>1847</t>
  </si>
  <si>
    <t>3174</t>
  </si>
  <si>
    <t>3010</t>
  </si>
  <si>
    <t>14706</t>
  </si>
  <si>
    <t>8430</t>
  </si>
  <si>
    <t>5411</t>
  </si>
  <si>
    <t>2937</t>
  </si>
  <si>
    <t>1662</t>
  </si>
  <si>
    <t>2026-04-01 14:41:54</t>
  </si>
  <si>
    <t>4674</t>
  </si>
  <si>
    <t>724</t>
  </si>
  <si>
    <t>2024-09-11 05:00:06</t>
  </si>
  <si>
    <t>2025-02-28 05:00:06</t>
  </si>
  <si>
    <t>2025-02-07 05:00:07</t>
  </si>
  <si>
    <t>101</t>
  </si>
  <si>
    <t>80466</t>
  </si>
  <si>
    <t>327</t>
  </si>
  <si>
    <t>18850</t>
  </si>
  <si>
    <t>13233</t>
  </si>
  <si>
    <t>8224</t>
  </si>
  <si>
    <t>19208</t>
  </si>
  <si>
    <t>4833</t>
  </si>
  <si>
    <t>1015</t>
  </si>
  <si>
    <t>1758</t>
  </si>
  <si>
    <t>570</t>
  </si>
  <si>
    <t>28523</t>
  </si>
  <si>
    <t>6309</t>
  </si>
  <si>
    <t>5803</t>
  </si>
  <si>
    <t>8896</t>
  </si>
  <si>
    <t>7251</t>
  </si>
  <si>
    <t>2026-04-01 14:44:38</t>
  </si>
  <si>
    <t>3257</t>
  </si>
  <si>
    <t>5765</t>
  </si>
  <si>
    <t>2559</t>
  </si>
  <si>
    <t>4544</t>
  </si>
  <si>
    <t>4291</t>
  </si>
  <si>
    <t>3285</t>
  </si>
  <si>
    <t>3192</t>
  </si>
  <si>
    <t>10196</t>
  </si>
  <si>
    <t>88082</t>
  </si>
  <si>
    <t>2026-04-01 14:50:53</t>
  </si>
  <si>
    <t>6355</t>
  </si>
  <si>
    <t>2150</t>
  </si>
  <si>
    <t>2577</t>
  </si>
  <si>
    <t>1745</t>
  </si>
  <si>
    <t>1647</t>
  </si>
  <si>
    <t>3262</t>
  </si>
  <si>
    <t>1123</t>
  </si>
  <si>
    <t>1482</t>
  </si>
  <si>
    <t>25555</t>
  </si>
  <si>
    <t>2026-04-01 14:49:55</t>
  </si>
  <si>
    <t>1777</t>
  </si>
  <si>
    <t>33045</t>
  </si>
  <si>
    <t>2026-04-01 14:45:05</t>
  </si>
  <si>
    <t>2258</t>
  </si>
  <si>
    <t>1681</t>
  </si>
  <si>
    <t>9452</t>
  </si>
  <si>
    <t>10012</t>
  </si>
  <si>
    <t>2026-04-01 14:50:55</t>
  </si>
  <si>
    <t>3874</t>
  </si>
  <si>
    <t>4146</t>
  </si>
  <si>
    <t>8179</t>
  </si>
  <si>
    <t>2200</t>
  </si>
  <si>
    <t>2742</t>
  </si>
  <si>
    <t>3539</t>
  </si>
  <si>
    <t>3690</t>
  </si>
  <si>
    <t>2026-04-01 14:44:48</t>
  </si>
  <si>
    <t>3033</t>
  </si>
  <si>
    <t>5536</t>
  </si>
  <si>
    <t>2255</t>
  </si>
  <si>
    <t>850</t>
  </si>
  <si>
    <t>1952</t>
  </si>
  <si>
    <t>6060</t>
  </si>
  <si>
    <t>3002</t>
  </si>
  <si>
    <t>545</t>
  </si>
  <si>
    <t>1676</t>
  </si>
  <si>
    <t>1151</t>
  </si>
  <si>
    <t>2142</t>
  </si>
  <si>
    <t>1302</t>
  </si>
  <si>
    <t>460</t>
  </si>
  <si>
    <t>2810</t>
  </si>
  <si>
    <t>2114</t>
  </si>
  <si>
    <t>2887</t>
  </si>
  <si>
    <t>14705</t>
  </si>
  <si>
    <t>1705</t>
  </si>
  <si>
    <t>8221</t>
  </si>
  <si>
    <t>5345</t>
  </si>
  <si>
    <t>4675</t>
  </si>
  <si>
    <t>409</t>
  </si>
  <si>
    <t>2026-04-01 14:45:15</t>
  </si>
  <si>
    <t>775</t>
  </si>
  <si>
    <t>1200</t>
  </si>
  <si>
    <t>2026-04-01 14:45:32</t>
  </si>
  <si>
    <t>2026-04-01 14:50:30</t>
  </si>
  <si>
    <t>-- New script in 【DEV4】yzk-duel-dev4.</t>
  </si>
  <si>
    <t>-- Date: 2026 Apr 1</t>
  </si>
  <si>
    <t>-- Time: 14:26:26</t>
  </si>
  <si>
    <t>-- 1. eigyosyo_monthly_sales_target (営業所月次目標)</t>
  </si>
  <si>
    <t>-- 2. eigyosyo_daily_sales_target (営業所日次目標)</t>
  </si>
  <si>
    <t>-- 3. jomuin_monthly_sales_target (乗務員月次目標)</t>
  </si>
  <si>
    <t>-- 4. jomuin_daily_sales_target (乗務員日次目標)</t>
  </si>
  <si>
    <t>-- 5. jomuin_mst_sales_target (乗務員目標マスタ)</t>
  </si>
  <si>
    <t>-- 6. alert_setting (アラート設定)</t>
  </si>
  <si>
    <t>-- 7. jomuin_mst_alert_setting (乗務員別アラート設定)</t>
  </si>
  <si>
    <t>-- 8. disposalday_mst (処理日マスタ)</t>
  </si>
  <si>
    <t>-- 9. client_mst (クライアントマスタ)</t>
  </si>
  <si>
    <t>-- 10. eigyokuiki_mst (営業区域マスタ)</t>
  </si>
  <si>
    <t>-- 11. eigyosyo_mst (営業所マスタ)</t>
  </si>
  <si>
    <t>-- 12. kanrisya_mst (管理者マスタ)</t>
  </si>
  <si>
    <t>-- 13. kokyaku_mst (顧客マスタ)</t>
  </si>
  <si>
    <t>-- 14. sikutyoson_mst (市区町村マスタ)</t>
  </si>
  <si>
    <t>-- 15. syaryo_mst (車両マスタ)</t>
  </si>
  <si>
    <t>-- 16. untentiten_mst (運転地点マスタ)</t>
  </si>
  <si>
    <t>-- 17. user_mst (ユーザマスタ)</t>
  </si>
  <si>
    <t>-- 18. userarea_l_mst (ユーザエリアLマスタ)</t>
  </si>
  <si>
    <t>-- 19. userarea_mst (ユーザエリアマスタ)</t>
  </si>
  <si>
    <t>-- 20. userarea_p_mst (ユーザエリアPマスタ)</t>
  </si>
  <si>
    <t>-- 21. daily_pdf_tbl (日報PDFテーブル)</t>
  </si>
  <si>
    <t>-- 22. service_mst (サービスマスタ)</t>
  </si>
  <si>
    <t>-- 23. syasyu_mst (車種マスタ)</t>
  </si>
  <si>
    <t>-- 24. kubun_mst (区分マスタ)</t>
  </si>
  <si>
    <t>-- 25. jomuin_mst (乗務員マスタ)</t>
  </si>
  <si>
    <t>cstm_cd,</t>
  </si>
  <si>
    <t>COUNT(*) AS record_count,</t>
  </si>
  <si>
    <t>MAX(insert_datetime) AS latest_insert_datetime</t>
  </si>
  <si>
    <t>taxicloud.eigyosyo_monthly_sales_target</t>
  </si>
  <si>
    <t>GROUP BY</t>
  </si>
  <si>
    <t>ORDER BY</t>
  </si>
  <si>
    <t>cstm_cd;</t>
  </si>
  <si>
    <t>taxicloud.eigyosyo_daily_sales_target</t>
  </si>
  <si>
    <t>taxicloud.jomuin_monthly_sales_target</t>
  </si>
  <si>
    <t>taxicloud.jomuin_daily_sales_target</t>
  </si>
  <si>
    <t>taxicloud.jomuin_mst_sales_target</t>
  </si>
  <si>
    <t>taxicloud.alert_setting</t>
  </si>
  <si>
    <t>taxicloud.jomuin_mst_alert_setting</t>
  </si>
  <si>
    <t>taxicloud.disposalday_mst</t>
  </si>
  <si>
    <t>taxicloud.client_mst</t>
  </si>
  <si>
    <t>taxicloud.eigyokuiki_mst</t>
  </si>
  <si>
    <t>taxicloud.eigyosyo_mst</t>
  </si>
  <si>
    <t>taxicloud.kanrisya_mst</t>
  </si>
  <si>
    <t>taxicloud.kokyaku_mst</t>
  </si>
  <si>
    <t>COUNT(*) AS record_count</t>
  </si>
  <si>
    <t>taxicloud.sikutyoson_mst;</t>
  </si>
  <si>
    <t>taxicloud.syaryo_mst</t>
  </si>
  <si>
    <t>taxicloud.untentiten_mst</t>
  </si>
  <si>
    <t>taxicloud.user_mst</t>
  </si>
  <si>
    <t>taxicloud.userarea_l_mst</t>
  </si>
  <si>
    <t>taxicloud.userarea_mst</t>
  </si>
  <si>
    <t>taxicloud.userarea_p_mst</t>
  </si>
  <si>
    <t>taxicloud.daily_pdf_tbl</t>
  </si>
  <si>
    <t>taxicloud.service_mst</t>
  </si>
  <si>
    <t>taxicloud.syasyu_mst</t>
  </si>
  <si>
    <t>taxicloud.kubun_mst</t>
  </si>
  <si>
    <t>taxicloud.jomuin_mst</t>
  </si>
  <si>
    <t>duel件数</t>
    <phoneticPr fontId="1"/>
  </si>
  <si>
    <t>blitz件数</t>
    <phoneticPr fontId="1"/>
  </si>
  <si>
    <t>顧客コード</t>
    <phoneticPr fontId="1"/>
  </si>
  <si>
    <t>aegis件数</t>
    <phoneticPr fontId="1"/>
  </si>
  <si>
    <t>判定</t>
  </si>
  <si>
    <t>duelに差分があるが、_no_alertのレコードが登録されている。リリース時に登録したものと考えられる</t>
    <phoneticPr fontId="1"/>
  </si>
  <si>
    <t>duelとblitzにはデフォルト営業所のみの連携となるため、差分が出てOK</t>
    <phoneticPr fontId="1"/>
  </si>
  <si>
    <t>○</t>
    <phoneticPr fontId="1"/>
  </si>
  <si>
    <t>調査対象</t>
    <rPh sb="0" eb="2">
      <t>チョウサ</t>
    </rPh>
    <rPh sb="2" eb="4">
      <t>タイショウ</t>
    </rPh>
    <phoneticPr fontId="1"/>
  </si>
  <si>
    <t>パッチ、および影響調査対象</t>
  </si>
  <si>
    <t>パッチ、および影響調査対象(DUEL 売上レポートPDF出力)</t>
    <rPh sb="19" eb="21">
      <t>ウリアゲ</t>
    </rPh>
    <rPh sb="28" eb="30">
      <t>シュツリョク</t>
    </rPh>
    <phoneticPr fontId="1"/>
  </si>
  <si>
    <t>パッチ、および影響調査対象</t>
    <phoneticPr fontId="1"/>
  </si>
  <si>
    <t>02000039</t>
    <phoneticPr fontId="1"/>
  </si>
  <si>
    <t>パッチ、および影響調査対象（顧客「02000039」、営業所「00000002」、乗務員「000081：森岡　浩世」がduelに登録なし）</t>
    <phoneticPr fontId="1"/>
  </si>
  <si>
    <t>02000002</t>
    <phoneticPr fontId="1"/>
  </si>
  <si>
    <t>顧客:11,12レコード</t>
    <rPh sb="0" eb="2">
      <t>コキャク</t>
    </rPh>
    <phoneticPr fontId="1"/>
  </si>
  <si>
    <t>顧客13:14レコード</t>
    <rPh sb="0" eb="2">
      <t>コキャク</t>
    </rPh>
    <phoneticPr fontId="1"/>
  </si>
  <si>
    <t>顧客1:1レコード</t>
    <rPh sb="0" eb="2">
      <t>コキャク</t>
    </rPh>
    <phoneticPr fontId="1"/>
  </si>
  <si>
    <t>顧客:84,1331094 (blitz抜き)526レコード</t>
    <rPh sb="0" eb="2">
      <t>コキャク</t>
    </rPh>
    <rPh sb="20" eb="21">
      <t>ヌ</t>
    </rPh>
    <phoneticPr fontId="1"/>
  </si>
  <si>
    <t>3顧客:21レコード</t>
    <rPh sb="1" eb="3">
      <t>コキャク</t>
    </rPh>
    <phoneticPr fontId="1"/>
  </si>
  <si>
    <t>2顧客:134レコード</t>
    <rPh sb="1" eb="3">
      <t>コキャク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</si>
</sst>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/>
    <xf numFmtId="0" fontId="0" fillId="0" borderId="0" xfId="0" applyNumberFormat="1"/>
    <xf numFmtId="49" fontId="0" fillId="4" borderId="0" xfId="0" applyNumberFormat="1" applyFill="1"/>
    <xf numFmtId="49" fontId="0" fillId="3" borderId="0" xfId="0" applyNumberFormat="1" applyFill="1"/>
    <xf numFmtId="49" fontId="0" fillId="5" borderId="0" xfId="0" applyNumberFormat="1" applyFill="1"/>
    <xf numFmtId="0" fontId="0" fillId="5" borderId="0" xfId="0" applyFill="1"/>
    <xf numFmtId="0" fontId="0" fillId="0" borderId="0" xfId="0" applyFill="1"/>
    <xf numFmtId="49" fontId="2" fillId="0" borderId="0" xfId="0" applyNumberFormat="1" applyFont="1"/>
    <xf numFmtId="49" fontId="0" fillId="5" borderId="0" xfId="0" applyNumberFormat="1" applyFont="1" applyFill="1"/>
    <xf numFmtId="0" fontId="0" fillId="6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301"/>
  <sheetViews>
    <sheetView workbookViewId="0"/>
  </sheetViews>
  <sheetFormatPr defaultRowHeight="18.75"/>
  <sheetData>
    <row r="4" spans="2:2">
      <c r="B4" t="s">
        <v>1666</v>
      </c>
    </row>
    <row r="5" spans="2:2">
      <c r="B5" t="s">
        <v>1667</v>
      </c>
    </row>
    <row r="6" spans="2:2">
      <c r="B6" t="s">
        <v>1668</v>
      </c>
    </row>
    <row r="9" spans="2:2">
      <c r="B9" t="s">
        <v>1669</v>
      </c>
    </row>
    <row r="10" spans="2:2">
      <c r="B10" t="s">
        <v>16</v>
      </c>
    </row>
    <row r="11" spans="2:2">
      <c r="B11" t="s">
        <v>1694</v>
      </c>
    </row>
    <row r="12" spans="2:2">
      <c r="B12" t="s">
        <v>1695</v>
      </c>
    </row>
    <row r="13" spans="2:2">
      <c r="B13" t="s">
        <v>1696</v>
      </c>
    </row>
    <row r="14" spans="2:2">
      <c r="B14" t="s">
        <v>17</v>
      </c>
    </row>
    <row r="15" spans="2:2">
      <c r="B15" t="s">
        <v>1697</v>
      </c>
    </row>
    <row r="16" spans="2:2">
      <c r="B16" t="s">
        <v>1698</v>
      </c>
    </row>
    <row r="17" spans="2:2">
      <c r="B17" t="s">
        <v>18</v>
      </c>
    </row>
    <row r="18" spans="2:2">
      <c r="B18" t="s">
        <v>1699</v>
      </c>
    </row>
    <row r="19" spans="2:2">
      <c r="B19" t="s">
        <v>1700</v>
      </c>
    </row>
    <row r="21" spans="2:2">
      <c r="B21" t="s">
        <v>1670</v>
      </c>
    </row>
    <row r="22" spans="2:2">
      <c r="B22" t="s">
        <v>16</v>
      </c>
    </row>
    <row r="23" spans="2:2">
      <c r="B23" t="s">
        <v>1694</v>
      </c>
    </row>
    <row r="24" spans="2:2">
      <c r="B24" t="s">
        <v>1695</v>
      </c>
    </row>
    <row r="25" spans="2:2">
      <c r="B25" t="s">
        <v>1696</v>
      </c>
    </row>
    <row r="26" spans="2:2">
      <c r="B26" t="s">
        <v>17</v>
      </c>
    </row>
    <row r="27" spans="2:2">
      <c r="B27" t="s">
        <v>1701</v>
      </c>
    </row>
    <row r="28" spans="2:2">
      <c r="B28" t="s">
        <v>1698</v>
      </c>
    </row>
    <row r="29" spans="2:2">
      <c r="B29" t="s">
        <v>18</v>
      </c>
    </row>
    <row r="30" spans="2:2">
      <c r="B30" t="s">
        <v>1699</v>
      </c>
    </row>
    <row r="31" spans="2:2">
      <c r="B31" t="s">
        <v>1700</v>
      </c>
    </row>
    <row r="33" spans="2:2">
      <c r="B33" t="s">
        <v>1671</v>
      </c>
    </row>
    <row r="34" spans="2:2">
      <c r="B34" t="s">
        <v>16</v>
      </c>
    </row>
    <row r="35" spans="2:2">
      <c r="B35" t="s">
        <v>1694</v>
      </c>
    </row>
    <row r="36" spans="2:2">
      <c r="B36" t="s">
        <v>1695</v>
      </c>
    </row>
    <row r="37" spans="2:2">
      <c r="B37" t="s">
        <v>1696</v>
      </c>
    </row>
    <row r="38" spans="2:2">
      <c r="B38" t="s">
        <v>17</v>
      </c>
    </row>
    <row r="39" spans="2:2">
      <c r="B39" t="s">
        <v>1702</v>
      </c>
    </row>
    <row r="40" spans="2:2">
      <c r="B40" t="s">
        <v>1698</v>
      </c>
    </row>
    <row r="41" spans="2:2">
      <c r="B41" t="s">
        <v>18</v>
      </c>
    </row>
    <row r="42" spans="2:2">
      <c r="B42" t="s">
        <v>1699</v>
      </c>
    </row>
    <row r="43" spans="2:2">
      <c r="B43" t="s">
        <v>1700</v>
      </c>
    </row>
    <row r="45" spans="2:2">
      <c r="B45" t="s">
        <v>1672</v>
      </c>
    </row>
    <row r="46" spans="2:2">
      <c r="B46" t="s">
        <v>16</v>
      </c>
    </row>
    <row r="47" spans="2:2">
      <c r="B47" t="s">
        <v>1694</v>
      </c>
    </row>
    <row r="48" spans="2:2">
      <c r="B48" t="s">
        <v>1695</v>
      </c>
    </row>
    <row r="49" spans="2:2">
      <c r="B49" t="s">
        <v>1696</v>
      </c>
    </row>
    <row r="50" spans="2:2">
      <c r="B50" t="s">
        <v>17</v>
      </c>
    </row>
    <row r="51" spans="2:2">
      <c r="B51" t="s">
        <v>1703</v>
      </c>
    </row>
    <row r="52" spans="2:2">
      <c r="B52" t="s">
        <v>1698</v>
      </c>
    </row>
    <row r="53" spans="2:2">
      <c r="B53" t="s">
        <v>18</v>
      </c>
    </row>
    <row r="54" spans="2:2">
      <c r="B54" t="s">
        <v>1699</v>
      </c>
    </row>
    <row r="55" spans="2:2">
      <c r="B55" t="s">
        <v>1700</v>
      </c>
    </row>
    <row r="57" spans="2:2">
      <c r="B57" t="s">
        <v>1673</v>
      </c>
    </row>
    <row r="58" spans="2:2">
      <c r="B58" t="s">
        <v>16</v>
      </c>
    </row>
    <row r="59" spans="2:2">
      <c r="B59" t="s">
        <v>1694</v>
      </c>
    </row>
    <row r="60" spans="2:2">
      <c r="B60" t="s">
        <v>1695</v>
      </c>
    </row>
    <row r="61" spans="2:2">
      <c r="B61" t="s">
        <v>1696</v>
      </c>
    </row>
    <row r="62" spans="2:2">
      <c r="B62" t="s">
        <v>17</v>
      </c>
    </row>
    <row r="63" spans="2:2">
      <c r="B63" t="s">
        <v>1704</v>
      </c>
    </row>
    <row r="64" spans="2:2">
      <c r="B64" t="s">
        <v>1698</v>
      </c>
    </row>
    <row r="65" spans="2:2">
      <c r="B65" t="s">
        <v>18</v>
      </c>
    </row>
    <row r="66" spans="2:2">
      <c r="B66" t="s">
        <v>1699</v>
      </c>
    </row>
    <row r="67" spans="2:2">
      <c r="B67" t="s">
        <v>1700</v>
      </c>
    </row>
    <row r="69" spans="2:2">
      <c r="B69" t="s">
        <v>1674</v>
      </c>
    </row>
    <row r="70" spans="2:2">
      <c r="B70" t="s">
        <v>16</v>
      </c>
    </row>
    <row r="71" spans="2:2">
      <c r="B71" t="s">
        <v>1694</v>
      </c>
    </row>
    <row r="72" spans="2:2">
      <c r="B72" t="s">
        <v>1695</v>
      </c>
    </row>
    <row r="73" spans="2:2">
      <c r="B73" t="s">
        <v>1696</v>
      </c>
    </row>
    <row r="74" spans="2:2">
      <c r="B74" t="s">
        <v>17</v>
      </c>
    </row>
    <row r="75" spans="2:2">
      <c r="B75" t="s">
        <v>1705</v>
      </c>
    </row>
    <row r="76" spans="2:2">
      <c r="B76" t="s">
        <v>1698</v>
      </c>
    </row>
    <row r="77" spans="2:2">
      <c r="B77" t="s">
        <v>18</v>
      </c>
    </row>
    <row r="78" spans="2:2">
      <c r="B78" t="s">
        <v>1699</v>
      </c>
    </row>
    <row r="79" spans="2:2">
      <c r="B79" t="s">
        <v>1700</v>
      </c>
    </row>
    <row r="81" spans="2:2">
      <c r="B81" t="s">
        <v>1675</v>
      </c>
    </row>
    <row r="82" spans="2:2">
      <c r="B82" t="s">
        <v>16</v>
      </c>
    </row>
    <row r="83" spans="2:2">
      <c r="B83" t="s">
        <v>1694</v>
      </c>
    </row>
    <row r="84" spans="2:2">
      <c r="B84" t="s">
        <v>1695</v>
      </c>
    </row>
    <row r="85" spans="2:2">
      <c r="B85" t="s">
        <v>1696</v>
      </c>
    </row>
    <row r="86" spans="2:2">
      <c r="B86" t="s">
        <v>17</v>
      </c>
    </row>
    <row r="87" spans="2:2">
      <c r="B87" t="s">
        <v>1706</v>
      </c>
    </row>
    <row r="88" spans="2:2">
      <c r="B88" t="s">
        <v>1698</v>
      </c>
    </row>
    <row r="89" spans="2:2">
      <c r="B89" t="s">
        <v>18</v>
      </c>
    </row>
    <row r="90" spans="2:2">
      <c r="B90" t="s">
        <v>1699</v>
      </c>
    </row>
    <row r="91" spans="2:2">
      <c r="B91" t="s">
        <v>1700</v>
      </c>
    </row>
    <row r="93" spans="2:2">
      <c r="B93" t="s">
        <v>1676</v>
      </c>
    </row>
    <row r="94" spans="2:2">
      <c r="B94" t="s">
        <v>16</v>
      </c>
    </row>
    <row r="95" spans="2:2">
      <c r="B95" t="s">
        <v>1694</v>
      </c>
    </row>
    <row r="96" spans="2:2">
      <c r="B96" t="s">
        <v>1695</v>
      </c>
    </row>
    <row r="97" spans="2:2">
      <c r="B97" t="s">
        <v>1696</v>
      </c>
    </row>
    <row r="98" spans="2:2">
      <c r="B98" t="s">
        <v>17</v>
      </c>
    </row>
    <row r="99" spans="2:2">
      <c r="B99" t="s">
        <v>1707</v>
      </c>
    </row>
    <row r="100" spans="2:2">
      <c r="B100" t="s">
        <v>1698</v>
      </c>
    </row>
    <row r="101" spans="2:2">
      <c r="B101" t="s">
        <v>18</v>
      </c>
    </row>
    <row r="102" spans="2:2">
      <c r="B102" t="s">
        <v>1699</v>
      </c>
    </row>
    <row r="103" spans="2:2">
      <c r="B103" t="s">
        <v>1700</v>
      </c>
    </row>
    <row r="105" spans="2:2">
      <c r="B105" t="s">
        <v>1677</v>
      </c>
    </row>
    <row r="106" spans="2:2">
      <c r="B106" t="s">
        <v>16</v>
      </c>
    </row>
    <row r="107" spans="2:2">
      <c r="B107" t="s">
        <v>1694</v>
      </c>
    </row>
    <row r="108" spans="2:2">
      <c r="B108" t="s">
        <v>1695</v>
      </c>
    </row>
    <row r="109" spans="2:2">
      <c r="B109" t="s">
        <v>1696</v>
      </c>
    </row>
    <row r="110" spans="2:2">
      <c r="B110" t="s">
        <v>17</v>
      </c>
    </row>
    <row r="111" spans="2:2">
      <c r="B111" t="s">
        <v>1708</v>
      </c>
    </row>
    <row r="112" spans="2:2">
      <c r="B112" t="s">
        <v>1698</v>
      </c>
    </row>
    <row r="113" spans="2:2">
      <c r="B113" t="s">
        <v>18</v>
      </c>
    </row>
    <row r="114" spans="2:2">
      <c r="B114" t="s">
        <v>1699</v>
      </c>
    </row>
    <row r="115" spans="2:2">
      <c r="B115" t="s">
        <v>1700</v>
      </c>
    </row>
    <row r="117" spans="2:2">
      <c r="B117" t="s">
        <v>1678</v>
      </c>
    </row>
    <row r="118" spans="2:2">
      <c r="B118" t="s">
        <v>16</v>
      </c>
    </row>
    <row r="119" spans="2:2">
      <c r="B119" t="s">
        <v>1694</v>
      </c>
    </row>
    <row r="120" spans="2:2">
      <c r="B120" t="s">
        <v>1695</v>
      </c>
    </row>
    <row r="121" spans="2:2">
      <c r="B121" t="s">
        <v>1696</v>
      </c>
    </row>
    <row r="122" spans="2:2">
      <c r="B122" t="s">
        <v>17</v>
      </c>
    </row>
    <row r="123" spans="2:2">
      <c r="B123" t="s">
        <v>1709</v>
      </c>
    </row>
    <row r="124" spans="2:2">
      <c r="B124" t="s">
        <v>1698</v>
      </c>
    </row>
    <row r="125" spans="2:2">
      <c r="B125" t="s">
        <v>18</v>
      </c>
    </row>
    <row r="126" spans="2:2">
      <c r="B126" t="s">
        <v>1699</v>
      </c>
    </row>
    <row r="127" spans="2:2">
      <c r="B127" t="s">
        <v>1700</v>
      </c>
    </row>
    <row r="129" spans="2:2">
      <c r="B129" t="s">
        <v>1679</v>
      </c>
    </row>
    <row r="130" spans="2:2">
      <c r="B130" t="s">
        <v>16</v>
      </c>
    </row>
    <row r="131" spans="2:2">
      <c r="B131" t="s">
        <v>1694</v>
      </c>
    </row>
    <row r="132" spans="2:2">
      <c r="B132" t="s">
        <v>1695</v>
      </c>
    </row>
    <row r="133" spans="2:2">
      <c r="B133" t="s">
        <v>1696</v>
      </c>
    </row>
    <row r="134" spans="2:2">
      <c r="B134" t="s">
        <v>17</v>
      </c>
    </row>
    <row r="135" spans="2:2">
      <c r="B135" t="s">
        <v>1710</v>
      </c>
    </row>
    <row r="136" spans="2:2">
      <c r="B136" t="s">
        <v>1698</v>
      </c>
    </row>
    <row r="137" spans="2:2">
      <c r="B137" t="s">
        <v>18</v>
      </c>
    </row>
    <row r="138" spans="2:2">
      <c r="B138" t="s">
        <v>1699</v>
      </c>
    </row>
    <row r="139" spans="2:2">
      <c r="B139" t="s">
        <v>1700</v>
      </c>
    </row>
    <row r="141" spans="2:2">
      <c r="B141" t="s">
        <v>1680</v>
      </c>
    </row>
    <row r="142" spans="2:2">
      <c r="B142" t="s">
        <v>16</v>
      </c>
    </row>
    <row r="143" spans="2:2">
      <c r="B143" t="s">
        <v>1694</v>
      </c>
    </row>
    <row r="144" spans="2:2">
      <c r="B144" t="s">
        <v>1695</v>
      </c>
    </row>
    <row r="145" spans="2:2">
      <c r="B145" t="s">
        <v>1696</v>
      </c>
    </row>
    <row r="146" spans="2:2">
      <c r="B146" t="s">
        <v>17</v>
      </c>
    </row>
    <row r="147" spans="2:2">
      <c r="B147" t="s">
        <v>1711</v>
      </c>
    </row>
    <row r="148" spans="2:2">
      <c r="B148" t="s">
        <v>1698</v>
      </c>
    </row>
    <row r="149" spans="2:2">
      <c r="B149" t="s">
        <v>18</v>
      </c>
    </row>
    <row r="150" spans="2:2">
      <c r="B150" t="s">
        <v>1699</v>
      </c>
    </row>
    <row r="151" spans="2:2">
      <c r="B151" t="s">
        <v>1700</v>
      </c>
    </row>
    <row r="153" spans="2:2">
      <c r="B153" t="s">
        <v>1681</v>
      </c>
    </row>
    <row r="154" spans="2:2">
      <c r="B154" t="s">
        <v>16</v>
      </c>
    </row>
    <row r="155" spans="2:2">
      <c r="B155" t="s">
        <v>1694</v>
      </c>
    </row>
    <row r="156" spans="2:2">
      <c r="B156" t="s">
        <v>1695</v>
      </c>
    </row>
    <row r="157" spans="2:2">
      <c r="B157" t="s">
        <v>1696</v>
      </c>
    </row>
    <row r="158" spans="2:2">
      <c r="B158" t="s">
        <v>17</v>
      </c>
    </row>
    <row r="159" spans="2:2">
      <c r="B159" t="s">
        <v>1712</v>
      </c>
    </row>
    <row r="160" spans="2:2">
      <c r="B160" t="s">
        <v>1698</v>
      </c>
    </row>
    <row r="161" spans="2:2">
      <c r="B161" t="s">
        <v>18</v>
      </c>
    </row>
    <row r="162" spans="2:2">
      <c r="B162" t="s">
        <v>1699</v>
      </c>
    </row>
    <row r="163" spans="2:2">
      <c r="B163" t="s">
        <v>1700</v>
      </c>
    </row>
    <row r="165" spans="2:2">
      <c r="B165" t="s">
        <v>1682</v>
      </c>
    </row>
    <row r="166" spans="2:2">
      <c r="B166" t="s">
        <v>16</v>
      </c>
    </row>
    <row r="167" spans="2:2">
      <c r="B167" t="s">
        <v>1713</v>
      </c>
    </row>
    <row r="168" spans="2:2">
      <c r="B168" t="s">
        <v>17</v>
      </c>
    </row>
    <row r="169" spans="2:2">
      <c r="B169" t="s">
        <v>1714</v>
      </c>
    </row>
    <row r="171" spans="2:2">
      <c r="B171" t="s">
        <v>1683</v>
      </c>
    </row>
    <row r="172" spans="2:2">
      <c r="B172" t="s">
        <v>16</v>
      </c>
    </row>
    <row r="173" spans="2:2">
      <c r="B173" t="s">
        <v>1694</v>
      </c>
    </row>
    <row r="174" spans="2:2">
      <c r="B174" t="s">
        <v>1695</v>
      </c>
    </row>
    <row r="175" spans="2:2">
      <c r="B175" t="s">
        <v>1696</v>
      </c>
    </row>
    <row r="176" spans="2:2">
      <c r="B176" t="s">
        <v>17</v>
      </c>
    </row>
    <row r="177" spans="2:2">
      <c r="B177" t="s">
        <v>1715</v>
      </c>
    </row>
    <row r="178" spans="2:2">
      <c r="B178" t="s">
        <v>1698</v>
      </c>
    </row>
    <row r="179" spans="2:2">
      <c r="B179" t="s">
        <v>18</v>
      </c>
    </row>
    <row r="180" spans="2:2">
      <c r="B180" t="s">
        <v>1699</v>
      </c>
    </row>
    <row r="181" spans="2:2">
      <c r="B181" t="s">
        <v>1700</v>
      </c>
    </row>
    <row r="183" spans="2:2">
      <c r="B183" t="s">
        <v>1684</v>
      </c>
    </row>
    <row r="184" spans="2:2">
      <c r="B184" t="s">
        <v>16</v>
      </c>
    </row>
    <row r="185" spans="2:2">
      <c r="B185" t="s">
        <v>1694</v>
      </c>
    </row>
    <row r="186" spans="2:2">
      <c r="B186" t="s">
        <v>1695</v>
      </c>
    </row>
    <row r="187" spans="2:2">
      <c r="B187" t="s">
        <v>1696</v>
      </c>
    </row>
    <row r="188" spans="2:2">
      <c r="B188" t="s">
        <v>17</v>
      </c>
    </row>
    <row r="189" spans="2:2">
      <c r="B189" t="s">
        <v>1716</v>
      </c>
    </row>
    <row r="190" spans="2:2">
      <c r="B190" t="s">
        <v>1698</v>
      </c>
    </row>
    <row r="191" spans="2:2">
      <c r="B191" t="s">
        <v>18</v>
      </c>
    </row>
    <row r="192" spans="2:2">
      <c r="B192" t="s">
        <v>1699</v>
      </c>
    </row>
    <row r="193" spans="2:2">
      <c r="B193" t="s">
        <v>1700</v>
      </c>
    </row>
    <row r="195" spans="2:2">
      <c r="B195" t="s">
        <v>1685</v>
      </c>
    </row>
    <row r="196" spans="2:2">
      <c r="B196" t="s">
        <v>16</v>
      </c>
    </row>
    <row r="197" spans="2:2">
      <c r="B197" t="s">
        <v>1694</v>
      </c>
    </row>
    <row r="198" spans="2:2">
      <c r="B198" t="s">
        <v>1695</v>
      </c>
    </row>
    <row r="199" spans="2:2">
      <c r="B199" t="s">
        <v>1696</v>
      </c>
    </row>
    <row r="200" spans="2:2">
      <c r="B200" t="s">
        <v>17</v>
      </c>
    </row>
    <row r="201" spans="2:2">
      <c r="B201" t="s">
        <v>1717</v>
      </c>
    </row>
    <row r="202" spans="2:2">
      <c r="B202" t="s">
        <v>1698</v>
      </c>
    </row>
    <row r="203" spans="2:2">
      <c r="B203" t="s">
        <v>18</v>
      </c>
    </row>
    <row r="204" spans="2:2">
      <c r="B204" t="s">
        <v>1699</v>
      </c>
    </row>
    <row r="205" spans="2:2">
      <c r="B205" t="s">
        <v>1700</v>
      </c>
    </row>
    <row r="207" spans="2:2">
      <c r="B207" t="s">
        <v>1686</v>
      </c>
    </row>
    <row r="208" spans="2:2">
      <c r="B208" t="s">
        <v>16</v>
      </c>
    </row>
    <row r="209" spans="2:2">
      <c r="B209" t="s">
        <v>1694</v>
      </c>
    </row>
    <row r="210" spans="2:2">
      <c r="B210" t="s">
        <v>1695</v>
      </c>
    </row>
    <row r="211" spans="2:2">
      <c r="B211" t="s">
        <v>1696</v>
      </c>
    </row>
    <row r="212" spans="2:2">
      <c r="B212" t="s">
        <v>17</v>
      </c>
    </row>
    <row r="213" spans="2:2">
      <c r="B213" t="s">
        <v>1718</v>
      </c>
    </row>
    <row r="214" spans="2:2">
      <c r="B214" t="s">
        <v>1698</v>
      </c>
    </row>
    <row r="215" spans="2:2">
      <c r="B215" t="s">
        <v>18</v>
      </c>
    </row>
    <row r="216" spans="2:2">
      <c r="B216" t="s">
        <v>1699</v>
      </c>
    </row>
    <row r="217" spans="2:2">
      <c r="B217" t="s">
        <v>1700</v>
      </c>
    </row>
    <row r="219" spans="2:2">
      <c r="B219" t="s">
        <v>1687</v>
      </c>
    </row>
    <row r="220" spans="2:2">
      <c r="B220" t="s">
        <v>16</v>
      </c>
    </row>
    <row r="221" spans="2:2">
      <c r="B221" t="s">
        <v>1694</v>
      </c>
    </row>
    <row r="222" spans="2:2">
      <c r="B222" t="s">
        <v>1695</v>
      </c>
    </row>
    <row r="223" spans="2:2">
      <c r="B223" t="s">
        <v>1696</v>
      </c>
    </row>
    <row r="224" spans="2:2">
      <c r="B224" t="s">
        <v>17</v>
      </c>
    </row>
    <row r="225" spans="2:2">
      <c r="B225" t="s">
        <v>1719</v>
      </c>
    </row>
    <row r="226" spans="2:2">
      <c r="B226" t="s">
        <v>1698</v>
      </c>
    </row>
    <row r="227" spans="2:2">
      <c r="B227" t="s">
        <v>18</v>
      </c>
    </row>
    <row r="228" spans="2:2">
      <c r="B228" t="s">
        <v>1699</v>
      </c>
    </row>
    <row r="229" spans="2:2">
      <c r="B229" t="s">
        <v>1700</v>
      </c>
    </row>
    <row r="231" spans="2:2">
      <c r="B231" t="s">
        <v>1688</v>
      </c>
    </row>
    <row r="232" spans="2:2">
      <c r="B232" t="s">
        <v>16</v>
      </c>
    </row>
    <row r="233" spans="2:2">
      <c r="B233" t="s">
        <v>1694</v>
      </c>
    </row>
    <row r="234" spans="2:2">
      <c r="B234" t="s">
        <v>1695</v>
      </c>
    </row>
    <row r="235" spans="2:2">
      <c r="B235" t="s">
        <v>1696</v>
      </c>
    </row>
    <row r="236" spans="2:2">
      <c r="B236" t="s">
        <v>17</v>
      </c>
    </row>
    <row r="237" spans="2:2">
      <c r="B237" t="s">
        <v>1720</v>
      </c>
    </row>
    <row r="238" spans="2:2">
      <c r="B238" t="s">
        <v>1698</v>
      </c>
    </row>
    <row r="239" spans="2:2">
      <c r="B239" t="s">
        <v>18</v>
      </c>
    </row>
    <row r="240" spans="2:2">
      <c r="B240" t="s">
        <v>1699</v>
      </c>
    </row>
    <row r="241" spans="2:2">
      <c r="B241" t="s">
        <v>1700</v>
      </c>
    </row>
    <row r="243" spans="2:2">
      <c r="B243" t="s">
        <v>1689</v>
      </c>
    </row>
    <row r="244" spans="2:2">
      <c r="B244" t="s">
        <v>16</v>
      </c>
    </row>
    <row r="245" spans="2:2">
      <c r="B245" t="s">
        <v>1694</v>
      </c>
    </row>
    <row r="246" spans="2:2">
      <c r="B246" t="s">
        <v>1695</v>
      </c>
    </row>
    <row r="247" spans="2:2">
      <c r="B247" t="s">
        <v>1696</v>
      </c>
    </row>
    <row r="248" spans="2:2">
      <c r="B248" t="s">
        <v>17</v>
      </c>
    </row>
    <row r="249" spans="2:2">
      <c r="B249" t="s">
        <v>1721</v>
      </c>
    </row>
    <row r="250" spans="2:2">
      <c r="B250" t="s">
        <v>1698</v>
      </c>
    </row>
    <row r="251" spans="2:2">
      <c r="B251" t="s">
        <v>18</v>
      </c>
    </row>
    <row r="252" spans="2:2">
      <c r="B252" t="s">
        <v>1699</v>
      </c>
    </row>
    <row r="253" spans="2:2">
      <c r="B253" t="s">
        <v>1700</v>
      </c>
    </row>
    <row r="255" spans="2:2">
      <c r="B255" t="s">
        <v>1690</v>
      </c>
    </row>
    <row r="256" spans="2:2">
      <c r="B256" t="s">
        <v>16</v>
      </c>
    </row>
    <row r="257" spans="2:2">
      <c r="B257" t="s">
        <v>1694</v>
      </c>
    </row>
    <row r="258" spans="2:2">
      <c r="B258" t="s">
        <v>1695</v>
      </c>
    </row>
    <row r="259" spans="2:2">
      <c r="B259" t="s">
        <v>1696</v>
      </c>
    </row>
    <row r="260" spans="2:2">
      <c r="B260" t="s">
        <v>17</v>
      </c>
    </row>
    <row r="261" spans="2:2">
      <c r="B261" t="s">
        <v>1722</v>
      </c>
    </row>
    <row r="262" spans="2:2">
      <c r="B262" t="s">
        <v>1698</v>
      </c>
    </row>
    <row r="263" spans="2:2">
      <c r="B263" t="s">
        <v>18</v>
      </c>
    </row>
    <row r="264" spans="2:2">
      <c r="B264" t="s">
        <v>1699</v>
      </c>
    </row>
    <row r="265" spans="2:2">
      <c r="B265" t="s">
        <v>1700</v>
      </c>
    </row>
    <row r="267" spans="2:2">
      <c r="B267" t="s">
        <v>1691</v>
      </c>
    </row>
    <row r="268" spans="2:2">
      <c r="B268" t="s">
        <v>16</v>
      </c>
    </row>
    <row r="269" spans="2:2">
      <c r="B269" t="s">
        <v>1694</v>
      </c>
    </row>
    <row r="270" spans="2:2">
      <c r="B270" t="s">
        <v>1695</v>
      </c>
    </row>
    <row r="271" spans="2:2">
      <c r="B271" t="s">
        <v>1696</v>
      </c>
    </row>
    <row r="272" spans="2:2">
      <c r="B272" t="s">
        <v>17</v>
      </c>
    </row>
    <row r="273" spans="2:2">
      <c r="B273" t="s">
        <v>1723</v>
      </c>
    </row>
    <row r="274" spans="2:2">
      <c r="B274" t="s">
        <v>1698</v>
      </c>
    </row>
    <row r="275" spans="2:2">
      <c r="B275" t="s">
        <v>18</v>
      </c>
    </row>
    <row r="276" spans="2:2">
      <c r="B276" t="s">
        <v>1699</v>
      </c>
    </row>
    <row r="277" spans="2:2">
      <c r="B277" t="s">
        <v>1700</v>
      </c>
    </row>
    <row r="279" spans="2:2">
      <c r="B279" t="s">
        <v>1692</v>
      </c>
    </row>
    <row r="280" spans="2:2">
      <c r="B280" t="s">
        <v>16</v>
      </c>
    </row>
    <row r="281" spans="2:2">
      <c r="B281" t="s">
        <v>1694</v>
      </c>
    </row>
    <row r="282" spans="2:2">
      <c r="B282" t="s">
        <v>1695</v>
      </c>
    </row>
    <row r="283" spans="2:2">
      <c r="B283" t="s">
        <v>1696</v>
      </c>
    </row>
    <row r="284" spans="2:2">
      <c r="B284" t="s">
        <v>17</v>
      </c>
    </row>
    <row r="285" spans="2:2">
      <c r="B285" t="s">
        <v>1724</v>
      </c>
    </row>
    <row r="286" spans="2:2">
      <c r="B286" t="s">
        <v>1698</v>
      </c>
    </row>
    <row r="287" spans="2:2">
      <c r="B287" t="s">
        <v>18</v>
      </c>
    </row>
    <row r="288" spans="2:2">
      <c r="B288" t="s">
        <v>1699</v>
      </c>
    </row>
    <row r="289" spans="2:2">
      <c r="B289" t="s">
        <v>1700</v>
      </c>
    </row>
    <row r="291" spans="2:2">
      <c r="B291" t="s">
        <v>1693</v>
      </c>
    </row>
    <row r="292" spans="2:2">
      <c r="B292" t="s">
        <v>16</v>
      </c>
    </row>
    <row r="293" spans="2:2">
      <c r="B293" t="s">
        <v>1694</v>
      </c>
    </row>
    <row r="294" spans="2:2">
      <c r="B294" t="s">
        <v>1695</v>
      </c>
    </row>
    <row r="295" spans="2:2">
      <c r="B295" t="s">
        <v>1696</v>
      </c>
    </row>
    <row r="296" spans="2:2">
      <c r="B296" t="s">
        <v>17</v>
      </c>
    </row>
    <row r="297" spans="2:2">
      <c r="B297" t="s">
        <v>1725</v>
      </c>
    </row>
    <row r="298" spans="2:2">
      <c r="B298" t="s">
        <v>1698</v>
      </c>
    </row>
    <row r="299" spans="2:2">
      <c r="B299" t="s">
        <v>18</v>
      </c>
    </row>
    <row r="300" spans="2:2">
      <c r="B300" t="s">
        <v>1699</v>
      </c>
    </row>
    <row r="301" spans="2:2">
      <c r="B301" t="s">
        <v>1700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1B1A-4292-4EAF-8ED4-C3DACBF88556}">
  <dimension ref="B1:P85"/>
  <sheetViews>
    <sheetView topLeftCell="A6" workbookViewId="0">
      <selection activeCell="O19" sqref="O19"/>
    </sheetView>
  </sheetViews>
  <sheetFormatPr defaultRowHeight="18.75"/>
  <sheetData>
    <row r="1" spans="2:15">
      <c r="F1">
        <f>SUM(F2:F85)</f>
        <v>526</v>
      </c>
      <c r="G1">
        <f>SUM(G2:G85)</f>
        <v>1330568</v>
      </c>
      <c r="I1">
        <f>G1+F1</f>
        <v>1331094</v>
      </c>
    </row>
    <row r="2" spans="2:15">
      <c r="B2" t="s">
        <v>1079</v>
      </c>
      <c r="C2" t="s">
        <v>1079</v>
      </c>
      <c r="D2" t="s">
        <v>1076</v>
      </c>
      <c r="F2">
        <f>B2-C2</f>
        <v>0</v>
      </c>
      <c r="G2">
        <f>B2-D2</f>
        <v>1226</v>
      </c>
      <c r="O2">
        <f>SUM(O3:O13)</f>
        <v>12</v>
      </c>
    </row>
    <row r="3" spans="2:15">
      <c r="B3" t="s">
        <v>1081</v>
      </c>
      <c r="C3" t="s">
        <v>1520</v>
      </c>
      <c r="D3" t="s">
        <v>1588</v>
      </c>
      <c r="F3">
        <f t="shared" ref="F3:F66" si="0">B3-C3</f>
        <v>70</v>
      </c>
      <c r="G3">
        <f t="shared" ref="G3:G66" si="1">B3-D3</f>
        <v>17484</v>
      </c>
      <c r="L3" t="s">
        <v>438</v>
      </c>
      <c r="M3" t="s">
        <v>289</v>
      </c>
      <c r="O3">
        <f>L3-M3</f>
        <v>1</v>
      </c>
    </row>
    <row r="4" spans="2:15">
      <c r="B4" t="s">
        <v>441</v>
      </c>
      <c r="C4" t="s">
        <v>441</v>
      </c>
      <c r="D4">
        <v>0</v>
      </c>
      <c r="F4">
        <f t="shared" si="0"/>
        <v>0</v>
      </c>
      <c r="G4">
        <f t="shared" si="1"/>
        <v>1</v>
      </c>
      <c r="L4" t="s">
        <v>397</v>
      </c>
      <c r="M4" t="s">
        <v>555</v>
      </c>
      <c r="O4">
        <f t="shared" ref="O4:O13" si="2">L4-M4</f>
        <v>1</v>
      </c>
    </row>
    <row r="5" spans="2:15">
      <c r="B5" t="s">
        <v>1084</v>
      </c>
      <c r="C5" t="s">
        <v>1521</v>
      </c>
      <c r="D5" t="s">
        <v>1589</v>
      </c>
      <c r="F5">
        <f t="shared" si="0"/>
        <v>19</v>
      </c>
      <c r="G5">
        <f t="shared" si="1"/>
        <v>79038</v>
      </c>
      <c r="L5" t="s">
        <v>441</v>
      </c>
      <c r="M5">
        <v>0</v>
      </c>
      <c r="O5">
        <f t="shared" si="2"/>
        <v>1</v>
      </c>
    </row>
    <row r="6" spans="2:15">
      <c r="B6" t="s">
        <v>1086</v>
      </c>
      <c r="C6" t="s">
        <v>1522</v>
      </c>
      <c r="D6" t="s">
        <v>1590</v>
      </c>
      <c r="F6">
        <f t="shared" si="0"/>
        <v>3</v>
      </c>
      <c r="G6">
        <f t="shared" si="1"/>
        <v>52149</v>
      </c>
      <c r="L6" t="s">
        <v>345</v>
      </c>
      <c r="M6" t="s">
        <v>441</v>
      </c>
      <c r="O6">
        <f t="shared" si="2"/>
        <v>1</v>
      </c>
    </row>
    <row r="7" spans="2:15">
      <c r="B7" t="s">
        <v>1088</v>
      </c>
      <c r="C7" t="s">
        <v>1523</v>
      </c>
      <c r="D7" t="s">
        <v>1591</v>
      </c>
      <c r="F7">
        <f t="shared" si="0"/>
        <v>9</v>
      </c>
      <c r="G7">
        <f t="shared" si="1"/>
        <v>38064</v>
      </c>
      <c r="L7" t="s">
        <v>345</v>
      </c>
      <c r="M7">
        <v>0</v>
      </c>
      <c r="O7">
        <f t="shared" si="2"/>
        <v>2</v>
      </c>
    </row>
    <row r="8" spans="2:15">
      <c r="B8" t="s">
        <v>1090</v>
      </c>
      <c r="C8" t="s">
        <v>1524</v>
      </c>
      <c r="D8" t="s">
        <v>1592</v>
      </c>
      <c r="F8">
        <f t="shared" si="0"/>
        <v>14</v>
      </c>
      <c r="G8">
        <f t="shared" si="1"/>
        <v>35670</v>
      </c>
      <c r="L8" t="s">
        <v>346</v>
      </c>
      <c r="M8" t="s">
        <v>345</v>
      </c>
      <c r="O8">
        <f t="shared" si="2"/>
        <v>1</v>
      </c>
    </row>
    <row r="9" spans="2:15">
      <c r="B9" t="s">
        <v>1092</v>
      </c>
      <c r="C9" t="s">
        <v>1525</v>
      </c>
      <c r="D9" t="s">
        <v>1593</v>
      </c>
      <c r="F9">
        <f t="shared" si="0"/>
        <v>3</v>
      </c>
      <c r="G9">
        <f t="shared" si="1"/>
        <v>20179</v>
      </c>
      <c r="L9" t="s">
        <v>360</v>
      </c>
      <c r="M9" t="s">
        <v>346</v>
      </c>
      <c r="O9">
        <f t="shared" si="2"/>
        <v>1</v>
      </c>
    </row>
    <row r="10" spans="2:15">
      <c r="B10" t="s">
        <v>1094</v>
      </c>
      <c r="C10" t="s">
        <v>1526</v>
      </c>
      <c r="D10" t="s">
        <v>1594</v>
      </c>
      <c r="F10">
        <f t="shared" si="0"/>
        <v>1</v>
      </c>
      <c r="G10">
        <f t="shared" si="1"/>
        <v>4044</v>
      </c>
      <c r="L10" t="s">
        <v>346</v>
      </c>
      <c r="M10" t="s">
        <v>345</v>
      </c>
      <c r="O10">
        <f t="shared" si="2"/>
        <v>1</v>
      </c>
    </row>
    <row r="11" spans="2:15">
      <c r="B11" t="s">
        <v>1096</v>
      </c>
      <c r="C11" t="s">
        <v>1527</v>
      </c>
      <c r="D11" t="s">
        <v>1595</v>
      </c>
      <c r="F11">
        <f t="shared" si="0"/>
        <v>3</v>
      </c>
      <c r="G11">
        <f t="shared" si="1"/>
        <v>5198</v>
      </c>
      <c r="L11" t="s">
        <v>346</v>
      </c>
      <c r="M11" t="s">
        <v>345</v>
      </c>
      <c r="O11">
        <f t="shared" si="2"/>
        <v>1</v>
      </c>
    </row>
    <row r="12" spans="2:15">
      <c r="B12" t="s">
        <v>1098</v>
      </c>
      <c r="C12" t="s">
        <v>1098</v>
      </c>
      <c r="D12" t="s">
        <v>1596</v>
      </c>
      <c r="F12">
        <f t="shared" si="0"/>
        <v>0</v>
      </c>
      <c r="G12">
        <f t="shared" si="1"/>
        <v>1469</v>
      </c>
      <c r="L12" t="s">
        <v>441</v>
      </c>
      <c r="M12">
        <v>0</v>
      </c>
      <c r="O12">
        <f t="shared" si="2"/>
        <v>1</v>
      </c>
    </row>
    <row r="13" spans="2:15">
      <c r="B13" t="s">
        <v>1100</v>
      </c>
      <c r="C13" t="s">
        <v>1528</v>
      </c>
      <c r="D13" t="s">
        <v>1241</v>
      </c>
      <c r="F13">
        <f t="shared" si="0"/>
        <v>23</v>
      </c>
      <c r="G13">
        <f t="shared" si="1"/>
        <v>10873</v>
      </c>
      <c r="L13" t="s">
        <v>441</v>
      </c>
      <c r="M13">
        <v>0</v>
      </c>
      <c r="O13">
        <f t="shared" si="2"/>
        <v>1</v>
      </c>
    </row>
    <row r="14" spans="2:15">
      <c r="B14" t="s">
        <v>1102</v>
      </c>
      <c r="C14" t="s">
        <v>1529</v>
      </c>
      <c r="D14" t="s">
        <v>1597</v>
      </c>
      <c r="F14">
        <f t="shared" si="0"/>
        <v>26</v>
      </c>
      <c r="G14">
        <f t="shared" si="1"/>
        <v>119109</v>
      </c>
    </row>
    <row r="15" spans="2:15">
      <c r="B15" t="s">
        <v>1104</v>
      </c>
      <c r="C15" t="s">
        <v>1530</v>
      </c>
      <c r="D15" t="s">
        <v>1598</v>
      </c>
      <c r="F15">
        <f t="shared" si="0"/>
        <v>12</v>
      </c>
      <c r="G15">
        <f t="shared" si="1"/>
        <v>27385</v>
      </c>
    </row>
    <row r="16" spans="2:15">
      <c r="B16" t="s">
        <v>1106</v>
      </c>
      <c r="C16" t="s">
        <v>1531</v>
      </c>
      <c r="D16" t="s">
        <v>1599</v>
      </c>
      <c r="F16">
        <f t="shared" si="0"/>
        <v>6</v>
      </c>
      <c r="G16">
        <f t="shared" si="1"/>
        <v>19912</v>
      </c>
    </row>
    <row r="17" spans="2:16">
      <c r="B17" t="s">
        <v>1108</v>
      </c>
      <c r="C17" t="s">
        <v>1532</v>
      </c>
      <c r="D17" t="s">
        <v>1600</v>
      </c>
      <c r="F17">
        <f t="shared" si="0"/>
        <v>9</v>
      </c>
      <c r="G17">
        <f t="shared" si="1"/>
        <v>24317</v>
      </c>
    </row>
    <row r="18" spans="2:16">
      <c r="B18" t="s">
        <v>1110</v>
      </c>
      <c r="C18" t="s">
        <v>1533</v>
      </c>
      <c r="D18" t="s">
        <v>1601</v>
      </c>
      <c r="F18">
        <f t="shared" si="0"/>
        <v>5</v>
      </c>
      <c r="G18">
        <f t="shared" si="1"/>
        <v>27722</v>
      </c>
    </row>
    <row r="19" spans="2:16">
      <c r="B19" t="s">
        <v>466</v>
      </c>
      <c r="C19" t="s">
        <v>466</v>
      </c>
      <c r="D19" t="s">
        <v>287</v>
      </c>
      <c r="F19">
        <f t="shared" si="0"/>
        <v>0</v>
      </c>
      <c r="G19">
        <f t="shared" si="1"/>
        <v>52</v>
      </c>
      <c r="O19">
        <f>SUM(O20:O32)</f>
        <v>14</v>
      </c>
    </row>
    <row r="20" spans="2:16">
      <c r="B20" t="s">
        <v>1113</v>
      </c>
      <c r="C20" t="s">
        <v>1534</v>
      </c>
      <c r="D20" t="s">
        <v>1603</v>
      </c>
      <c r="F20">
        <f t="shared" si="0"/>
        <v>5</v>
      </c>
      <c r="G20">
        <f t="shared" si="1"/>
        <v>14801</v>
      </c>
      <c r="K20" t="s">
        <v>444</v>
      </c>
      <c r="L20" t="s">
        <v>298</v>
      </c>
      <c r="M20" t="s">
        <v>444</v>
      </c>
      <c r="O20">
        <f>K20-L20</f>
        <v>1</v>
      </c>
      <c r="P20">
        <f>K20-M20</f>
        <v>0</v>
      </c>
    </row>
    <row r="21" spans="2:16">
      <c r="B21" t="s">
        <v>1115</v>
      </c>
      <c r="C21" t="s">
        <v>1535</v>
      </c>
      <c r="D21" t="s">
        <v>1604</v>
      </c>
      <c r="F21">
        <f t="shared" si="0"/>
        <v>4</v>
      </c>
      <c r="G21">
        <f t="shared" si="1"/>
        <v>21786</v>
      </c>
      <c r="K21" t="s">
        <v>603</v>
      </c>
      <c r="L21" t="s">
        <v>450</v>
      </c>
      <c r="M21" t="s">
        <v>603</v>
      </c>
      <c r="O21">
        <f t="shared" ref="O21:O32" si="3">K21-L21</f>
        <v>1</v>
      </c>
      <c r="P21">
        <f t="shared" ref="P21:P32" si="4">K21-M21</f>
        <v>0</v>
      </c>
    </row>
    <row r="22" spans="2:16">
      <c r="B22" t="s">
        <v>1117</v>
      </c>
      <c r="C22" t="s">
        <v>1536</v>
      </c>
      <c r="D22" t="s">
        <v>1605</v>
      </c>
      <c r="F22">
        <f t="shared" si="0"/>
        <v>5</v>
      </c>
      <c r="G22">
        <f t="shared" si="1"/>
        <v>7743</v>
      </c>
      <c r="K22" t="s">
        <v>441</v>
      </c>
      <c r="L22">
        <v>0</v>
      </c>
      <c r="M22" t="s">
        <v>441</v>
      </c>
      <c r="O22">
        <f t="shared" si="3"/>
        <v>1</v>
      </c>
      <c r="P22">
        <f t="shared" si="4"/>
        <v>0</v>
      </c>
    </row>
    <row r="23" spans="2:16">
      <c r="B23" t="s">
        <v>1119</v>
      </c>
      <c r="C23" t="s">
        <v>1119</v>
      </c>
      <c r="D23">
        <v>0</v>
      </c>
      <c r="F23">
        <f t="shared" si="0"/>
        <v>0</v>
      </c>
      <c r="G23">
        <f t="shared" si="1"/>
        <v>1699</v>
      </c>
      <c r="K23" t="s">
        <v>345</v>
      </c>
      <c r="L23" t="s">
        <v>441</v>
      </c>
      <c r="M23" t="s">
        <v>345</v>
      </c>
      <c r="O23">
        <f t="shared" si="3"/>
        <v>1</v>
      </c>
      <c r="P23">
        <f t="shared" si="4"/>
        <v>0</v>
      </c>
    </row>
    <row r="24" spans="2:16">
      <c r="B24" t="s">
        <v>1121</v>
      </c>
      <c r="C24" t="s">
        <v>1537</v>
      </c>
      <c r="D24" t="s">
        <v>1606</v>
      </c>
      <c r="F24">
        <f t="shared" si="0"/>
        <v>2</v>
      </c>
      <c r="G24">
        <f t="shared" si="1"/>
        <v>15685</v>
      </c>
      <c r="K24" t="s">
        <v>345</v>
      </c>
      <c r="L24" t="s">
        <v>441</v>
      </c>
      <c r="M24" t="s">
        <v>345</v>
      </c>
      <c r="O24">
        <f t="shared" si="3"/>
        <v>1</v>
      </c>
      <c r="P24">
        <f t="shared" si="4"/>
        <v>0</v>
      </c>
    </row>
    <row r="25" spans="2:16">
      <c r="B25" t="s">
        <v>1123</v>
      </c>
      <c r="C25" t="s">
        <v>1538</v>
      </c>
      <c r="D25" t="s">
        <v>1607</v>
      </c>
      <c r="F25">
        <f t="shared" si="0"/>
        <v>1</v>
      </c>
      <c r="G25">
        <f t="shared" si="1"/>
        <v>6821</v>
      </c>
      <c r="K25" t="s">
        <v>441</v>
      </c>
      <c r="L25">
        <v>0</v>
      </c>
      <c r="M25" t="s">
        <v>441</v>
      </c>
      <c r="O25">
        <f t="shared" si="3"/>
        <v>1</v>
      </c>
      <c r="P25">
        <f t="shared" si="4"/>
        <v>0</v>
      </c>
    </row>
    <row r="26" spans="2:16">
      <c r="B26" t="s">
        <v>1125</v>
      </c>
      <c r="C26" t="s">
        <v>1539</v>
      </c>
      <c r="D26" t="s">
        <v>1608</v>
      </c>
      <c r="F26">
        <f t="shared" si="0"/>
        <v>2</v>
      </c>
      <c r="G26">
        <f t="shared" si="1"/>
        <v>10991</v>
      </c>
      <c r="K26" t="s">
        <v>345</v>
      </c>
      <c r="L26">
        <v>0</v>
      </c>
      <c r="M26" t="s">
        <v>345</v>
      </c>
      <c r="O26">
        <f t="shared" si="3"/>
        <v>2</v>
      </c>
      <c r="P26">
        <f t="shared" si="4"/>
        <v>0</v>
      </c>
    </row>
    <row r="27" spans="2:16">
      <c r="B27" t="s">
        <v>1127</v>
      </c>
      <c r="C27" t="s">
        <v>1127</v>
      </c>
      <c r="D27">
        <v>0</v>
      </c>
      <c r="F27">
        <f t="shared" si="0"/>
        <v>0</v>
      </c>
      <c r="G27">
        <f t="shared" si="1"/>
        <v>170096</v>
      </c>
      <c r="K27" t="s">
        <v>441</v>
      </c>
      <c r="L27">
        <v>0</v>
      </c>
      <c r="M27" t="s">
        <v>441</v>
      </c>
      <c r="O27">
        <f t="shared" si="3"/>
        <v>1</v>
      </c>
      <c r="P27">
        <f t="shared" si="4"/>
        <v>0</v>
      </c>
    </row>
    <row r="28" spans="2:16">
      <c r="B28" t="s">
        <v>1129</v>
      </c>
      <c r="C28" t="s">
        <v>1540</v>
      </c>
      <c r="D28" t="s">
        <v>509</v>
      </c>
      <c r="F28">
        <f t="shared" si="0"/>
        <v>1</v>
      </c>
      <c r="G28">
        <f t="shared" si="1"/>
        <v>3012</v>
      </c>
      <c r="K28" t="s">
        <v>441</v>
      </c>
      <c r="L28">
        <v>0</v>
      </c>
      <c r="M28" t="s">
        <v>441</v>
      </c>
      <c r="O28">
        <f t="shared" si="3"/>
        <v>1</v>
      </c>
      <c r="P28">
        <f t="shared" si="4"/>
        <v>0</v>
      </c>
    </row>
    <row r="29" spans="2:16">
      <c r="B29" t="s">
        <v>1131</v>
      </c>
      <c r="C29" t="s">
        <v>1541</v>
      </c>
      <c r="D29" t="s">
        <v>1609</v>
      </c>
      <c r="F29">
        <f t="shared" si="0"/>
        <v>1</v>
      </c>
      <c r="G29">
        <f t="shared" si="1"/>
        <v>6031</v>
      </c>
      <c r="K29" t="s">
        <v>345</v>
      </c>
      <c r="L29" t="s">
        <v>441</v>
      </c>
      <c r="M29" t="s">
        <v>345</v>
      </c>
      <c r="O29">
        <f t="shared" si="3"/>
        <v>1</v>
      </c>
      <c r="P29">
        <f t="shared" si="4"/>
        <v>0</v>
      </c>
    </row>
    <row r="30" spans="2:16">
      <c r="B30" t="s">
        <v>1133</v>
      </c>
      <c r="C30" t="s">
        <v>1542</v>
      </c>
      <c r="D30" t="s">
        <v>1610</v>
      </c>
      <c r="F30">
        <f t="shared" si="0"/>
        <v>9</v>
      </c>
      <c r="G30">
        <f t="shared" si="1"/>
        <v>36122</v>
      </c>
      <c r="K30" t="s">
        <v>441</v>
      </c>
      <c r="L30">
        <v>0</v>
      </c>
      <c r="M30" t="s">
        <v>441</v>
      </c>
      <c r="O30">
        <f t="shared" si="3"/>
        <v>1</v>
      </c>
      <c r="P30">
        <f t="shared" si="4"/>
        <v>0</v>
      </c>
    </row>
    <row r="31" spans="2:16">
      <c r="B31" t="s">
        <v>1135</v>
      </c>
      <c r="C31" t="s">
        <v>1543</v>
      </c>
      <c r="D31" t="s">
        <v>1611</v>
      </c>
      <c r="F31">
        <f t="shared" si="0"/>
        <v>87</v>
      </c>
      <c r="G31">
        <f t="shared" si="1"/>
        <v>283090</v>
      </c>
      <c r="K31" t="s">
        <v>441</v>
      </c>
      <c r="L31">
        <v>0</v>
      </c>
      <c r="M31" t="s">
        <v>441</v>
      </c>
      <c r="O31">
        <f t="shared" si="3"/>
        <v>1</v>
      </c>
      <c r="P31">
        <f t="shared" si="4"/>
        <v>0</v>
      </c>
    </row>
    <row r="32" spans="2:16">
      <c r="B32" t="s">
        <v>1137</v>
      </c>
      <c r="C32" t="s">
        <v>1544</v>
      </c>
      <c r="D32" t="s">
        <v>1613</v>
      </c>
      <c r="F32">
        <f t="shared" si="0"/>
        <v>3</v>
      </c>
      <c r="G32">
        <f t="shared" si="1"/>
        <v>17701</v>
      </c>
      <c r="K32" t="s">
        <v>441</v>
      </c>
      <c r="L32">
        <v>0</v>
      </c>
      <c r="M32" t="s">
        <v>441</v>
      </c>
      <c r="O32">
        <f t="shared" si="3"/>
        <v>1</v>
      </c>
      <c r="P32">
        <f t="shared" si="4"/>
        <v>0</v>
      </c>
    </row>
    <row r="33" spans="2:7">
      <c r="B33" t="s">
        <v>1139</v>
      </c>
      <c r="C33" t="s">
        <v>1545</v>
      </c>
      <c r="D33" t="s">
        <v>1614</v>
      </c>
      <c r="F33">
        <f t="shared" si="0"/>
        <v>2</v>
      </c>
      <c r="G33">
        <f t="shared" si="1"/>
        <v>4981</v>
      </c>
    </row>
    <row r="34" spans="2:7">
      <c r="B34" t="s">
        <v>1141</v>
      </c>
      <c r="C34" t="s">
        <v>1546</v>
      </c>
      <c r="D34" t="s">
        <v>1615</v>
      </c>
      <c r="F34">
        <f t="shared" si="0"/>
        <v>2</v>
      </c>
      <c r="G34">
        <f t="shared" si="1"/>
        <v>5595</v>
      </c>
    </row>
    <row r="35" spans="2:7">
      <c r="B35" t="s">
        <v>1143</v>
      </c>
      <c r="C35" t="s">
        <v>1547</v>
      </c>
      <c r="D35" t="s">
        <v>1616</v>
      </c>
      <c r="F35">
        <f t="shared" si="0"/>
        <v>1</v>
      </c>
      <c r="G35">
        <f t="shared" si="1"/>
        <v>7458</v>
      </c>
    </row>
    <row r="36" spans="2:7">
      <c r="B36" t="s">
        <v>1145</v>
      </c>
      <c r="C36" t="s">
        <v>1548</v>
      </c>
      <c r="D36" t="s">
        <v>1617</v>
      </c>
      <c r="F36">
        <f t="shared" si="0"/>
        <v>4</v>
      </c>
      <c r="G36">
        <f t="shared" si="1"/>
        <v>5417</v>
      </c>
    </row>
    <row r="37" spans="2:7">
      <c r="B37" t="s">
        <v>1147</v>
      </c>
      <c r="C37" t="s">
        <v>1549</v>
      </c>
      <c r="D37" t="s">
        <v>1618</v>
      </c>
      <c r="F37">
        <f t="shared" si="0"/>
        <v>2</v>
      </c>
      <c r="G37">
        <f t="shared" si="1"/>
        <v>8920</v>
      </c>
    </row>
    <row r="38" spans="2:7">
      <c r="B38" t="s">
        <v>1149</v>
      </c>
      <c r="C38" t="s">
        <v>1550</v>
      </c>
      <c r="D38" t="s">
        <v>1619</v>
      </c>
      <c r="F38">
        <f t="shared" si="0"/>
        <v>6</v>
      </c>
      <c r="G38">
        <f t="shared" si="1"/>
        <v>2820</v>
      </c>
    </row>
    <row r="39" spans="2:7">
      <c r="B39" t="s">
        <v>1151</v>
      </c>
      <c r="C39" t="s">
        <v>1151</v>
      </c>
      <c r="D39" t="s">
        <v>1620</v>
      </c>
      <c r="F39">
        <f t="shared" si="0"/>
        <v>0</v>
      </c>
      <c r="G39">
        <f t="shared" si="1"/>
        <v>3347</v>
      </c>
    </row>
    <row r="40" spans="2:7">
      <c r="B40" t="s">
        <v>1153</v>
      </c>
      <c r="C40" t="s">
        <v>1551</v>
      </c>
      <c r="D40" t="s">
        <v>1621</v>
      </c>
      <c r="F40">
        <f t="shared" si="0"/>
        <v>10</v>
      </c>
      <c r="G40">
        <f t="shared" si="1"/>
        <v>16580</v>
      </c>
    </row>
    <row r="41" spans="2:7">
      <c r="B41" t="s">
        <v>1155</v>
      </c>
      <c r="C41" t="s">
        <v>1552</v>
      </c>
      <c r="D41" t="s">
        <v>1623</v>
      </c>
      <c r="F41">
        <f t="shared" si="0"/>
        <v>11</v>
      </c>
      <c r="G41">
        <f t="shared" si="1"/>
        <v>4576</v>
      </c>
    </row>
    <row r="42" spans="2:7">
      <c r="B42" t="s">
        <v>1157</v>
      </c>
      <c r="C42" t="s">
        <v>1553</v>
      </c>
      <c r="D42" t="s">
        <v>1624</v>
      </c>
      <c r="F42">
        <f t="shared" si="0"/>
        <v>52</v>
      </c>
      <c r="G42">
        <f t="shared" si="1"/>
        <v>66030</v>
      </c>
    </row>
    <row r="43" spans="2:7">
      <c r="B43" t="s">
        <v>1159</v>
      </c>
      <c r="C43" t="s">
        <v>1555</v>
      </c>
      <c r="D43" t="s">
        <v>1626</v>
      </c>
      <c r="F43">
        <f t="shared" si="0"/>
        <v>1</v>
      </c>
      <c r="G43">
        <f t="shared" si="1"/>
        <v>4609</v>
      </c>
    </row>
    <row r="44" spans="2:7">
      <c r="B44" t="s">
        <v>1161</v>
      </c>
      <c r="C44" t="s">
        <v>1556</v>
      </c>
      <c r="D44" t="s">
        <v>1627</v>
      </c>
      <c r="F44">
        <f t="shared" si="0"/>
        <v>3</v>
      </c>
      <c r="G44">
        <f t="shared" si="1"/>
        <v>4176</v>
      </c>
    </row>
    <row r="45" spans="2:7">
      <c r="B45" t="s">
        <v>1163</v>
      </c>
      <c r="C45" t="s">
        <v>1557</v>
      </c>
      <c r="D45" t="s">
        <v>1628</v>
      </c>
      <c r="F45">
        <f t="shared" si="0"/>
        <v>6</v>
      </c>
      <c r="G45">
        <f t="shared" si="1"/>
        <v>21778</v>
      </c>
    </row>
    <row r="46" spans="2:7">
      <c r="B46" t="s">
        <v>1165</v>
      </c>
      <c r="C46" t="s">
        <v>1558</v>
      </c>
      <c r="D46" t="s">
        <v>1629</v>
      </c>
      <c r="F46">
        <f t="shared" si="0"/>
        <v>9</v>
      </c>
      <c r="G46">
        <f t="shared" si="1"/>
        <v>16545</v>
      </c>
    </row>
    <row r="47" spans="2:7">
      <c r="B47" t="s">
        <v>1167</v>
      </c>
      <c r="C47" t="s">
        <v>1559</v>
      </c>
      <c r="D47" t="s">
        <v>1631</v>
      </c>
      <c r="F47">
        <f t="shared" si="0"/>
        <v>2</v>
      </c>
      <c r="G47">
        <f t="shared" si="1"/>
        <v>9169</v>
      </c>
    </row>
    <row r="48" spans="2:7">
      <c r="B48" t="s">
        <v>1169</v>
      </c>
      <c r="C48" t="s">
        <v>1560</v>
      </c>
      <c r="D48" t="s">
        <v>1632</v>
      </c>
      <c r="F48">
        <f t="shared" si="0"/>
        <v>1</v>
      </c>
      <c r="G48">
        <f t="shared" si="1"/>
        <v>5665</v>
      </c>
    </row>
    <row r="49" spans="2:7">
      <c r="B49" t="s">
        <v>1171</v>
      </c>
      <c r="C49" t="s">
        <v>1561</v>
      </c>
      <c r="D49" t="s">
        <v>1633</v>
      </c>
      <c r="F49">
        <f t="shared" si="0"/>
        <v>7</v>
      </c>
      <c r="G49">
        <f t="shared" si="1"/>
        <v>14285</v>
      </c>
    </row>
    <row r="50" spans="2:7">
      <c r="B50" t="s">
        <v>1173</v>
      </c>
      <c r="C50" t="s">
        <v>1562</v>
      </c>
      <c r="D50" t="s">
        <v>1634</v>
      </c>
      <c r="F50">
        <f t="shared" si="0"/>
        <v>7</v>
      </c>
      <c r="G50">
        <f t="shared" si="1"/>
        <v>4169</v>
      </c>
    </row>
    <row r="51" spans="2:7">
      <c r="B51" t="s">
        <v>1175</v>
      </c>
      <c r="C51" t="s">
        <v>1563</v>
      </c>
      <c r="D51" t="s">
        <v>1635</v>
      </c>
      <c r="F51">
        <f t="shared" si="0"/>
        <v>9</v>
      </c>
      <c r="G51">
        <f t="shared" si="1"/>
        <v>6662</v>
      </c>
    </row>
    <row r="52" spans="2:7">
      <c r="B52" t="s">
        <v>1177</v>
      </c>
      <c r="C52" t="s">
        <v>1564</v>
      </c>
      <c r="D52" t="s">
        <v>1636</v>
      </c>
      <c r="F52">
        <f t="shared" si="0"/>
        <v>2</v>
      </c>
      <c r="G52">
        <f t="shared" si="1"/>
        <v>6057</v>
      </c>
    </row>
    <row r="53" spans="2:7">
      <c r="B53" t="s">
        <v>1179</v>
      </c>
      <c r="C53" t="s">
        <v>1565</v>
      </c>
      <c r="D53" t="s">
        <v>1637</v>
      </c>
      <c r="F53">
        <f t="shared" si="0"/>
        <v>1</v>
      </c>
      <c r="G53">
        <f t="shared" si="1"/>
        <v>5489</v>
      </c>
    </row>
    <row r="54" spans="2:7">
      <c r="B54" t="s">
        <v>1181</v>
      </c>
      <c r="C54" t="s">
        <v>1566</v>
      </c>
      <c r="D54" t="s">
        <v>1639</v>
      </c>
      <c r="F54">
        <f t="shared" si="0"/>
        <v>12</v>
      </c>
      <c r="G54">
        <f t="shared" si="1"/>
        <v>3227</v>
      </c>
    </row>
    <row r="55" spans="2:7">
      <c r="B55" t="s">
        <v>1183</v>
      </c>
      <c r="C55" t="s">
        <v>1183</v>
      </c>
      <c r="D55" t="s">
        <v>1640</v>
      </c>
      <c r="F55">
        <f t="shared" si="0"/>
        <v>0</v>
      </c>
      <c r="G55">
        <f t="shared" si="1"/>
        <v>8800</v>
      </c>
    </row>
    <row r="56" spans="2:7">
      <c r="B56" t="s">
        <v>1185</v>
      </c>
      <c r="C56" t="s">
        <v>1567</v>
      </c>
      <c r="D56" t="s">
        <v>1641</v>
      </c>
      <c r="F56">
        <f t="shared" si="0"/>
        <v>15</v>
      </c>
      <c r="G56">
        <f t="shared" si="1"/>
        <v>2146</v>
      </c>
    </row>
    <row r="57" spans="2:7">
      <c r="B57" t="s">
        <v>1187</v>
      </c>
      <c r="C57" t="s">
        <v>1568</v>
      </c>
      <c r="D57" t="s">
        <v>1642</v>
      </c>
      <c r="F57">
        <f t="shared" si="0"/>
        <v>2</v>
      </c>
      <c r="G57">
        <f t="shared" si="1"/>
        <v>1633</v>
      </c>
    </row>
    <row r="58" spans="2:7">
      <c r="B58" t="s">
        <v>1189</v>
      </c>
      <c r="C58" t="s">
        <v>1189</v>
      </c>
      <c r="D58" t="s">
        <v>511</v>
      </c>
      <c r="F58">
        <f t="shared" si="0"/>
        <v>0</v>
      </c>
      <c r="G58">
        <f t="shared" si="1"/>
        <v>235</v>
      </c>
    </row>
    <row r="59" spans="2:7">
      <c r="B59" t="s">
        <v>1191</v>
      </c>
      <c r="C59" t="s">
        <v>1569</v>
      </c>
      <c r="D59" t="s">
        <v>1643</v>
      </c>
      <c r="F59">
        <f t="shared" si="0"/>
        <v>2</v>
      </c>
      <c r="G59">
        <f t="shared" si="1"/>
        <v>1604</v>
      </c>
    </row>
    <row r="60" spans="2:7">
      <c r="B60" t="s">
        <v>1193</v>
      </c>
      <c r="C60" t="s">
        <v>1570</v>
      </c>
      <c r="D60" t="s">
        <v>1644</v>
      </c>
      <c r="F60">
        <f t="shared" si="0"/>
        <v>6</v>
      </c>
      <c r="G60">
        <f t="shared" si="1"/>
        <v>4512</v>
      </c>
    </row>
    <row r="61" spans="2:7">
      <c r="B61" t="s">
        <v>1195</v>
      </c>
      <c r="C61" t="s">
        <v>1571</v>
      </c>
      <c r="D61" t="s">
        <v>1645</v>
      </c>
      <c r="F61">
        <f t="shared" si="0"/>
        <v>10</v>
      </c>
      <c r="G61">
        <f t="shared" si="1"/>
        <v>1628</v>
      </c>
    </row>
    <row r="62" spans="2:7">
      <c r="B62" t="s">
        <v>1197</v>
      </c>
      <c r="C62" t="s">
        <v>1197</v>
      </c>
      <c r="D62" t="s">
        <v>1646</v>
      </c>
      <c r="F62">
        <f t="shared" si="0"/>
        <v>0</v>
      </c>
      <c r="G62">
        <f t="shared" si="1"/>
        <v>58</v>
      </c>
    </row>
    <row r="63" spans="2:7">
      <c r="B63" t="s">
        <v>1199</v>
      </c>
      <c r="C63" t="s">
        <v>1572</v>
      </c>
      <c r="D63" t="s">
        <v>1647</v>
      </c>
      <c r="F63">
        <f t="shared" si="0"/>
        <v>1</v>
      </c>
      <c r="G63">
        <f t="shared" si="1"/>
        <v>172</v>
      </c>
    </row>
    <row r="64" spans="2:7">
      <c r="B64" t="s">
        <v>1201</v>
      </c>
      <c r="C64" t="s">
        <v>1201</v>
      </c>
      <c r="D64" t="s">
        <v>1648</v>
      </c>
      <c r="F64">
        <f t="shared" si="0"/>
        <v>0</v>
      </c>
      <c r="G64">
        <f t="shared" si="1"/>
        <v>603</v>
      </c>
    </row>
    <row r="65" spans="2:7">
      <c r="B65" t="s">
        <v>1203</v>
      </c>
      <c r="C65" t="s">
        <v>1573</v>
      </c>
      <c r="D65" t="s">
        <v>1649</v>
      </c>
      <c r="F65">
        <f t="shared" si="0"/>
        <v>3</v>
      </c>
      <c r="G65">
        <f t="shared" si="1"/>
        <v>1035</v>
      </c>
    </row>
    <row r="66" spans="2:7">
      <c r="B66" t="s">
        <v>1205</v>
      </c>
      <c r="C66" t="s">
        <v>1205</v>
      </c>
      <c r="D66" t="s">
        <v>1650</v>
      </c>
      <c r="F66">
        <f t="shared" si="0"/>
        <v>0</v>
      </c>
      <c r="G66">
        <f t="shared" si="1"/>
        <v>436</v>
      </c>
    </row>
    <row r="67" spans="2:7">
      <c r="B67" t="s">
        <v>1207</v>
      </c>
      <c r="C67" t="s">
        <v>1207</v>
      </c>
      <c r="D67" t="s">
        <v>1651</v>
      </c>
      <c r="F67">
        <f t="shared" ref="F67:F85" si="5">B67-C67</f>
        <v>0</v>
      </c>
      <c r="G67">
        <f t="shared" ref="G67:G85" si="6">B67-D67</f>
        <v>171</v>
      </c>
    </row>
    <row r="68" spans="2:7">
      <c r="B68" t="s">
        <v>1209</v>
      </c>
      <c r="C68" t="s">
        <v>1574</v>
      </c>
      <c r="D68" t="s">
        <v>1652</v>
      </c>
      <c r="F68">
        <f t="shared" si="5"/>
        <v>1</v>
      </c>
      <c r="G68">
        <f t="shared" si="6"/>
        <v>201</v>
      </c>
    </row>
    <row r="69" spans="2:7">
      <c r="B69" t="s">
        <v>1211</v>
      </c>
      <c r="C69" t="s">
        <v>1211</v>
      </c>
      <c r="D69" t="s">
        <v>1653</v>
      </c>
      <c r="F69">
        <f t="shared" si="5"/>
        <v>0</v>
      </c>
      <c r="G69">
        <f t="shared" si="6"/>
        <v>281</v>
      </c>
    </row>
    <row r="70" spans="2:7">
      <c r="B70" t="s">
        <v>1213</v>
      </c>
      <c r="C70" t="s">
        <v>1213</v>
      </c>
      <c r="D70" t="s">
        <v>1654</v>
      </c>
      <c r="F70">
        <f t="shared" si="5"/>
        <v>0</v>
      </c>
      <c r="G70">
        <f t="shared" si="6"/>
        <v>15</v>
      </c>
    </row>
    <row r="71" spans="2:7">
      <c r="B71" t="s">
        <v>1223</v>
      </c>
      <c r="C71" t="s">
        <v>1575</v>
      </c>
      <c r="D71" t="s">
        <v>1655</v>
      </c>
      <c r="F71">
        <f t="shared" si="5"/>
        <v>1</v>
      </c>
      <c r="G71">
        <f t="shared" si="6"/>
        <v>2</v>
      </c>
    </row>
    <row r="72" spans="2:7">
      <c r="B72" t="s">
        <v>1225</v>
      </c>
      <c r="C72" t="s">
        <v>1555</v>
      </c>
      <c r="D72" t="s">
        <v>1159</v>
      </c>
      <c r="F72">
        <f t="shared" si="5"/>
        <v>2</v>
      </c>
      <c r="G72">
        <f t="shared" si="6"/>
        <v>1</v>
      </c>
    </row>
    <row r="73" spans="2:7">
      <c r="B73" t="s">
        <v>1229</v>
      </c>
      <c r="C73" t="s">
        <v>1229</v>
      </c>
      <c r="D73" t="s">
        <v>1656</v>
      </c>
      <c r="F73">
        <f t="shared" si="5"/>
        <v>0</v>
      </c>
      <c r="G73">
        <f t="shared" si="6"/>
        <v>2</v>
      </c>
    </row>
    <row r="74" spans="2:7">
      <c r="B74" t="s">
        <v>1235</v>
      </c>
      <c r="C74" t="s">
        <v>1576</v>
      </c>
      <c r="D74" t="s">
        <v>1576</v>
      </c>
      <c r="F74">
        <f t="shared" si="5"/>
        <v>1</v>
      </c>
      <c r="G74">
        <f t="shared" si="6"/>
        <v>1</v>
      </c>
    </row>
    <row r="75" spans="2:7">
      <c r="B75" t="s">
        <v>1237</v>
      </c>
      <c r="C75" t="s">
        <v>1577</v>
      </c>
      <c r="D75" t="s">
        <v>1237</v>
      </c>
      <c r="F75">
        <f t="shared" si="5"/>
        <v>4</v>
      </c>
      <c r="G75">
        <f t="shared" si="6"/>
        <v>0</v>
      </c>
    </row>
    <row r="76" spans="2:7">
      <c r="B76" t="s">
        <v>1239</v>
      </c>
      <c r="C76" t="s">
        <v>1239</v>
      </c>
      <c r="D76" t="s">
        <v>1657</v>
      </c>
      <c r="F76">
        <f t="shared" si="5"/>
        <v>0</v>
      </c>
      <c r="G76">
        <f t="shared" si="6"/>
        <v>2</v>
      </c>
    </row>
    <row r="77" spans="2:7">
      <c r="B77" t="s">
        <v>1241</v>
      </c>
      <c r="C77" t="s">
        <v>1578</v>
      </c>
      <c r="D77" t="s">
        <v>1241</v>
      </c>
      <c r="F77">
        <f t="shared" si="5"/>
        <v>2</v>
      </c>
      <c r="G77">
        <f t="shared" si="6"/>
        <v>0</v>
      </c>
    </row>
    <row r="78" spans="2:7">
      <c r="B78" t="s">
        <v>1247</v>
      </c>
      <c r="C78" t="s">
        <v>1579</v>
      </c>
      <c r="D78" t="s">
        <v>1247</v>
      </c>
      <c r="F78">
        <f t="shared" si="5"/>
        <v>-1</v>
      </c>
      <c r="G78">
        <f t="shared" si="6"/>
        <v>0</v>
      </c>
    </row>
    <row r="79" spans="2:7">
      <c r="B79" t="s">
        <v>1249</v>
      </c>
      <c r="C79" t="s">
        <v>1249</v>
      </c>
      <c r="D79" t="s">
        <v>1658</v>
      </c>
      <c r="F79">
        <f t="shared" si="5"/>
        <v>0</v>
      </c>
      <c r="G79">
        <f t="shared" si="6"/>
        <v>2</v>
      </c>
    </row>
    <row r="80" spans="2:7">
      <c r="B80" t="s">
        <v>1251</v>
      </c>
      <c r="C80" t="s">
        <v>1581</v>
      </c>
      <c r="D80" t="s">
        <v>1659</v>
      </c>
      <c r="F80">
        <f t="shared" si="5"/>
        <v>2</v>
      </c>
      <c r="G80">
        <f t="shared" si="6"/>
        <v>1</v>
      </c>
    </row>
    <row r="81" spans="2:7">
      <c r="B81" t="s">
        <v>1264</v>
      </c>
      <c r="C81" t="s">
        <v>1264</v>
      </c>
      <c r="D81" t="s">
        <v>1660</v>
      </c>
      <c r="F81">
        <f t="shared" si="5"/>
        <v>0</v>
      </c>
      <c r="G81">
        <f t="shared" si="6"/>
        <v>-1</v>
      </c>
    </row>
    <row r="82" spans="2:7">
      <c r="B82" t="s">
        <v>1265</v>
      </c>
      <c r="C82" t="s">
        <v>1582</v>
      </c>
      <c r="D82" t="s">
        <v>1582</v>
      </c>
      <c r="F82">
        <f t="shared" si="5"/>
        <v>2</v>
      </c>
      <c r="G82">
        <f t="shared" si="6"/>
        <v>2</v>
      </c>
    </row>
    <row r="83" spans="2:7">
      <c r="B83" t="s">
        <v>1267</v>
      </c>
      <c r="C83" t="s">
        <v>1267</v>
      </c>
      <c r="D83" t="s">
        <v>1662</v>
      </c>
      <c r="F83">
        <f t="shared" si="5"/>
        <v>0</v>
      </c>
      <c r="G83">
        <f t="shared" si="6"/>
        <v>3</v>
      </c>
    </row>
    <row r="84" spans="2:7">
      <c r="B84" t="s">
        <v>1269</v>
      </c>
      <c r="C84" t="s">
        <v>1269</v>
      </c>
      <c r="D84" t="s">
        <v>1663</v>
      </c>
      <c r="F84">
        <f t="shared" si="5"/>
        <v>0</v>
      </c>
      <c r="G84">
        <f t="shared" si="6"/>
        <v>-1</v>
      </c>
    </row>
    <row r="85" spans="2:7">
      <c r="B85" t="s">
        <v>1274</v>
      </c>
      <c r="C85" t="s">
        <v>1274</v>
      </c>
      <c r="D85" t="s">
        <v>539</v>
      </c>
      <c r="F85">
        <f t="shared" si="5"/>
        <v>0</v>
      </c>
      <c r="G85">
        <f t="shared" si="6"/>
        <v>-1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8ACA-8BC3-4AC9-B038-B9246DA9B03E}">
  <dimension ref="A1:CY157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RowHeight="18.75"/>
  <cols>
    <col min="2" max="2" width="10.625" customWidth="1"/>
  </cols>
  <sheetData>
    <row r="1" spans="1:103">
      <c r="T1" s="9" t="s">
        <v>1735</v>
      </c>
      <c r="X1" s="2" t="s">
        <v>1731</v>
      </c>
      <c r="AB1" s="9" t="s">
        <v>1735</v>
      </c>
      <c r="AF1" s="2" t="s">
        <v>1732</v>
      </c>
      <c r="CF1" s="9" t="s">
        <v>1736</v>
      </c>
      <c r="CN1" s="9" t="s">
        <v>1735</v>
      </c>
      <c r="CR1" s="9" t="s">
        <v>1737</v>
      </c>
      <c r="CV1" t="s">
        <v>1739</v>
      </c>
    </row>
    <row r="2" spans="1:103">
      <c r="T2" s="9" t="s">
        <v>1746</v>
      </c>
      <c r="X2" s="2"/>
      <c r="AB2" s="9" t="s">
        <v>1745</v>
      </c>
      <c r="AF2" s="2"/>
      <c r="CF2" s="9" t="s">
        <v>1744</v>
      </c>
      <c r="CN2" s="9" t="s">
        <v>1741</v>
      </c>
      <c r="CR2" s="9" t="s">
        <v>1742</v>
      </c>
      <c r="CV2" s="9" t="s">
        <v>1743</v>
      </c>
    </row>
    <row r="3" spans="1:103">
      <c r="A3" t="s">
        <v>1734</v>
      </c>
      <c r="B3" s="3"/>
      <c r="C3" s="3"/>
      <c r="D3" s="7" t="s">
        <v>19</v>
      </c>
      <c r="E3" s="7"/>
      <c r="F3" s="7"/>
      <c r="G3" s="6"/>
      <c r="H3" s="7" t="s">
        <v>7</v>
      </c>
      <c r="I3" s="7"/>
      <c r="J3" s="7"/>
      <c r="K3" s="6"/>
      <c r="L3" s="7" t="s">
        <v>309</v>
      </c>
      <c r="M3" s="7"/>
      <c r="N3" s="7"/>
      <c r="O3" s="6"/>
      <c r="P3" s="7" t="s">
        <v>9</v>
      </c>
      <c r="Q3" s="7"/>
      <c r="R3" s="7"/>
      <c r="S3" s="6"/>
      <c r="T3" s="8" t="s">
        <v>10</v>
      </c>
      <c r="U3" s="8"/>
      <c r="V3" s="6"/>
      <c r="W3" s="6"/>
      <c r="X3" s="7" t="s">
        <v>3</v>
      </c>
      <c r="Y3" s="7"/>
      <c r="Z3" s="7"/>
      <c r="AA3" s="6"/>
      <c r="AB3" s="8" t="s">
        <v>459</v>
      </c>
      <c r="AC3" s="6"/>
      <c r="AD3" s="6"/>
      <c r="AE3" s="6"/>
      <c r="AF3" s="7" t="s">
        <v>613</v>
      </c>
      <c r="AG3" s="7"/>
      <c r="AH3" s="7"/>
      <c r="AI3" s="6"/>
      <c r="AJ3" s="7" t="s">
        <v>4</v>
      </c>
      <c r="AK3" s="7"/>
      <c r="AL3" s="7"/>
      <c r="AM3" s="6"/>
      <c r="AN3" s="7" t="s">
        <v>6</v>
      </c>
      <c r="AO3" s="7"/>
      <c r="AP3" s="7"/>
      <c r="AQ3" s="6"/>
      <c r="AR3" s="7" t="s">
        <v>731</v>
      </c>
      <c r="AS3" s="7"/>
      <c r="AT3" s="7"/>
      <c r="AU3" s="6"/>
      <c r="AV3" s="7" t="s">
        <v>780</v>
      </c>
      <c r="AW3" s="7"/>
      <c r="AX3" s="7"/>
      <c r="AY3" s="6"/>
      <c r="AZ3" s="7" t="s">
        <v>791</v>
      </c>
      <c r="BA3" s="7"/>
      <c r="BB3" s="7"/>
      <c r="BC3" s="6"/>
      <c r="BD3" s="7" t="s">
        <v>837</v>
      </c>
      <c r="BE3" s="7"/>
      <c r="BF3" s="7"/>
      <c r="BG3" s="6"/>
      <c r="BH3" s="7" t="s">
        <v>13</v>
      </c>
      <c r="BI3" s="7"/>
      <c r="BJ3" s="7"/>
      <c r="BK3" s="6"/>
      <c r="BL3" s="7" t="s">
        <v>14</v>
      </c>
      <c r="BM3" s="7"/>
      <c r="BN3" s="7"/>
      <c r="BO3" s="6"/>
      <c r="BP3" s="7" t="s">
        <v>966</v>
      </c>
      <c r="BQ3" s="7"/>
      <c r="BR3" s="7"/>
      <c r="BS3" s="6"/>
      <c r="BT3" s="7" t="s">
        <v>1034</v>
      </c>
      <c r="BU3" s="7"/>
      <c r="BV3" s="7"/>
      <c r="BW3" s="6"/>
      <c r="BX3" s="7" t="s">
        <v>1067</v>
      </c>
      <c r="BY3" s="7"/>
      <c r="BZ3" s="7"/>
      <c r="CA3" s="6"/>
      <c r="CB3" s="7" t="s">
        <v>1068</v>
      </c>
      <c r="CC3" s="7"/>
      <c r="CD3" s="7"/>
      <c r="CE3" s="6"/>
      <c r="CF3" s="12" t="s">
        <v>5</v>
      </c>
      <c r="CG3" s="8"/>
      <c r="CH3" s="8"/>
      <c r="CI3" s="6"/>
      <c r="CJ3" s="7" t="s">
        <v>12</v>
      </c>
      <c r="CK3" s="7"/>
      <c r="CL3" s="7"/>
      <c r="CM3" s="6"/>
      <c r="CN3" s="8" t="s">
        <v>1329</v>
      </c>
      <c r="CO3" s="8"/>
      <c r="CP3" s="6"/>
      <c r="CQ3" s="6"/>
      <c r="CR3" s="8" t="s">
        <v>11</v>
      </c>
      <c r="CS3" s="8"/>
      <c r="CT3" s="8"/>
      <c r="CU3" s="6"/>
      <c r="CV3" s="8" t="s">
        <v>1396</v>
      </c>
      <c r="CW3" s="9"/>
      <c r="CX3" s="9"/>
      <c r="CY3" s="3"/>
    </row>
    <row r="4" spans="1:103">
      <c r="A4" t="s">
        <v>1733</v>
      </c>
      <c r="B4" s="3" t="s">
        <v>1728</v>
      </c>
      <c r="C4" s="1" t="s">
        <v>15</v>
      </c>
      <c r="D4" t="s">
        <v>1729</v>
      </c>
      <c r="E4" t="s">
        <v>1726</v>
      </c>
      <c r="F4" t="s">
        <v>1727</v>
      </c>
      <c r="G4" t="s">
        <v>1730</v>
      </c>
      <c r="H4" t="s">
        <v>1729</v>
      </c>
      <c r="I4" t="s">
        <v>1726</v>
      </c>
      <c r="J4" t="s">
        <v>1727</v>
      </c>
      <c r="K4" t="s">
        <v>1730</v>
      </c>
      <c r="L4" t="s">
        <v>1729</v>
      </c>
      <c r="M4" t="s">
        <v>1726</v>
      </c>
      <c r="N4" t="s">
        <v>1727</v>
      </c>
      <c r="O4" t="s">
        <v>1730</v>
      </c>
      <c r="P4" t="s">
        <v>1729</v>
      </c>
      <c r="Q4" t="s">
        <v>1726</v>
      </c>
      <c r="R4" t="s">
        <v>1727</v>
      </c>
      <c r="S4" t="s">
        <v>1730</v>
      </c>
      <c r="T4" t="s">
        <v>1729</v>
      </c>
      <c r="U4" t="s">
        <v>1726</v>
      </c>
      <c r="V4" t="s">
        <v>1727</v>
      </c>
      <c r="W4" t="s">
        <v>1730</v>
      </c>
      <c r="X4" t="s">
        <v>1729</v>
      </c>
      <c r="Y4" t="s">
        <v>1726</v>
      </c>
      <c r="Z4" t="s">
        <v>1727</v>
      </c>
      <c r="AA4" t="s">
        <v>1730</v>
      </c>
      <c r="AB4" t="s">
        <v>1729</v>
      </c>
      <c r="AC4" t="s">
        <v>1726</v>
      </c>
      <c r="AD4" t="s">
        <v>1727</v>
      </c>
      <c r="AE4" t="s">
        <v>1730</v>
      </c>
      <c r="AF4" t="s">
        <v>1729</v>
      </c>
      <c r="AG4" t="s">
        <v>1726</v>
      </c>
      <c r="AH4" t="s">
        <v>1727</v>
      </c>
      <c r="AI4" t="s">
        <v>1730</v>
      </c>
      <c r="AJ4" t="s">
        <v>1729</v>
      </c>
      <c r="AK4" t="s">
        <v>1726</v>
      </c>
      <c r="AL4" t="s">
        <v>1727</v>
      </c>
      <c r="AM4" t="s">
        <v>1730</v>
      </c>
      <c r="AN4" t="s">
        <v>1729</v>
      </c>
      <c r="AO4" t="s">
        <v>1726</v>
      </c>
      <c r="AP4" t="s">
        <v>1727</v>
      </c>
      <c r="AQ4" t="s">
        <v>1730</v>
      </c>
      <c r="AR4" t="s">
        <v>1729</v>
      </c>
      <c r="AS4" t="s">
        <v>1726</v>
      </c>
      <c r="AT4" t="s">
        <v>1727</v>
      </c>
      <c r="AU4" t="s">
        <v>1730</v>
      </c>
      <c r="AV4" t="s">
        <v>1729</v>
      </c>
      <c r="AW4" t="s">
        <v>1726</v>
      </c>
      <c r="AX4" t="s">
        <v>1727</v>
      </c>
      <c r="AY4" t="s">
        <v>1730</v>
      </c>
      <c r="AZ4" t="s">
        <v>1729</v>
      </c>
      <c r="BA4" t="s">
        <v>1726</v>
      </c>
      <c r="BB4" t="s">
        <v>1727</v>
      </c>
      <c r="BC4" t="s">
        <v>1730</v>
      </c>
      <c r="BD4" t="s">
        <v>1729</v>
      </c>
      <c r="BE4" t="s">
        <v>1726</v>
      </c>
      <c r="BF4" t="s">
        <v>1727</v>
      </c>
      <c r="BG4" t="s">
        <v>1730</v>
      </c>
      <c r="BH4" t="s">
        <v>1729</v>
      </c>
      <c r="BI4" t="s">
        <v>1726</v>
      </c>
      <c r="BJ4" t="s">
        <v>1727</v>
      </c>
      <c r="BK4" t="s">
        <v>1730</v>
      </c>
      <c r="BL4" t="s">
        <v>1729</v>
      </c>
      <c r="BM4" t="s">
        <v>1726</v>
      </c>
      <c r="BN4" t="s">
        <v>1727</v>
      </c>
      <c r="BO4" t="s">
        <v>1730</v>
      </c>
      <c r="BP4" t="s">
        <v>1729</v>
      </c>
      <c r="BQ4" t="s">
        <v>1726</v>
      </c>
      <c r="BR4" t="s">
        <v>1727</v>
      </c>
      <c r="BS4" t="s">
        <v>1730</v>
      </c>
      <c r="BT4" t="s">
        <v>1729</v>
      </c>
      <c r="BU4" t="s">
        <v>1726</v>
      </c>
      <c r="BV4" t="s">
        <v>1727</v>
      </c>
      <c r="BW4" t="s">
        <v>1730</v>
      </c>
      <c r="BX4" t="s">
        <v>1729</v>
      </c>
      <c r="BY4" t="s">
        <v>1726</v>
      </c>
      <c r="BZ4" t="s">
        <v>1727</v>
      </c>
      <c r="CA4" t="s">
        <v>1730</v>
      </c>
      <c r="CB4" t="s">
        <v>1729</v>
      </c>
      <c r="CC4" t="s">
        <v>1726</v>
      </c>
      <c r="CD4" t="s">
        <v>1727</v>
      </c>
      <c r="CE4" t="s">
        <v>1730</v>
      </c>
      <c r="CF4" t="s">
        <v>1729</v>
      </c>
      <c r="CG4" t="s">
        <v>1726</v>
      </c>
      <c r="CH4" t="s">
        <v>1727</v>
      </c>
      <c r="CI4" t="s">
        <v>1730</v>
      </c>
      <c r="CJ4" t="s">
        <v>1729</v>
      </c>
      <c r="CK4" t="s">
        <v>1726</v>
      </c>
      <c r="CL4" t="s">
        <v>1727</v>
      </c>
      <c r="CM4" t="s">
        <v>1730</v>
      </c>
      <c r="CN4" t="s">
        <v>1729</v>
      </c>
      <c r="CO4" t="s">
        <v>1726</v>
      </c>
      <c r="CP4" s="13" t="s">
        <v>1727</v>
      </c>
      <c r="CQ4" t="s">
        <v>1730</v>
      </c>
      <c r="CR4" t="s">
        <v>1729</v>
      </c>
      <c r="CS4" t="s">
        <v>1726</v>
      </c>
      <c r="CT4" t="s">
        <v>1727</v>
      </c>
      <c r="CU4" t="s">
        <v>1730</v>
      </c>
      <c r="CV4" t="s">
        <v>1729</v>
      </c>
      <c r="CW4" t="s">
        <v>1726</v>
      </c>
      <c r="CX4" t="s">
        <v>1727</v>
      </c>
      <c r="CY4" t="s">
        <v>1730</v>
      </c>
    </row>
    <row r="5" spans="1:103">
      <c r="B5" s="6" t="s">
        <v>310</v>
      </c>
      <c r="C5" s="5" t="b">
        <f>AND(G5,K5,O5,S5,W5,AA5,AE5,AI5,AM5,AQ5,AU5,AY5,BC5,BG5,BK5,BO5,BS5,BW5,CA5,CE5,CI5,CM5,CQ5,CU5,CY5)</f>
        <v>1</v>
      </c>
      <c r="D5">
        <f>IFERROR(VLOOKUP($B5, aegis!$B:$C, 2, FALSE), 0)</f>
        <v>0</v>
      </c>
      <c r="E5">
        <f>IFERROR(VLOOKUP($B5, duel!$B:$C, 2, FALSE), 0)</f>
        <v>0</v>
      </c>
      <c r="F5">
        <f>IFERROR(VLOOKUP($B5, blitz!$B:$C, 2, FALSE), 0)</f>
        <v>0</v>
      </c>
      <c r="G5" t="b">
        <f>AND(D5=E5, E5=F5)</f>
        <v>1</v>
      </c>
      <c r="H5">
        <f>IFERROR(VLOOKUP($B5, aegis!$G:$H, 2, FALSE), 0)</f>
        <v>0</v>
      </c>
      <c r="I5">
        <f>IFERROR(VLOOKUP($B5, duel!$G:$H, 2, FALSE), 0)</f>
        <v>0</v>
      </c>
      <c r="J5">
        <f>IFERROR(VLOOKUP($B5, blitz!$G:$H, 2, FALSE), 0)</f>
        <v>0</v>
      </c>
      <c r="K5" t="b">
        <f>AND(H5=I5, I5=J5)</f>
        <v>1</v>
      </c>
      <c r="L5" t="str">
        <f>IFERROR(VLOOKUP($B5, aegis!$L:$M, 2, FALSE), 0)</f>
        <v>12</v>
      </c>
      <c r="M5" t="str">
        <f>IFERROR(VLOOKUP($B5, duel!$L:$M, 2, FALSE), 0)</f>
        <v>12</v>
      </c>
      <c r="N5" t="str">
        <f>IFERROR(VLOOKUP($B5, blitz!$L:$M, 2, FALSE), 0)</f>
        <v>12</v>
      </c>
      <c r="O5" t="b">
        <f>AND(L5=M5, M5=N5)</f>
        <v>1</v>
      </c>
      <c r="P5" t="str">
        <f>IFERROR(VLOOKUP($B5, aegis!$Q:$R, 2, FALSE), 0)</f>
        <v>7</v>
      </c>
      <c r="Q5" t="str">
        <f>IFERROR(VLOOKUP($B5, duel!$Q:$R, 2, FALSE), 0)</f>
        <v>7</v>
      </c>
      <c r="R5" t="str">
        <f>IFERROR(VLOOKUP($B5, blitz!$Q:$R, 2, FALSE), 0)</f>
        <v>7</v>
      </c>
      <c r="S5" t="b">
        <f>AND(P5=Q5, Q5=R5)</f>
        <v>1</v>
      </c>
      <c r="T5" t="str">
        <f>IFERROR(VLOOKUP($B5, aegis!$V:$W, 2, FALSE), 0)</f>
        <v>2</v>
      </c>
      <c r="U5" t="str">
        <f>IFERROR(VLOOKUP($B5, duel!$V:$W, 2, FALSE), 0)</f>
        <v>2</v>
      </c>
      <c r="V5" t="str">
        <f>IFERROR(VLOOKUP($B5, blitz!$V:$W, 2, FALSE), 0)</f>
        <v>2</v>
      </c>
      <c r="W5" t="b">
        <f>AND(T5=U5, U5=V5)</f>
        <v>1</v>
      </c>
      <c r="X5" t="str">
        <f>IFERROR(VLOOKUP($B5, aegis!$AA:$AB, 2, FALSE), 0)</f>
        <v>1</v>
      </c>
      <c r="Y5" t="str">
        <f>IFERROR(VLOOKUP($B5, duel!$AA:$AB, 2, FALSE), 0)</f>
        <v>1</v>
      </c>
      <c r="Z5" t="str">
        <f>IFERROR(VLOOKUP($B5, blitz!$AA:$AB, 2, FALSE), 0)</f>
        <v>1</v>
      </c>
      <c r="AA5" t="b">
        <f>AND(X5=Y5, Y5=Z5)</f>
        <v>1</v>
      </c>
      <c r="AB5" t="str">
        <f>IFERROR(VLOOKUP($B5, aegis!$AF:$AG, 2, FALSE), 0)</f>
        <v>2</v>
      </c>
      <c r="AC5" t="str">
        <f>IFERROR(VLOOKUP($B5, duel!$AF:$AG, 2, FALSE), 0)</f>
        <v>2</v>
      </c>
      <c r="AD5" t="str">
        <f>IFERROR(VLOOKUP($B5, blitz!$AF:$AG, 2, FALSE), 0)</f>
        <v>2</v>
      </c>
      <c r="AE5" t="b">
        <f>AND(AB5=AC5, AC5=AD5)</f>
        <v>1</v>
      </c>
      <c r="AF5">
        <f>IFERROR(VLOOKUP($B5, aegis!$AK:$AL, 2, FALSE), 0)</f>
        <v>0</v>
      </c>
      <c r="AG5">
        <f>IFERROR(VLOOKUP($B5, duel!$AK:$AL, 2, FALSE), 0)</f>
        <v>0</v>
      </c>
      <c r="AH5">
        <f>IFERROR(VLOOKUP($B5, blitz!$AK:$AL, 2, FALSE), 0)</f>
        <v>0</v>
      </c>
      <c r="AI5" t="b">
        <f>AND(AF5=AG5, AG5=AH5)</f>
        <v>1</v>
      </c>
      <c r="AJ5" t="str">
        <f>IFERROR(VLOOKUP($B5, aegis!$AP:$AQ, 2, FALSE), 0)</f>
        <v>3</v>
      </c>
      <c r="AK5" t="str">
        <f>IFERROR(VLOOKUP($B5, duel!$AP:$AQ, 2, FALSE), 0)</f>
        <v>3</v>
      </c>
      <c r="AL5" t="str">
        <f>IFERROR(VLOOKUP($B5, blitz!$AP:$AQ, 2, FALSE), 0)</f>
        <v>3</v>
      </c>
      <c r="AM5" t="b">
        <f>AND(AJ5=AK5, AK5=AL5)</f>
        <v>1</v>
      </c>
      <c r="AN5" t="str">
        <f>IFERROR(VLOOKUP($B5, aegis!$AU:$AV, 2, FALSE), 0)</f>
        <v>3</v>
      </c>
      <c r="AO5" t="str">
        <f>IFERROR(VLOOKUP($B5, duel!$AU:$AV, 2, FALSE), 0)</f>
        <v>3</v>
      </c>
      <c r="AP5" t="str">
        <f>IFERROR(VLOOKUP($B5, blitz!$AU:$AV, 2, FALSE), 0)</f>
        <v>3</v>
      </c>
      <c r="AQ5" t="b">
        <f>AND(AN5=AO5, AO5=AP5)</f>
        <v>1</v>
      </c>
      <c r="AR5" t="str">
        <f>IFERROR(VLOOKUP($B5, aegis!$AZ:$BA, 2, FALSE), 0)</f>
        <v>1</v>
      </c>
      <c r="AS5" t="str">
        <f>IFERROR(VLOOKUP($B5, duel!$AZ:$BA, 2, FALSE), 0)</f>
        <v>1</v>
      </c>
      <c r="AT5" t="str">
        <f>IFERROR(VLOOKUP($B5, blitz!$AZ:$BA, 2, FALSE), 0)</f>
        <v>1</v>
      </c>
      <c r="AU5" t="b">
        <f>AND(AR5=AS5, AS5=AT5)</f>
        <v>1</v>
      </c>
      <c r="AV5" t="str">
        <f>IFERROR(VLOOKUP($B5, aegis!$BE:$BF, 2, FALSE), 0)</f>
        <v>2</v>
      </c>
      <c r="AW5" t="str">
        <f>IFERROR(VLOOKUP($B5, duel!$BE:$BF, 2, FALSE), 0)</f>
        <v>2</v>
      </c>
      <c r="AX5" t="str">
        <f>IFERROR(VLOOKUP($B5, blitz!$BE:$BF, 2, FALSE), 0)</f>
        <v>2</v>
      </c>
      <c r="AY5" t="b">
        <f>AND(AV5=AW5, AW5=AX5)</f>
        <v>1</v>
      </c>
      <c r="AZ5">
        <f>IFERROR(VLOOKUP($B5, aegis!$BJ:$BK, 2, FALSE), 0)</f>
        <v>0</v>
      </c>
      <c r="BA5">
        <f>IFERROR(VLOOKUP($B5, duel!$BJ:$BK, 2, FALSE), 0)</f>
        <v>0</v>
      </c>
      <c r="BB5">
        <f>IFERROR(VLOOKUP($B5, blitz!$BJ:$BK, 2, FALSE), 0)</f>
        <v>0</v>
      </c>
      <c r="BC5" t="b">
        <f>AND(AZ5=BA5, BA5=BB5)</f>
        <v>1</v>
      </c>
      <c r="BD5">
        <f>IFERROR(VLOOKUP($B5, aegis!$BO:$BP, 2, FALSE), 0)</f>
        <v>0</v>
      </c>
      <c r="BE5">
        <f>IFERROR(VLOOKUP($B5, duel!$BO:$BP, 2, FALSE), 0)</f>
        <v>0</v>
      </c>
      <c r="BF5">
        <f>IFERROR(VLOOKUP($B5, blitz!$BO:$BP, 2, FALSE), 0)</f>
        <v>0</v>
      </c>
      <c r="BG5" t="b">
        <f>AND(BD5=BE5, BE5=BF5)</f>
        <v>1</v>
      </c>
      <c r="BH5">
        <f>IFERROR(VLOOKUP($B5, aegis!$BT:$BU, 2, FALSE), 0)</f>
        <v>0</v>
      </c>
      <c r="BI5">
        <f>IFERROR(VLOOKUP($B5, duel!$BT:$BU, 2, FALSE), 0)</f>
        <v>0</v>
      </c>
      <c r="BJ5">
        <f>IFERROR(VLOOKUP($B5, blitz!$BT:$BU, 2, FALSE), 0)</f>
        <v>0</v>
      </c>
      <c r="BK5" t="b">
        <f>AND(BH5=BI5, BI5=BJ5)</f>
        <v>1</v>
      </c>
      <c r="BL5" t="str">
        <f>IFERROR(VLOOKUP($B5, aegis!$BY:$BZ, 2, FALSE), 0)</f>
        <v>2</v>
      </c>
      <c r="BM5" t="str">
        <f>IFERROR(VLOOKUP($B5, duel!$BY:$BZ, 2, FALSE), 0)</f>
        <v>2</v>
      </c>
      <c r="BN5" t="str">
        <f>IFERROR(VLOOKUP($B5, blitz!$BY:$BZ, 2, FALSE), 0)</f>
        <v>2</v>
      </c>
      <c r="BO5" t="b">
        <f>AND(BL5=BM5, BM5=BN5)</f>
        <v>1</v>
      </c>
      <c r="BP5">
        <f>IFERROR(VLOOKUP($B5, aegis!$CD:$CE, 2, FALSE), 0)</f>
        <v>0</v>
      </c>
      <c r="BQ5">
        <f>IFERROR(VLOOKUP($B5, duel!$CD:$CE, 2, FALSE), 0)</f>
        <v>0</v>
      </c>
      <c r="BR5">
        <f>IFERROR(VLOOKUP($B5, blitz!$CD:$CE, 2, FALSE), 0)</f>
        <v>0</v>
      </c>
      <c r="BS5" t="b">
        <f>AND(BP5=BQ5, BQ5=BR5)</f>
        <v>1</v>
      </c>
      <c r="BT5" t="str">
        <f>IFERROR(VLOOKUP($B5, aegis!$CI:$CJ, 2, FALSE), 0)</f>
        <v>3</v>
      </c>
      <c r="BU5" t="str">
        <f>IFERROR(VLOOKUP($B5, duel!$CI:$CJ, 2, FALSE), 0)</f>
        <v>3</v>
      </c>
      <c r="BV5" t="str">
        <f>IFERROR(VLOOKUP($B5, blitz!$CI:$CJ, 2, FALSE), 0)</f>
        <v>3</v>
      </c>
      <c r="BW5" t="b">
        <f>AND(BT5=BU5, BU5=BV5)</f>
        <v>1</v>
      </c>
      <c r="BX5" t="str">
        <f>IFERROR(VLOOKUP($B5, aegis!$CN:$CO, 2, FALSE), 0)</f>
        <v>3</v>
      </c>
      <c r="BY5" t="str">
        <f>IFERROR(VLOOKUP($B5, duel!$CN:$CO, 2, FALSE), 0)</f>
        <v>3</v>
      </c>
      <c r="BZ5" t="str">
        <f>IFERROR(VLOOKUP($B5, blitz!$CN:$CO, 2, FALSE), 0)</f>
        <v>3</v>
      </c>
      <c r="CA5" t="b">
        <f>AND(BX5=BY5, BY5=BZ5)</f>
        <v>1</v>
      </c>
      <c r="CB5" t="str">
        <f>IFERROR(VLOOKUP($B5, aegis!$CS:$CT, 2, FALSE), 0)</f>
        <v>14</v>
      </c>
      <c r="CC5" t="str">
        <f>IFERROR(VLOOKUP($B5, duel!$CS:$CT, 2, FALSE), 0)</f>
        <v>14</v>
      </c>
      <c r="CD5" t="str">
        <f>IFERROR(VLOOKUP($B5, blitz!$CS:$CT, 2, FALSE), 0)</f>
        <v>14</v>
      </c>
      <c r="CE5" t="b">
        <f>AND(CB5=CC5, CC5=CD5)</f>
        <v>1</v>
      </c>
      <c r="CF5">
        <f>IFERROR(VLOOKUP($B5, aegis!$CX:$CY, 2, FALSE), 0)</f>
        <v>0</v>
      </c>
      <c r="CG5">
        <f>IFERROR(VLOOKUP($B5, duel!$CX:$CY, 2, FALSE), 0)</f>
        <v>0</v>
      </c>
      <c r="CH5">
        <f>IFERROR(VLOOKUP($B5, blitz!$CX:$CY, 2, FALSE), 0)</f>
        <v>0</v>
      </c>
      <c r="CI5" t="b">
        <f>AND(CF5=CG5, CG5=CH5)</f>
        <v>1</v>
      </c>
      <c r="CJ5">
        <f>IFERROR(VLOOKUP($B5, aegis!$DC:$DD, 2, FALSE), 0)</f>
        <v>0</v>
      </c>
      <c r="CK5">
        <f>IFERROR(VLOOKUP($B5, duel!$DC:$DD, 2, FALSE), 0)</f>
        <v>0</v>
      </c>
      <c r="CL5">
        <f>IFERROR(VLOOKUP($B5, blitz!$DC:$DD, 2, FALSE), 0)</f>
        <v>0</v>
      </c>
      <c r="CM5" t="b">
        <f>AND(CJ5=CK5, CK5=CL5)</f>
        <v>1</v>
      </c>
      <c r="CN5" t="str">
        <f>IFERROR(VLOOKUP($B5, aegis!$DH:$DI, 2, FALSE), 0)</f>
        <v>3</v>
      </c>
      <c r="CO5" t="str">
        <f>IFERROR(VLOOKUP($B5, duel!$DH:$DI, 2, FALSE), 0)</f>
        <v>3</v>
      </c>
      <c r="CP5" s="13">
        <f>IFERROR(VLOOKUP($B5, blitz!$DH:$DI, 2, FALSE), 0)</f>
        <v>0</v>
      </c>
      <c r="CQ5" t="b">
        <f>AND(CN5=CO5)</f>
        <v>1</v>
      </c>
      <c r="CR5" t="str">
        <f>IFERROR(VLOOKUP($B5, aegis!$DM:$DN, 2, FALSE), 0)</f>
        <v>20</v>
      </c>
      <c r="CS5" t="str">
        <f>IFERROR(VLOOKUP($B5, duel!$DM:$DN, 2, FALSE), 0)</f>
        <v>20</v>
      </c>
      <c r="CT5" t="str">
        <f>IFERROR(VLOOKUP($B5, blitz!$DM:$DN, 2, FALSE), 0)</f>
        <v>20</v>
      </c>
      <c r="CU5" t="b">
        <f>AND(CR5=CS5, CS5=CT5)</f>
        <v>1</v>
      </c>
      <c r="CV5" t="str">
        <f>IFERROR(VLOOKUP($B5, aegis!$DR:$DS, 2, FALSE), 0)</f>
        <v>2</v>
      </c>
      <c r="CW5" t="str">
        <f>IFERROR(VLOOKUP($B5, duel!$DR:$DS, 2, FALSE), 0)</f>
        <v>2</v>
      </c>
      <c r="CX5" t="str">
        <f>IFERROR(VLOOKUP($B5, blitz!$DR:$DS, 2, FALSE), 0)</f>
        <v>2</v>
      </c>
      <c r="CY5" t="b">
        <f>AND(CV5=CW5, CW5=CX5)</f>
        <v>1</v>
      </c>
    </row>
    <row r="6" spans="1:103">
      <c r="B6" s="6" t="s">
        <v>312</v>
      </c>
      <c r="C6" s="5" t="b">
        <f t="shared" ref="C6:C69" si="0">AND(G6,K6,O6,S6,W6,AA6,AE6,AI6,AM6,AQ6,AU6,AY6,BC6,BG6,BK6,BO6,BS6,BW6,CA6,CE6,CI6,CM6,CQ6,CU6,CY6)</f>
        <v>1</v>
      </c>
      <c r="D6">
        <f>IFERROR(VLOOKUP($B6, aegis!$B:$C, 2, FALSE), 0)</f>
        <v>0</v>
      </c>
      <c r="E6">
        <f>IFERROR(VLOOKUP($B6, duel!$B:$C, 2, FALSE), 0)</f>
        <v>0</v>
      </c>
      <c r="F6">
        <f>IFERROR(VLOOKUP($B6, blitz!$B:$C, 2, FALSE), 0)</f>
        <v>0</v>
      </c>
      <c r="G6" t="b">
        <f t="shared" ref="G6:G69" si="1">AND(D6=E6, E6=F6)</f>
        <v>1</v>
      </c>
      <c r="H6">
        <f>IFERROR(VLOOKUP($B6, aegis!$G:$H, 2, FALSE), 0)</f>
        <v>0</v>
      </c>
      <c r="I6">
        <f>IFERROR(VLOOKUP($B6, duel!$G:$H, 2, FALSE), 0)</f>
        <v>0</v>
      </c>
      <c r="J6">
        <f>IFERROR(VLOOKUP($B6, blitz!$G:$H, 2, FALSE), 0)</f>
        <v>0</v>
      </c>
      <c r="K6" t="b">
        <f t="shared" ref="K6:K69" si="2">AND(H6=I6, I6=J6)</f>
        <v>1</v>
      </c>
      <c r="L6" t="str">
        <f>IFERROR(VLOOKUP($B6, aegis!$L:$M, 2, FALSE), 0)</f>
        <v>12</v>
      </c>
      <c r="M6" t="str">
        <f>IFERROR(VLOOKUP($B6, duel!$L:$M, 2, FALSE), 0)</f>
        <v>12</v>
      </c>
      <c r="N6" t="str">
        <f>IFERROR(VLOOKUP($B6, blitz!$L:$M, 2, FALSE), 0)</f>
        <v>12</v>
      </c>
      <c r="O6" t="b">
        <f t="shared" ref="O6:O69" si="3">AND(L6=M6, M6=N6)</f>
        <v>1</v>
      </c>
      <c r="P6" t="str">
        <f>IFERROR(VLOOKUP($B6, aegis!$Q:$R, 2, FALSE), 0)</f>
        <v>7</v>
      </c>
      <c r="Q6" t="str">
        <f>IFERROR(VLOOKUP($B6, duel!$Q:$R, 2, FALSE), 0)</f>
        <v>7</v>
      </c>
      <c r="R6" t="str">
        <f>IFERROR(VLOOKUP($B6, blitz!$Q:$R, 2, FALSE), 0)</f>
        <v>7</v>
      </c>
      <c r="S6" t="b">
        <f t="shared" ref="S6:S69" si="4">AND(P6=Q6, Q6=R6)</f>
        <v>1</v>
      </c>
      <c r="T6">
        <f>IFERROR(VLOOKUP($B6, aegis!$V:$W, 2, FALSE), 0)</f>
        <v>0</v>
      </c>
      <c r="U6">
        <f>IFERROR(VLOOKUP($B6, duel!$V:$W, 2, FALSE), 0)</f>
        <v>0</v>
      </c>
      <c r="V6">
        <f>IFERROR(VLOOKUP($B6, blitz!$V:$W, 2, FALSE), 0)</f>
        <v>0</v>
      </c>
      <c r="W6" t="b">
        <f t="shared" ref="W6:W69" si="5">AND(T6=U6, U6=V6)</f>
        <v>1</v>
      </c>
      <c r="X6" t="str">
        <f>IFERROR(VLOOKUP($B6, aegis!$AA:$AB, 2, FALSE), 0)</f>
        <v>1</v>
      </c>
      <c r="Y6" t="str">
        <f>IFERROR(VLOOKUP($B6, duel!$AA:$AB, 2, FALSE), 0)</f>
        <v>1</v>
      </c>
      <c r="Z6" t="str">
        <f>IFERROR(VLOOKUP($B6, blitz!$AA:$AB, 2, FALSE), 0)</f>
        <v>1</v>
      </c>
      <c r="AA6" t="b">
        <f t="shared" ref="AA6:AA69" si="6">AND(X6=Y6, Y6=Z6)</f>
        <v>1</v>
      </c>
      <c r="AB6">
        <f>IFERROR(VLOOKUP($B6, aegis!$AF:$AG, 2, FALSE), 0)</f>
        <v>0</v>
      </c>
      <c r="AC6">
        <f>IFERROR(VLOOKUP($B6, duel!$AF:$AG, 2, FALSE), 0)</f>
        <v>0</v>
      </c>
      <c r="AD6">
        <f>IFERROR(VLOOKUP($B6, blitz!$AF:$AG, 2, FALSE), 0)</f>
        <v>0</v>
      </c>
      <c r="AE6" t="b">
        <f t="shared" ref="AE6:AE69" si="7">AND(AB6=AC6, AC6=AD6)</f>
        <v>1</v>
      </c>
      <c r="AF6">
        <f>IFERROR(VLOOKUP($B6, aegis!$AK:$AL, 2, FALSE), 0)</f>
        <v>0</v>
      </c>
      <c r="AG6">
        <f>IFERROR(VLOOKUP($B6, duel!$AK:$AL, 2, FALSE), 0)</f>
        <v>0</v>
      </c>
      <c r="AH6">
        <f>IFERROR(VLOOKUP($B6, blitz!$AK:$AL, 2, FALSE), 0)</f>
        <v>0</v>
      </c>
      <c r="AI6" t="b">
        <f t="shared" ref="AI6:AI69" si="8">AND(AF6=AG6, AG6=AH6)</f>
        <v>1</v>
      </c>
      <c r="AJ6" t="str">
        <f>IFERROR(VLOOKUP($B6, aegis!$AP:$AQ, 2, FALSE), 0)</f>
        <v>1</v>
      </c>
      <c r="AK6" t="str">
        <f>IFERROR(VLOOKUP($B6, duel!$AP:$AQ, 2, FALSE), 0)</f>
        <v>1</v>
      </c>
      <c r="AL6" t="str">
        <f>IFERROR(VLOOKUP($B6, blitz!$AP:$AQ, 2, FALSE), 0)</f>
        <v>1</v>
      </c>
      <c r="AM6" t="b">
        <f t="shared" ref="AM6:AM69" si="9">AND(AJ6=AK6, AK6=AL6)</f>
        <v>1</v>
      </c>
      <c r="AN6">
        <f>IFERROR(VLOOKUP($B6, aegis!$AU:$AV, 2, FALSE), 0)</f>
        <v>0</v>
      </c>
      <c r="AO6">
        <f>IFERROR(VLOOKUP($B6, duel!$AU:$AV, 2, FALSE), 0)</f>
        <v>0</v>
      </c>
      <c r="AP6">
        <f>IFERROR(VLOOKUP($B6, blitz!$AU:$AV, 2, FALSE), 0)</f>
        <v>0</v>
      </c>
      <c r="AQ6" t="b">
        <f t="shared" ref="AQ6:AQ69" si="10">AND(AN6=AO6, AO6=AP6)</f>
        <v>1</v>
      </c>
      <c r="AR6" t="str">
        <f>IFERROR(VLOOKUP($B6, aegis!$AZ:$BA, 2, FALSE), 0)</f>
        <v>1</v>
      </c>
      <c r="AS6" t="str">
        <f>IFERROR(VLOOKUP($B6, duel!$AZ:$BA, 2, FALSE), 0)</f>
        <v>1</v>
      </c>
      <c r="AT6" t="str">
        <f>IFERROR(VLOOKUP($B6, blitz!$AZ:$BA, 2, FALSE), 0)</f>
        <v>1</v>
      </c>
      <c r="AU6" t="b">
        <f t="shared" ref="AU6:AU69" si="11">AND(AR6=AS6, AS6=AT6)</f>
        <v>1</v>
      </c>
      <c r="AV6">
        <f>IFERROR(VLOOKUP($B6, aegis!$BE:$BF, 2, FALSE), 0)</f>
        <v>0</v>
      </c>
      <c r="AW6">
        <f>IFERROR(VLOOKUP($B6, duel!$BE:$BF, 2, FALSE), 0)</f>
        <v>0</v>
      </c>
      <c r="AX6">
        <f>IFERROR(VLOOKUP($B6, blitz!$BE:$BF, 2, FALSE), 0)</f>
        <v>0</v>
      </c>
      <c r="AY6" t="b">
        <f t="shared" ref="AY6:AY69" si="12">AND(AV6=AW6, AW6=AX6)</f>
        <v>1</v>
      </c>
      <c r="AZ6">
        <f>IFERROR(VLOOKUP($B6, aegis!$BJ:$BK, 2, FALSE), 0)</f>
        <v>0</v>
      </c>
      <c r="BA6">
        <f>IFERROR(VLOOKUP($B6, duel!$BJ:$BK, 2, FALSE), 0)</f>
        <v>0</v>
      </c>
      <c r="BB6">
        <f>IFERROR(VLOOKUP($B6, blitz!$BJ:$BK, 2, FALSE), 0)</f>
        <v>0</v>
      </c>
      <c r="BC6" t="b">
        <f t="shared" ref="BC6:BC69" si="13">AND(AZ6=BA6, BA6=BB6)</f>
        <v>1</v>
      </c>
      <c r="BD6">
        <f>IFERROR(VLOOKUP($B6, aegis!$BO:$BP, 2, FALSE), 0)</f>
        <v>0</v>
      </c>
      <c r="BE6">
        <f>IFERROR(VLOOKUP($B6, duel!$BO:$BP, 2, FALSE), 0)</f>
        <v>0</v>
      </c>
      <c r="BF6">
        <f>IFERROR(VLOOKUP($B6, blitz!$BO:$BP, 2, FALSE), 0)</f>
        <v>0</v>
      </c>
      <c r="BG6" t="b">
        <f t="shared" ref="BG6:BG69" si="14">AND(BD6=BE6, BE6=BF6)</f>
        <v>1</v>
      </c>
      <c r="BH6">
        <f>IFERROR(VLOOKUP($B6, aegis!$BT:$BU, 2, FALSE), 0)</f>
        <v>0</v>
      </c>
      <c r="BI6">
        <f>IFERROR(VLOOKUP($B6, duel!$BT:$BU, 2, FALSE), 0)</f>
        <v>0</v>
      </c>
      <c r="BJ6">
        <f>IFERROR(VLOOKUP($B6, blitz!$BT:$BU, 2, FALSE), 0)</f>
        <v>0</v>
      </c>
      <c r="BK6" t="b">
        <f t="shared" ref="BK6:BK69" si="15">AND(BH6=BI6, BI6=BJ6)</f>
        <v>1</v>
      </c>
      <c r="BL6">
        <f>IFERROR(VLOOKUP($B6, aegis!$BY:$BZ, 2, FALSE), 0)</f>
        <v>0</v>
      </c>
      <c r="BM6">
        <f>IFERROR(VLOOKUP($B6, duel!$BY:$BZ, 2, FALSE), 0)</f>
        <v>0</v>
      </c>
      <c r="BN6">
        <f>IFERROR(VLOOKUP($B6, blitz!$BY:$BZ, 2, FALSE), 0)</f>
        <v>0</v>
      </c>
      <c r="BO6" t="b">
        <f t="shared" ref="BO6:BO69" si="16">AND(BL6=BM6, BM6=BN6)</f>
        <v>1</v>
      </c>
      <c r="BP6">
        <f>IFERROR(VLOOKUP($B6, aegis!$CD:$CE, 2, FALSE), 0)</f>
        <v>0</v>
      </c>
      <c r="BQ6">
        <f>IFERROR(VLOOKUP($B6, duel!$CD:$CE, 2, FALSE), 0)</f>
        <v>0</v>
      </c>
      <c r="BR6">
        <f>IFERROR(VLOOKUP($B6, blitz!$CD:$CE, 2, FALSE), 0)</f>
        <v>0</v>
      </c>
      <c r="BS6" t="b">
        <f t="shared" ref="BS6:BS69" si="17">AND(BP6=BQ6, BQ6=BR6)</f>
        <v>1</v>
      </c>
      <c r="BT6">
        <f>IFERROR(VLOOKUP($B6, aegis!$CI:$CJ, 2, FALSE), 0)</f>
        <v>0</v>
      </c>
      <c r="BU6">
        <f>IFERROR(VLOOKUP($B6, duel!$CI:$CJ, 2, FALSE), 0)</f>
        <v>0</v>
      </c>
      <c r="BV6">
        <f>IFERROR(VLOOKUP($B6, blitz!$CI:$CJ, 2, FALSE), 0)</f>
        <v>0</v>
      </c>
      <c r="BW6" t="b">
        <f t="shared" ref="BW6:BW69" si="18">AND(BT6=BU6, BU6=BV6)</f>
        <v>1</v>
      </c>
      <c r="BX6">
        <f>IFERROR(VLOOKUP($B6, aegis!$CN:$CO, 2, FALSE), 0)</f>
        <v>0</v>
      </c>
      <c r="BY6">
        <f>IFERROR(VLOOKUP($B6, duel!$CN:$CO, 2, FALSE), 0)</f>
        <v>0</v>
      </c>
      <c r="BZ6">
        <f>IFERROR(VLOOKUP($B6, blitz!$CN:$CO, 2, FALSE), 0)</f>
        <v>0</v>
      </c>
      <c r="CA6" t="b">
        <f t="shared" ref="CA6:CA69" si="19">AND(BX6=BY6, BY6=BZ6)</f>
        <v>1</v>
      </c>
      <c r="CB6">
        <f>IFERROR(VLOOKUP($B6, aegis!$CS:$CT, 2, FALSE), 0)</f>
        <v>0</v>
      </c>
      <c r="CC6">
        <f>IFERROR(VLOOKUP($B6, duel!$CS:$CT, 2, FALSE), 0)</f>
        <v>0</v>
      </c>
      <c r="CD6">
        <f>IFERROR(VLOOKUP($B6, blitz!$CS:$CT, 2, FALSE), 0)</f>
        <v>0</v>
      </c>
      <c r="CE6" t="b">
        <f t="shared" ref="CE6:CE69" si="20">AND(CB6=CC6, CC6=CD6)</f>
        <v>1</v>
      </c>
      <c r="CF6">
        <f>IFERROR(VLOOKUP($B6, aegis!$CX:$CY, 2, FALSE), 0)</f>
        <v>0</v>
      </c>
      <c r="CG6">
        <f>IFERROR(VLOOKUP($B6, duel!$CX:$CY, 2, FALSE), 0)</f>
        <v>0</v>
      </c>
      <c r="CH6">
        <f>IFERROR(VLOOKUP($B6, blitz!$CX:$CY, 2, FALSE), 0)</f>
        <v>0</v>
      </c>
      <c r="CI6" t="b">
        <f t="shared" ref="CI6:CI69" si="21">AND(CF6=CG6, CG6=CH6)</f>
        <v>1</v>
      </c>
      <c r="CJ6">
        <f>IFERROR(VLOOKUP($B6, aegis!$DC:$DD, 2, FALSE), 0)</f>
        <v>0</v>
      </c>
      <c r="CK6">
        <f>IFERROR(VLOOKUP($B6, duel!$DC:$DD, 2, FALSE), 0)</f>
        <v>0</v>
      </c>
      <c r="CL6">
        <f>IFERROR(VLOOKUP($B6, blitz!$DC:$DD, 2, FALSE), 0)</f>
        <v>0</v>
      </c>
      <c r="CM6" t="b">
        <f t="shared" ref="CM6:CM69" si="22">AND(CJ6=CK6, CK6=CL6)</f>
        <v>1</v>
      </c>
      <c r="CN6">
        <f>IFERROR(VLOOKUP($B6, aegis!$DH:$DI, 2, FALSE), 0)</f>
        <v>0</v>
      </c>
      <c r="CO6">
        <f>IFERROR(VLOOKUP($B6, duel!$DH:$DI, 2, FALSE), 0)</f>
        <v>0</v>
      </c>
      <c r="CP6" s="13">
        <f>IFERROR(VLOOKUP($B6, blitz!$DH:$DI, 2, FALSE), 0)</f>
        <v>0</v>
      </c>
      <c r="CQ6" t="b">
        <f t="shared" ref="CQ6:CQ69" si="23">AND(CN6=CO6)</f>
        <v>1</v>
      </c>
      <c r="CR6">
        <f>IFERROR(VLOOKUP($B6, aegis!$DM:$DN, 2, FALSE), 0)</f>
        <v>0</v>
      </c>
      <c r="CS6">
        <f>IFERROR(VLOOKUP($B6, duel!$DM:$DN, 2, FALSE), 0)</f>
        <v>0</v>
      </c>
      <c r="CT6">
        <f>IFERROR(VLOOKUP($B6, blitz!$DM:$DN, 2, FALSE), 0)</f>
        <v>0</v>
      </c>
      <c r="CU6" t="b">
        <f t="shared" ref="CU6:CU69" si="24">AND(CR6=CS6, CS6=CT6)</f>
        <v>1</v>
      </c>
      <c r="CV6">
        <f>IFERROR(VLOOKUP($B6, aegis!$DR:$DS, 2, FALSE), 0)</f>
        <v>0</v>
      </c>
      <c r="CW6">
        <f>IFERROR(VLOOKUP($B6, duel!$DR:$DS, 2, FALSE), 0)</f>
        <v>0</v>
      </c>
      <c r="CX6">
        <f>IFERROR(VLOOKUP($B6, blitz!$DR:$DS, 2, FALSE), 0)</f>
        <v>0</v>
      </c>
      <c r="CY6" t="b">
        <f t="shared" ref="CY6:CY69" si="25">AND(CV6=CW6, CW6=CX6)</f>
        <v>1</v>
      </c>
    </row>
    <row r="7" spans="1:103">
      <c r="B7" s="6" t="s">
        <v>313</v>
      </c>
      <c r="C7" s="5" t="b">
        <f t="shared" si="0"/>
        <v>1</v>
      </c>
      <c r="D7">
        <f>IFERROR(VLOOKUP($B7, aegis!$B:$C, 2, FALSE), 0)</f>
        <v>0</v>
      </c>
      <c r="E7">
        <f>IFERROR(VLOOKUP($B7, duel!$B:$C, 2, FALSE), 0)</f>
        <v>0</v>
      </c>
      <c r="F7">
        <f>IFERROR(VLOOKUP($B7, blitz!$B:$C, 2, FALSE), 0)</f>
        <v>0</v>
      </c>
      <c r="G7" t="b">
        <f t="shared" si="1"/>
        <v>1</v>
      </c>
      <c r="H7">
        <f>IFERROR(VLOOKUP($B7, aegis!$G:$H, 2, FALSE), 0)</f>
        <v>0</v>
      </c>
      <c r="I7">
        <f>IFERROR(VLOOKUP($B7, duel!$G:$H, 2, FALSE), 0)</f>
        <v>0</v>
      </c>
      <c r="J7">
        <f>IFERROR(VLOOKUP($B7, blitz!$G:$H, 2, FALSE), 0)</f>
        <v>0</v>
      </c>
      <c r="K7" t="b">
        <f t="shared" si="2"/>
        <v>1</v>
      </c>
      <c r="L7" t="str">
        <f>IFERROR(VLOOKUP($B7, aegis!$L:$M, 2, FALSE), 0)</f>
        <v>12</v>
      </c>
      <c r="M7" t="str">
        <f>IFERROR(VLOOKUP($B7, duel!$L:$M, 2, FALSE), 0)</f>
        <v>12</v>
      </c>
      <c r="N7" t="str">
        <f>IFERROR(VLOOKUP($B7, blitz!$L:$M, 2, FALSE), 0)</f>
        <v>12</v>
      </c>
      <c r="O7" t="b">
        <f t="shared" si="3"/>
        <v>1</v>
      </c>
      <c r="P7" t="str">
        <f>IFERROR(VLOOKUP($B7, aegis!$Q:$R, 2, FALSE), 0)</f>
        <v>7</v>
      </c>
      <c r="Q7" t="str">
        <f>IFERROR(VLOOKUP($B7, duel!$Q:$R, 2, FALSE), 0)</f>
        <v>7</v>
      </c>
      <c r="R7" t="str">
        <f>IFERROR(VLOOKUP($B7, blitz!$Q:$R, 2, FALSE), 0)</f>
        <v>7</v>
      </c>
      <c r="S7" t="b">
        <f t="shared" si="4"/>
        <v>1</v>
      </c>
      <c r="T7">
        <f>IFERROR(VLOOKUP($B7, aegis!$V:$W, 2, FALSE), 0)</f>
        <v>0</v>
      </c>
      <c r="U7">
        <f>IFERROR(VLOOKUP($B7, duel!$V:$W, 2, FALSE), 0)</f>
        <v>0</v>
      </c>
      <c r="V7">
        <f>IFERROR(VLOOKUP($B7, blitz!$V:$W, 2, FALSE), 0)</f>
        <v>0</v>
      </c>
      <c r="W7" t="b">
        <f t="shared" si="5"/>
        <v>1</v>
      </c>
      <c r="X7" t="str">
        <f>IFERROR(VLOOKUP($B7, aegis!$AA:$AB, 2, FALSE), 0)</f>
        <v>1</v>
      </c>
      <c r="Y7" t="str">
        <f>IFERROR(VLOOKUP($B7, duel!$AA:$AB, 2, FALSE), 0)</f>
        <v>1</v>
      </c>
      <c r="Z7" t="str">
        <f>IFERROR(VLOOKUP($B7, blitz!$AA:$AB, 2, FALSE), 0)</f>
        <v>1</v>
      </c>
      <c r="AA7" t="b">
        <f t="shared" si="6"/>
        <v>1</v>
      </c>
      <c r="AB7">
        <f>IFERROR(VLOOKUP($B7, aegis!$AF:$AG, 2, FALSE), 0)</f>
        <v>0</v>
      </c>
      <c r="AC7">
        <f>IFERROR(VLOOKUP($B7, duel!$AF:$AG, 2, FALSE), 0)</f>
        <v>0</v>
      </c>
      <c r="AD7">
        <f>IFERROR(VLOOKUP($B7, blitz!$AF:$AG, 2, FALSE), 0)</f>
        <v>0</v>
      </c>
      <c r="AE7" t="b">
        <f t="shared" si="7"/>
        <v>1</v>
      </c>
      <c r="AF7">
        <f>IFERROR(VLOOKUP($B7, aegis!$AK:$AL, 2, FALSE), 0)</f>
        <v>0</v>
      </c>
      <c r="AG7">
        <f>IFERROR(VLOOKUP($B7, duel!$AK:$AL, 2, FALSE), 0)</f>
        <v>0</v>
      </c>
      <c r="AH7">
        <f>IFERROR(VLOOKUP($B7, blitz!$AK:$AL, 2, FALSE), 0)</f>
        <v>0</v>
      </c>
      <c r="AI7" t="b">
        <f t="shared" si="8"/>
        <v>1</v>
      </c>
      <c r="AJ7" t="str">
        <f>IFERROR(VLOOKUP($B7, aegis!$AP:$AQ, 2, FALSE), 0)</f>
        <v>1</v>
      </c>
      <c r="AK7" t="str">
        <f>IFERROR(VLOOKUP($B7, duel!$AP:$AQ, 2, FALSE), 0)</f>
        <v>1</v>
      </c>
      <c r="AL7" t="str">
        <f>IFERROR(VLOOKUP($B7, blitz!$AP:$AQ, 2, FALSE), 0)</f>
        <v>1</v>
      </c>
      <c r="AM7" t="b">
        <f t="shared" si="9"/>
        <v>1</v>
      </c>
      <c r="AN7">
        <f>IFERROR(VLOOKUP($B7, aegis!$AU:$AV, 2, FALSE), 0)</f>
        <v>0</v>
      </c>
      <c r="AO7">
        <f>IFERROR(VLOOKUP($B7, duel!$AU:$AV, 2, FALSE), 0)</f>
        <v>0</v>
      </c>
      <c r="AP7">
        <f>IFERROR(VLOOKUP($B7, blitz!$AU:$AV, 2, FALSE), 0)</f>
        <v>0</v>
      </c>
      <c r="AQ7" t="b">
        <f t="shared" si="10"/>
        <v>1</v>
      </c>
      <c r="AR7" t="str">
        <f>IFERROR(VLOOKUP($B7, aegis!$AZ:$BA, 2, FALSE), 0)</f>
        <v>1</v>
      </c>
      <c r="AS7" t="str">
        <f>IFERROR(VLOOKUP($B7, duel!$AZ:$BA, 2, FALSE), 0)</f>
        <v>1</v>
      </c>
      <c r="AT7" t="str">
        <f>IFERROR(VLOOKUP($B7, blitz!$AZ:$BA, 2, FALSE), 0)</f>
        <v>1</v>
      </c>
      <c r="AU7" t="b">
        <f t="shared" si="11"/>
        <v>1</v>
      </c>
      <c r="AV7">
        <f>IFERROR(VLOOKUP($B7, aegis!$BE:$BF, 2, FALSE), 0)</f>
        <v>0</v>
      </c>
      <c r="AW7">
        <f>IFERROR(VLOOKUP($B7, duel!$BE:$BF, 2, FALSE), 0)</f>
        <v>0</v>
      </c>
      <c r="AX7">
        <f>IFERROR(VLOOKUP($B7, blitz!$BE:$BF, 2, FALSE), 0)</f>
        <v>0</v>
      </c>
      <c r="AY7" t="b">
        <f t="shared" si="12"/>
        <v>1</v>
      </c>
      <c r="AZ7">
        <f>IFERROR(VLOOKUP($B7, aegis!$BJ:$BK, 2, FALSE), 0)</f>
        <v>0</v>
      </c>
      <c r="BA7">
        <f>IFERROR(VLOOKUP($B7, duel!$BJ:$BK, 2, FALSE), 0)</f>
        <v>0</v>
      </c>
      <c r="BB7">
        <f>IFERROR(VLOOKUP($B7, blitz!$BJ:$BK, 2, FALSE), 0)</f>
        <v>0</v>
      </c>
      <c r="BC7" t="b">
        <f t="shared" si="13"/>
        <v>1</v>
      </c>
      <c r="BD7">
        <f>IFERROR(VLOOKUP($B7, aegis!$BO:$BP, 2, FALSE), 0)</f>
        <v>0</v>
      </c>
      <c r="BE7">
        <f>IFERROR(VLOOKUP($B7, duel!$BO:$BP, 2, FALSE), 0)</f>
        <v>0</v>
      </c>
      <c r="BF7">
        <f>IFERROR(VLOOKUP($B7, blitz!$BO:$BP, 2, FALSE), 0)</f>
        <v>0</v>
      </c>
      <c r="BG7" t="b">
        <f t="shared" si="14"/>
        <v>1</v>
      </c>
      <c r="BH7">
        <f>IFERROR(VLOOKUP($B7, aegis!$BT:$BU, 2, FALSE), 0)</f>
        <v>0</v>
      </c>
      <c r="BI7">
        <f>IFERROR(VLOOKUP($B7, duel!$BT:$BU, 2, FALSE), 0)</f>
        <v>0</v>
      </c>
      <c r="BJ7">
        <f>IFERROR(VLOOKUP($B7, blitz!$BT:$BU, 2, FALSE), 0)</f>
        <v>0</v>
      </c>
      <c r="BK7" t="b">
        <f t="shared" si="15"/>
        <v>1</v>
      </c>
      <c r="BL7">
        <f>IFERROR(VLOOKUP($B7, aegis!$BY:$BZ, 2, FALSE), 0)</f>
        <v>0</v>
      </c>
      <c r="BM7">
        <f>IFERROR(VLOOKUP($B7, duel!$BY:$BZ, 2, FALSE), 0)</f>
        <v>0</v>
      </c>
      <c r="BN7">
        <f>IFERROR(VLOOKUP($B7, blitz!$BY:$BZ, 2, FALSE), 0)</f>
        <v>0</v>
      </c>
      <c r="BO7" t="b">
        <f t="shared" si="16"/>
        <v>1</v>
      </c>
      <c r="BP7">
        <f>IFERROR(VLOOKUP($B7, aegis!$CD:$CE, 2, FALSE), 0)</f>
        <v>0</v>
      </c>
      <c r="BQ7">
        <f>IFERROR(VLOOKUP($B7, duel!$CD:$CE, 2, FALSE), 0)</f>
        <v>0</v>
      </c>
      <c r="BR7">
        <f>IFERROR(VLOOKUP($B7, blitz!$CD:$CE, 2, FALSE), 0)</f>
        <v>0</v>
      </c>
      <c r="BS7" t="b">
        <f t="shared" si="17"/>
        <v>1</v>
      </c>
      <c r="BT7">
        <f>IFERROR(VLOOKUP($B7, aegis!$CI:$CJ, 2, FALSE), 0)</f>
        <v>0</v>
      </c>
      <c r="BU7">
        <f>IFERROR(VLOOKUP($B7, duel!$CI:$CJ, 2, FALSE), 0)</f>
        <v>0</v>
      </c>
      <c r="BV7">
        <f>IFERROR(VLOOKUP($B7, blitz!$CI:$CJ, 2, FALSE), 0)</f>
        <v>0</v>
      </c>
      <c r="BW7" t="b">
        <f t="shared" si="18"/>
        <v>1</v>
      </c>
      <c r="BX7">
        <f>IFERROR(VLOOKUP($B7, aegis!$CN:$CO, 2, FALSE), 0)</f>
        <v>0</v>
      </c>
      <c r="BY7">
        <f>IFERROR(VLOOKUP($B7, duel!$CN:$CO, 2, FALSE), 0)</f>
        <v>0</v>
      </c>
      <c r="BZ7">
        <f>IFERROR(VLOOKUP($B7, blitz!$CN:$CO, 2, FALSE), 0)</f>
        <v>0</v>
      </c>
      <c r="CA7" t="b">
        <f t="shared" si="19"/>
        <v>1</v>
      </c>
      <c r="CB7">
        <f>IFERROR(VLOOKUP($B7, aegis!$CS:$CT, 2, FALSE), 0)</f>
        <v>0</v>
      </c>
      <c r="CC7">
        <f>IFERROR(VLOOKUP($B7, duel!$CS:$CT, 2, FALSE), 0)</f>
        <v>0</v>
      </c>
      <c r="CD7">
        <f>IFERROR(VLOOKUP($B7, blitz!$CS:$CT, 2, FALSE), 0)</f>
        <v>0</v>
      </c>
      <c r="CE7" t="b">
        <f t="shared" si="20"/>
        <v>1</v>
      </c>
      <c r="CF7">
        <f>IFERROR(VLOOKUP($B7, aegis!$CX:$CY, 2, FALSE), 0)</f>
        <v>0</v>
      </c>
      <c r="CG7">
        <f>IFERROR(VLOOKUP($B7, duel!$CX:$CY, 2, FALSE), 0)</f>
        <v>0</v>
      </c>
      <c r="CH7">
        <f>IFERROR(VLOOKUP($B7, blitz!$CX:$CY, 2, FALSE), 0)</f>
        <v>0</v>
      </c>
      <c r="CI7" t="b">
        <f t="shared" si="21"/>
        <v>1</v>
      </c>
      <c r="CJ7">
        <f>IFERROR(VLOOKUP($B7, aegis!$DC:$DD, 2, FALSE), 0)</f>
        <v>0</v>
      </c>
      <c r="CK7">
        <f>IFERROR(VLOOKUP($B7, duel!$DC:$DD, 2, FALSE), 0)</f>
        <v>0</v>
      </c>
      <c r="CL7">
        <f>IFERROR(VLOOKUP($B7, blitz!$DC:$DD, 2, FALSE), 0)</f>
        <v>0</v>
      </c>
      <c r="CM7" t="b">
        <f t="shared" si="22"/>
        <v>1</v>
      </c>
      <c r="CN7">
        <f>IFERROR(VLOOKUP($B7, aegis!$DH:$DI, 2, FALSE), 0)</f>
        <v>0</v>
      </c>
      <c r="CO7">
        <f>IFERROR(VLOOKUP($B7, duel!$DH:$DI, 2, FALSE), 0)</f>
        <v>0</v>
      </c>
      <c r="CP7" s="13">
        <f>IFERROR(VLOOKUP($B7, blitz!$DH:$DI, 2, FALSE), 0)</f>
        <v>0</v>
      </c>
      <c r="CQ7" t="b">
        <f t="shared" si="23"/>
        <v>1</v>
      </c>
      <c r="CR7">
        <f>IFERROR(VLOOKUP($B7, aegis!$DM:$DN, 2, FALSE), 0)</f>
        <v>0</v>
      </c>
      <c r="CS7">
        <f>IFERROR(VLOOKUP($B7, duel!$DM:$DN, 2, FALSE), 0)</f>
        <v>0</v>
      </c>
      <c r="CT7">
        <f>IFERROR(VLOOKUP($B7, blitz!$DM:$DN, 2, FALSE), 0)</f>
        <v>0</v>
      </c>
      <c r="CU7" t="b">
        <f t="shared" si="24"/>
        <v>1</v>
      </c>
      <c r="CV7">
        <f>IFERROR(VLOOKUP($B7, aegis!$DR:$DS, 2, FALSE), 0)</f>
        <v>0</v>
      </c>
      <c r="CW7">
        <f>IFERROR(VLOOKUP($B7, duel!$DR:$DS, 2, FALSE), 0)</f>
        <v>0</v>
      </c>
      <c r="CX7">
        <f>IFERROR(VLOOKUP($B7, blitz!$DR:$DS, 2, FALSE), 0)</f>
        <v>0</v>
      </c>
      <c r="CY7" t="b">
        <f t="shared" si="25"/>
        <v>1</v>
      </c>
    </row>
    <row r="8" spans="1:103">
      <c r="B8" s="6" t="s">
        <v>314</v>
      </c>
      <c r="C8" s="5" t="b">
        <f t="shared" si="0"/>
        <v>1</v>
      </c>
      <c r="D8">
        <f>IFERROR(VLOOKUP($B8, aegis!$B:$C, 2, FALSE), 0)</f>
        <v>0</v>
      </c>
      <c r="E8">
        <f>IFERROR(VLOOKUP($B8, duel!$B:$C, 2, FALSE), 0)</f>
        <v>0</v>
      </c>
      <c r="F8">
        <f>IFERROR(VLOOKUP($B8, blitz!$B:$C, 2, FALSE), 0)</f>
        <v>0</v>
      </c>
      <c r="G8" t="b">
        <f>AND(D8=E8, E8=F8)</f>
        <v>1</v>
      </c>
      <c r="H8">
        <f>IFERROR(VLOOKUP($B8, aegis!$G:$H, 2, FALSE), 0)</f>
        <v>0</v>
      </c>
      <c r="I8">
        <f>IFERROR(VLOOKUP($B8, duel!$G:$H, 2, FALSE), 0)</f>
        <v>0</v>
      </c>
      <c r="J8">
        <f>IFERROR(VLOOKUP($B8, blitz!$G:$H, 2, FALSE), 0)</f>
        <v>0</v>
      </c>
      <c r="K8" t="b">
        <f t="shared" si="2"/>
        <v>1</v>
      </c>
      <c r="L8" t="str">
        <f>IFERROR(VLOOKUP($B8, aegis!$L:$M, 2, FALSE), 0)</f>
        <v>12</v>
      </c>
      <c r="M8" t="str">
        <f>IFERROR(VLOOKUP($B8, duel!$L:$M, 2, FALSE), 0)</f>
        <v>12</v>
      </c>
      <c r="N8" t="str">
        <f>IFERROR(VLOOKUP($B8, blitz!$L:$M, 2, FALSE), 0)</f>
        <v>12</v>
      </c>
      <c r="O8" t="b">
        <f t="shared" si="3"/>
        <v>1</v>
      </c>
      <c r="P8" t="str">
        <f>IFERROR(VLOOKUP($B8, aegis!$Q:$R, 2, FALSE), 0)</f>
        <v>7</v>
      </c>
      <c r="Q8" t="str">
        <f>IFERROR(VLOOKUP($B8, duel!$Q:$R, 2, FALSE), 0)</f>
        <v>7</v>
      </c>
      <c r="R8" t="str">
        <f>IFERROR(VLOOKUP($B8, blitz!$Q:$R, 2, FALSE), 0)</f>
        <v>7</v>
      </c>
      <c r="S8" t="b">
        <f t="shared" si="4"/>
        <v>1</v>
      </c>
      <c r="T8">
        <f>IFERROR(VLOOKUP($B8, aegis!$V:$W, 2, FALSE), 0)</f>
        <v>0</v>
      </c>
      <c r="U8">
        <f>IFERROR(VLOOKUP($B8, duel!$V:$W, 2, FALSE), 0)</f>
        <v>0</v>
      </c>
      <c r="V8">
        <f>IFERROR(VLOOKUP($B8, blitz!$V:$W, 2, FALSE), 0)</f>
        <v>0</v>
      </c>
      <c r="W8" t="b">
        <f t="shared" si="5"/>
        <v>1</v>
      </c>
      <c r="X8" t="str">
        <f>IFERROR(VLOOKUP($B8, aegis!$AA:$AB, 2, FALSE), 0)</f>
        <v>1</v>
      </c>
      <c r="Y8" t="str">
        <f>IFERROR(VLOOKUP($B8, duel!$AA:$AB, 2, FALSE), 0)</f>
        <v>1</v>
      </c>
      <c r="Z8" t="str">
        <f>IFERROR(VLOOKUP($B8, blitz!$AA:$AB, 2, FALSE), 0)</f>
        <v>1</v>
      </c>
      <c r="AA8" t="b">
        <f t="shared" si="6"/>
        <v>1</v>
      </c>
      <c r="AB8">
        <f>IFERROR(VLOOKUP($B8, aegis!$AF:$AG, 2, FALSE), 0)</f>
        <v>0</v>
      </c>
      <c r="AC8">
        <f>IFERROR(VLOOKUP($B8, duel!$AF:$AG, 2, FALSE), 0)</f>
        <v>0</v>
      </c>
      <c r="AD8">
        <f>IFERROR(VLOOKUP($B8, blitz!$AF:$AG, 2, FALSE), 0)</f>
        <v>0</v>
      </c>
      <c r="AE8" t="b">
        <f t="shared" si="7"/>
        <v>1</v>
      </c>
      <c r="AF8">
        <f>IFERROR(VLOOKUP($B8, aegis!$AK:$AL, 2, FALSE), 0)</f>
        <v>0</v>
      </c>
      <c r="AG8">
        <f>IFERROR(VLOOKUP($B8, duel!$AK:$AL, 2, FALSE), 0)</f>
        <v>0</v>
      </c>
      <c r="AH8">
        <f>IFERROR(VLOOKUP($B8, blitz!$AK:$AL, 2, FALSE), 0)</f>
        <v>0</v>
      </c>
      <c r="AI8" t="b">
        <f t="shared" si="8"/>
        <v>1</v>
      </c>
      <c r="AJ8" t="str">
        <f>IFERROR(VLOOKUP($B8, aegis!$AP:$AQ, 2, FALSE), 0)</f>
        <v>1</v>
      </c>
      <c r="AK8" t="str">
        <f>IFERROR(VLOOKUP($B8, duel!$AP:$AQ, 2, FALSE), 0)</f>
        <v>1</v>
      </c>
      <c r="AL8" t="str">
        <f>IFERROR(VLOOKUP($B8, blitz!$AP:$AQ, 2, FALSE), 0)</f>
        <v>1</v>
      </c>
      <c r="AM8" t="b">
        <f t="shared" si="9"/>
        <v>1</v>
      </c>
      <c r="AN8">
        <f>IFERROR(VLOOKUP($B8, aegis!$AU:$AV, 2, FALSE), 0)</f>
        <v>0</v>
      </c>
      <c r="AO8">
        <f>IFERROR(VLOOKUP($B8, duel!$AU:$AV, 2, FALSE), 0)</f>
        <v>0</v>
      </c>
      <c r="AP8">
        <f>IFERROR(VLOOKUP($B8, blitz!$AU:$AV, 2, FALSE), 0)</f>
        <v>0</v>
      </c>
      <c r="AQ8" t="b">
        <f t="shared" si="10"/>
        <v>1</v>
      </c>
      <c r="AR8" t="str">
        <f>IFERROR(VLOOKUP($B8, aegis!$AZ:$BA, 2, FALSE), 0)</f>
        <v>1</v>
      </c>
      <c r="AS8" t="str">
        <f>IFERROR(VLOOKUP($B8, duel!$AZ:$BA, 2, FALSE), 0)</f>
        <v>1</v>
      </c>
      <c r="AT8" t="str">
        <f>IFERROR(VLOOKUP($B8, blitz!$AZ:$BA, 2, FALSE), 0)</f>
        <v>1</v>
      </c>
      <c r="AU8" t="b">
        <f t="shared" si="11"/>
        <v>1</v>
      </c>
      <c r="AV8">
        <f>IFERROR(VLOOKUP($B8, aegis!$BE:$BF, 2, FALSE), 0)</f>
        <v>0</v>
      </c>
      <c r="AW8">
        <f>IFERROR(VLOOKUP($B8, duel!$BE:$BF, 2, FALSE), 0)</f>
        <v>0</v>
      </c>
      <c r="AX8">
        <f>IFERROR(VLOOKUP($B8, blitz!$BE:$BF, 2, FALSE), 0)</f>
        <v>0</v>
      </c>
      <c r="AY8" t="b">
        <f t="shared" si="12"/>
        <v>1</v>
      </c>
      <c r="AZ8">
        <f>IFERROR(VLOOKUP($B8, aegis!$BJ:$BK, 2, FALSE), 0)</f>
        <v>0</v>
      </c>
      <c r="BA8">
        <f>IFERROR(VLOOKUP($B8, duel!$BJ:$BK, 2, FALSE), 0)</f>
        <v>0</v>
      </c>
      <c r="BB8">
        <f>IFERROR(VLOOKUP($B8, blitz!$BJ:$BK, 2, FALSE), 0)</f>
        <v>0</v>
      </c>
      <c r="BC8" t="b">
        <f t="shared" si="13"/>
        <v>1</v>
      </c>
      <c r="BD8">
        <f>IFERROR(VLOOKUP($B8, aegis!$BO:$BP, 2, FALSE), 0)</f>
        <v>0</v>
      </c>
      <c r="BE8">
        <f>IFERROR(VLOOKUP($B8, duel!$BO:$BP, 2, FALSE), 0)</f>
        <v>0</v>
      </c>
      <c r="BF8">
        <f>IFERROR(VLOOKUP($B8, blitz!$BO:$BP, 2, FALSE), 0)</f>
        <v>0</v>
      </c>
      <c r="BG8" t="b">
        <f t="shared" si="14"/>
        <v>1</v>
      </c>
      <c r="BH8">
        <f>IFERROR(VLOOKUP($B8, aegis!$BT:$BU, 2, FALSE), 0)</f>
        <v>0</v>
      </c>
      <c r="BI8">
        <f>IFERROR(VLOOKUP($B8, duel!$BT:$BU, 2, FALSE), 0)</f>
        <v>0</v>
      </c>
      <c r="BJ8">
        <f>IFERROR(VLOOKUP($B8, blitz!$BT:$BU, 2, FALSE), 0)</f>
        <v>0</v>
      </c>
      <c r="BK8" t="b">
        <f t="shared" si="15"/>
        <v>1</v>
      </c>
      <c r="BL8">
        <f>IFERROR(VLOOKUP($B8, aegis!$BY:$BZ, 2, FALSE), 0)</f>
        <v>0</v>
      </c>
      <c r="BM8">
        <f>IFERROR(VLOOKUP($B8, duel!$BY:$BZ, 2, FALSE), 0)</f>
        <v>0</v>
      </c>
      <c r="BN8">
        <f>IFERROR(VLOOKUP($B8, blitz!$BY:$BZ, 2, FALSE), 0)</f>
        <v>0</v>
      </c>
      <c r="BO8" t="b">
        <f t="shared" si="16"/>
        <v>1</v>
      </c>
      <c r="BP8">
        <f>IFERROR(VLOOKUP($B8, aegis!$CD:$CE, 2, FALSE), 0)</f>
        <v>0</v>
      </c>
      <c r="BQ8">
        <f>IFERROR(VLOOKUP($B8, duel!$CD:$CE, 2, FALSE), 0)</f>
        <v>0</v>
      </c>
      <c r="BR8">
        <f>IFERROR(VLOOKUP($B8, blitz!$CD:$CE, 2, FALSE), 0)</f>
        <v>0</v>
      </c>
      <c r="BS8" t="b">
        <f t="shared" si="17"/>
        <v>1</v>
      </c>
      <c r="BT8">
        <f>IFERROR(VLOOKUP($B8, aegis!$CI:$CJ, 2, FALSE), 0)</f>
        <v>0</v>
      </c>
      <c r="BU8">
        <f>IFERROR(VLOOKUP($B8, duel!$CI:$CJ, 2, FALSE), 0)</f>
        <v>0</v>
      </c>
      <c r="BV8">
        <f>IFERROR(VLOOKUP($B8, blitz!$CI:$CJ, 2, FALSE), 0)</f>
        <v>0</v>
      </c>
      <c r="BW8" t="b">
        <f t="shared" si="18"/>
        <v>1</v>
      </c>
      <c r="BX8">
        <f>IFERROR(VLOOKUP($B8, aegis!$CN:$CO, 2, FALSE), 0)</f>
        <v>0</v>
      </c>
      <c r="BY8">
        <f>IFERROR(VLOOKUP($B8, duel!$CN:$CO, 2, FALSE), 0)</f>
        <v>0</v>
      </c>
      <c r="BZ8">
        <f>IFERROR(VLOOKUP($B8, blitz!$CN:$CO, 2, FALSE), 0)</f>
        <v>0</v>
      </c>
      <c r="CA8" t="b">
        <f t="shared" si="19"/>
        <v>1</v>
      </c>
      <c r="CB8">
        <f>IFERROR(VLOOKUP($B8, aegis!$CS:$CT, 2, FALSE), 0)</f>
        <v>0</v>
      </c>
      <c r="CC8">
        <f>IFERROR(VLOOKUP($B8, duel!$CS:$CT, 2, FALSE), 0)</f>
        <v>0</v>
      </c>
      <c r="CD8">
        <f>IFERROR(VLOOKUP($B8, blitz!$CS:$CT, 2, FALSE), 0)</f>
        <v>0</v>
      </c>
      <c r="CE8" t="b">
        <f t="shared" si="20"/>
        <v>1</v>
      </c>
      <c r="CF8">
        <f>IFERROR(VLOOKUP($B8, aegis!$CX:$CY, 2, FALSE), 0)</f>
        <v>0</v>
      </c>
      <c r="CG8">
        <f>IFERROR(VLOOKUP($B8, duel!$CX:$CY, 2, FALSE), 0)</f>
        <v>0</v>
      </c>
      <c r="CH8">
        <f>IFERROR(VLOOKUP($B8, blitz!$CX:$CY, 2, FALSE), 0)</f>
        <v>0</v>
      </c>
      <c r="CI8" t="b">
        <f t="shared" si="21"/>
        <v>1</v>
      </c>
      <c r="CJ8">
        <f>IFERROR(VLOOKUP($B8, aegis!$DC:$DD, 2, FALSE), 0)</f>
        <v>0</v>
      </c>
      <c r="CK8">
        <f>IFERROR(VLOOKUP($B8, duel!$DC:$DD, 2, FALSE), 0)</f>
        <v>0</v>
      </c>
      <c r="CL8">
        <f>IFERROR(VLOOKUP($B8, blitz!$DC:$DD, 2, FALSE), 0)</f>
        <v>0</v>
      </c>
      <c r="CM8" t="b">
        <f t="shared" si="22"/>
        <v>1</v>
      </c>
      <c r="CN8">
        <f>IFERROR(VLOOKUP($B8, aegis!$DH:$DI, 2, FALSE), 0)</f>
        <v>0</v>
      </c>
      <c r="CO8">
        <f>IFERROR(VLOOKUP($B8, duel!$DH:$DI, 2, FALSE), 0)</f>
        <v>0</v>
      </c>
      <c r="CP8" s="13">
        <f>IFERROR(VLOOKUP($B8, blitz!$DH:$DI, 2, FALSE), 0)</f>
        <v>0</v>
      </c>
      <c r="CQ8" t="b">
        <f t="shared" si="23"/>
        <v>1</v>
      </c>
      <c r="CR8">
        <f>IFERROR(VLOOKUP($B8, aegis!$DM:$DN, 2, FALSE), 0)</f>
        <v>0</v>
      </c>
      <c r="CS8">
        <f>IFERROR(VLOOKUP($B8, duel!$DM:$DN, 2, FALSE), 0)</f>
        <v>0</v>
      </c>
      <c r="CT8">
        <f>IFERROR(VLOOKUP($B8, blitz!$DM:$DN, 2, FALSE), 0)</f>
        <v>0</v>
      </c>
      <c r="CU8" t="b">
        <f t="shared" si="24"/>
        <v>1</v>
      </c>
      <c r="CV8">
        <f>IFERROR(VLOOKUP($B8, aegis!$DR:$DS, 2, FALSE), 0)</f>
        <v>0</v>
      </c>
      <c r="CW8">
        <f>IFERROR(VLOOKUP($B8, duel!$DR:$DS, 2, FALSE), 0)</f>
        <v>0</v>
      </c>
      <c r="CX8">
        <f>IFERROR(VLOOKUP($B8, blitz!$DR:$DS, 2, FALSE), 0)</f>
        <v>0</v>
      </c>
      <c r="CY8" t="b">
        <f t="shared" si="25"/>
        <v>1</v>
      </c>
    </row>
    <row r="9" spans="1:103">
      <c r="B9" s="6" t="s">
        <v>315</v>
      </c>
      <c r="C9" s="5" t="b">
        <f t="shared" si="0"/>
        <v>1</v>
      </c>
      <c r="D9">
        <f>IFERROR(VLOOKUP($B9, aegis!$B:$C, 2, FALSE), 0)</f>
        <v>0</v>
      </c>
      <c r="E9">
        <f>IFERROR(VLOOKUP($B9, duel!$B:$C, 2, FALSE), 0)</f>
        <v>0</v>
      </c>
      <c r="F9">
        <f>IFERROR(VLOOKUP($B9, blitz!$B:$C, 2, FALSE), 0)</f>
        <v>0</v>
      </c>
      <c r="G9" t="b">
        <f>AND(D9=E9, E9=F9)</f>
        <v>1</v>
      </c>
      <c r="H9">
        <f>IFERROR(VLOOKUP($B9, aegis!$G:$H, 2, FALSE), 0)</f>
        <v>0</v>
      </c>
      <c r="I9">
        <f>IFERROR(VLOOKUP($B9, duel!$G:$H, 2, FALSE), 0)</f>
        <v>0</v>
      </c>
      <c r="J9">
        <f>IFERROR(VLOOKUP($B9, blitz!$G:$H, 2, FALSE), 0)</f>
        <v>0</v>
      </c>
      <c r="K9" t="b">
        <f t="shared" si="2"/>
        <v>1</v>
      </c>
      <c r="L9" t="str">
        <f>IFERROR(VLOOKUP($B9, aegis!$L:$M, 2, FALSE), 0)</f>
        <v>12</v>
      </c>
      <c r="M9" t="str">
        <f>IFERROR(VLOOKUP($B9, duel!$L:$M, 2, FALSE), 0)</f>
        <v>12</v>
      </c>
      <c r="N9" t="str">
        <f>IFERROR(VLOOKUP($B9, blitz!$L:$M, 2, FALSE), 0)</f>
        <v>12</v>
      </c>
      <c r="O9" t="b">
        <f t="shared" si="3"/>
        <v>1</v>
      </c>
      <c r="P9" t="str">
        <f>IFERROR(VLOOKUP($B9, aegis!$Q:$R, 2, FALSE), 0)</f>
        <v>7</v>
      </c>
      <c r="Q9" t="str">
        <f>IFERROR(VLOOKUP($B9, duel!$Q:$R, 2, FALSE), 0)</f>
        <v>7</v>
      </c>
      <c r="R9" t="str">
        <f>IFERROR(VLOOKUP($B9, blitz!$Q:$R, 2, FALSE), 0)</f>
        <v>7</v>
      </c>
      <c r="S9" t="b">
        <f t="shared" si="4"/>
        <v>1</v>
      </c>
      <c r="T9">
        <f>IFERROR(VLOOKUP($B9, aegis!$V:$W, 2, FALSE), 0)</f>
        <v>0</v>
      </c>
      <c r="U9">
        <f>IFERROR(VLOOKUP($B9, duel!$V:$W, 2, FALSE), 0)</f>
        <v>0</v>
      </c>
      <c r="V9">
        <f>IFERROR(VLOOKUP($B9, blitz!$V:$W, 2, FALSE), 0)</f>
        <v>0</v>
      </c>
      <c r="W9" t="b">
        <f t="shared" si="5"/>
        <v>1</v>
      </c>
      <c r="X9" t="str">
        <f>IFERROR(VLOOKUP($B9, aegis!$AA:$AB, 2, FALSE), 0)</f>
        <v>1</v>
      </c>
      <c r="Y9" t="str">
        <f>IFERROR(VLOOKUP($B9, duel!$AA:$AB, 2, FALSE), 0)</f>
        <v>1</v>
      </c>
      <c r="Z9" t="str">
        <f>IFERROR(VLOOKUP($B9, blitz!$AA:$AB, 2, FALSE), 0)</f>
        <v>1</v>
      </c>
      <c r="AA9" t="b">
        <f t="shared" si="6"/>
        <v>1</v>
      </c>
      <c r="AB9">
        <f>IFERROR(VLOOKUP($B9, aegis!$AF:$AG, 2, FALSE), 0)</f>
        <v>0</v>
      </c>
      <c r="AC9">
        <f>IFERROR(VLOOKUP($B9, duel!$AF:$AG, 2, FALSE), 0)</f>
        <v>0</v>
      </c>
      <c r="AD9">
        <f>IFERROR(VLOOKUP($B9, blitz!$AF:$AG, 2, FALSE), 0)</f>
        <v>0</v>
      </c>
      <c r="AE9" t="b">
        <f t="shared" si="7"/>
        <v>1</v>
      </c>
      <c r="AF9">
        <f>IFERROR(VLOOKUP($B9, aegis!$AK:$AL, 2, FALSE), 0)</f>
        <v>0</v>
      </c>
      <c r="AG9">
        <f>IFERROR(VLOOKUP($B9, duel!$AK:$AL, 2, FALSE), 0)</f>
        <v>0</v>
      </c>
      <c r="AH9">
        <f>IFERROR(VLOOKUP($B9, blitz!$AK:$AL, 2, FALSE), 0)</f>
        <v>0</v>
      </c>
      <c r="AI9" t="b">
        <f t="shared" si="8"/>
        <v>1</v>
      </c>
      <c r="AJ9" t="str">
        <f>IFERROR(VLOOKUP($B9, aegis!$AP:$AQ, 2, FALSE), 0)</f>
        <v>1</v>
      </c>
      <c r="AK9" t="str">
        <f>IFERROR(VLOOKUP($B9, duel!$AP:$AQ, 2, FALSE), 0)</f>
        <v>1</v>
      </c>
      <c r="AL9" t="str">
        <f>IFERROR(VLOOKUP($B9, blitz!$AP:$AQ, 2, FALSE), 0)</f>
        <v>1</v>
      </c>
      <c r="AM9" t="b">
        <f t="shared" si="9"/>
        <v>1</v>
      </c>
      <c r="AN9">
        <f>IFERROR(VLOOKUP($B9, aegis!$AU:$AV, 2, FALSE), 0)</f>
        <v>0</v>
      </c>
      <c r="AO9">
        <f>IFERROR(VLOOKUP($B9, duel!$AU:$AV, 2, FALSE), 0)</f>
        <v>0</v>
      </c>
      <c r="AP9">
        <f>IFERROR(VLOOKUP($B9, blitz!$AU:$AV, 2, FALSE), 0)</f>
        <v>0</v>
      </c>
      <c r="AQ9" t="b">
        <f t="shared" si="10"/>
        <v>1</v>
      </c>
      <c r="AR9" t="str">
        <f>IFERROR(VLOOKUP($B9, aegis!$AZ:$BA, 2, FALSE), 0)</f>
        <v>1</v>
      </c>
      <c r="AS9" t="str">
        <f>IFERROR(VLOOKUP($B9, duel!$AZ:$BA, 2, FALSE), 0)</f>
        <v>1</v>
      </c>
      <c r="AT9" t="str">
        <f>IFERROR(VLOOKUP($B9, blitz!$AZ:$BA, 2, FALSE), 0)</f>
        <v>1</v>
      </c>
      <c r="AU9" t="b">
        <f t="shared" si="11"/>
        <v>1</v>
      </c>
      <c r="AV9">
        <f>IFERROR(VLOOKUP($B9, aegis!$BE:$BF, 2, FALSE), 0)</f>
        <v>0</v>
      </c>
      <c r="AW9">
        <f>IFERROR(VLOOKUP($B9, duel!$BE:$BF, 2, FALSE), 0)</f>
        <v>0</v>
      </c>
      <c r="AX9">
        <f>IFERROR(VLOOKUP($B9, blitz!$BE:$BF, 2, FALSE), 0)</f>
        <v>0</v>
      </c>
      <c r="AY9" t="b">
        <f t="shared" si="12"/>
        <v>1</v>
      </c>
      <c r="AZ9">
        <f>IFERROR(VLOOKUP($B9, aegis!$BJ:$BK, 2, FALSE), 0)</f>
        <v>0</v>
      </c>
      <c r="BA9">
        <f>IFERROR(VLOOKUP($B9, duel!$BJ:$BK, 2, FALSE), 0)</f>
        <v>0</v>
      </c>
      <c r="BB9">
        <f>IFERROR(VLOOKUP($B9, blitz!$BJ:$BK, 2, FALSE), 0)</f>
        <v>0</v>
      </c>
      <c r="BC9" t="b">
        <f t="shared" si="13"/>
        <v>1</v>
      </c>
      <c r="BD9">
        <f>IFERROR(VLOOKUP($B9, aegis!$BO:$BP, 2, FALSE), 0)</f>
        <v>0</v>
      </c>
      <c r="BE9">
        <f>IFERROR(VLOOKUP($B9, duel!$BO:$BP, 2, FALSE), 0)</f>
        <v>0</v>
      </c>
      <c r="BF9">
        <f>IFERROR(VLOOKUP($B9, blitz!$BO:$BP, 2, FALSE), 0)</f>
        <v>0</v>
      </c>
      <c r="BG9" t="b">
        <f t="shared" si="14"/>
        <v>1</v>
      </c>
      <c r="BH9">
        <f>IFERROR(VLOOKUP($B9, aegis!$BT:$BU, 2, FALSE), 0)</f>
        <v>0</v>
      </c>
      <c r="BI9">
        <f>IFERROR(VLOOKUP($B9, duel!$BT:$BU, 2, FALSE), 0)</f>
        <v>0</v>
      </c>
      <c r="BJ9">
        <f>IFERROR(VLOOKUP($B9, blitz!$BT:$BU, 2, FALSE), 0)</f>
        <v>0</v>
      </c>
      <c r="BK9" t="b">
        <f t="shared" si="15"/>
        <v>1</v>
      </c>
      <c r="BL9">
        <f>IFERROR(VLOOKUP($B9, aegis!$BY:$BZ, 2, FALSE), 0)</f>
        <v>0</v>
      </c>
      <c r="BM9">
        <f>IFERROR(VLOOKUP($B9, duel!$BY:$BZ, 2, FALSE), 0)</f>
        <v>0</v>
      </c>
      <c r="BN9">
        <f>IFERROR(VLOOKUP($B9, blitz!$BY:$BZ, 2, FALSE), 0)</f>
        <v>0</v>
      </c>
      <c r="BO9" t="b">
        <f t="shared" si="16"/>
        <v>1</v>
      </c>
      <c r="BP9">
        <f>IFERROR(VLOOKUP($B9, aegis!$CD:$CE, 2, FALSE), 0)</f>
        <v>0</v>
      </c>
      <c r="BQ9">
        <f>IFERROR(VLOOKUP($B9, duel!$CD:$CE, 2, FALSE), 0)</f>
        <v>0</v>
      </c>
      <c r="BR9">
        <f>IFERROR(VLOOKUP($B9, blitz!$CD:$CE, 2, FALSE), 0)</f>
        <v>0</v>
      </c>
      <c r="BS9" t="b">
        <f t="shared" si="17"/>
        <v>1</v>
      </c>
      <c r="BT9">
        <f>IFERROR(VLOOKUP($B9, aegis!$CI:$CJ, 2, FALSE), 0)</f>
        <v>0</v>
      </c>
      <c r="BU9">
        <f>IFERROR(VLOOKUP($B9, duel!$CI:$CJ, 2, FALSE), 0)</f>
        <v>0</v>
      </c>
      <c r="BV9">
        <f>IFERROR(VLOOKUP($B9, blitz!$CI:$CJ, 2, FALSE), 0)</f>
        <v>0</v>
      </c>
      <c r="BW9" t="b">
        <f t="shared" si="18"/>
        <v>1</v>
      </c>
      <c r="BX9">
        <f>IFERROR(VLOOKUP($B9, aegis!$CN:$CO, 2, FALSE), 0)</f>
        <v>0</v>
      </c>
      <c r="BY9">
        <f>IFERROR(VLOOKUP($B9, duel!$CN:$CO, 2, FALSE), 0)</f>
        <v>0</v>
      </c>
      <c r="BZ9">
        <f>IFERROR(VLOOKUP($B9, blitz!$CN:$CO, 2, FALSE), 0)</f>
        <v>0</v>
      </c>
      <c r="CA9" t="b">
        <f t="shared" si="19"/>
        <v>1</v>
      </c>
      <c r="CB9">
        <f>IFERROR(VLOOKUP($B9, aegis!$CS:$CT, 2, FALSE), 0)</f>
        <v>0</v>
      </c>
      <c r="CC9">
        <f>IFERROR(VLOOKUP($B9, duel!$CS:$CT, 2, FALSE), 0)</f>
        <v>0</v>
      </c>
      <c r="CD9">
        <f>IFERROR(VLOOKUP($B9, blitz!$CS:$CT, 2, FALSE), 0)</f>
        <v>0</v>
      </c>
      <c r="CE9" t="b">
        <f t="shared" si="20"/>
        <v>1</v>
      </c>
      <c r="CF9">
        <f>IFERROR(VLOOKUP($B9, aegis!$CX:$CY, 2, FALSE), 0)</f>
        <v>0</v>
      </c>
      <c r="CG9">
        <f>IFERROR(VLOOKUP($B9, duel!$CX:$CY, 2, FALSE), 0)</f>
        <v>0</v>
      </c>
      <c r="CH9">
        <f>IFERROR(VLOOKUP($B9, blitz!$CX:$CY, 2, FALSE), 0)</f>
        <v>0</v>
      </c>
      <c r="CI9" t="b">
        <f t="shared" si="21"/>
        <v>1</v>
      </c>
      <c r="CJ9">
        <f>IFERROR(VLOOKUP($B9, aegis!$DC:$DD, 2, FALSE), 0)</f>
        <v>0</v>
      </c>
      <c r="CK9">
        <f>IFERROR(VLOOKUP($B9, duel!$DC:$DD, 2, FALSE), 0)</f>
        <v>0</v>
      </c>
      <c r="CL9">
        <f>IFERROR(VLOOKUP($B9, blitz!$DC:$DD, 2, FALSE), 0)</f>
        <v>0</v>
      </c>
      <c r="CM9" t="b">
        <f t="shared" si="22"/>
        <v>1</v>
      </c>
      <c r="CN9">
        <f>IFERROR(VLOOKUP($B9, aegis!$DH:$DI, 2, FALSE), 0)</f>
        <v>0</v>
      </c>
      <c r="CO9">
        <f>IFERROR(VLOOKUP($B9, duel!$DH:$DI, 2, FALSE), 0)</f>
        <v>0</v>
      </c>
      <c r="CP9" s="13">
        <f>IFERROR(VLOOKUP($B9, blitz!$DH:$DI, 2, FALSE), 0)</f>
        <v>0</v>
      </c>
      <c r="CQ9" t="b">
        <f t="shared" si="23"/>
        <v>1</v>
      </c>
      <c r="CR9">
        <f>IFERROR(VLOOKUP($B9, aegis!$DM:$DN, 2, FALSE), 0)</f>
        <v>0</v>
      </c>
      <c r="CS9">
        <f>IFERROR(VLOOKUP($B9, duel!$DM:$DN, 2, FALSE), 0)</f>
        <v>0</v>
      </c>
      <c r="CT9">
        <f>IFERROR(VLOOKUP($B9, blitz!$DM:$DN, 2, FALSE), 0)</f>
        <v>0</v>
      </c>
      <c r="CU9" t="b">
        <f t="shared" si="24"/>
        <v>1</v>
      </c>
      <c r="CV9">
        <f>IFERROR(VLOOKUP($B9, aegis!$DR:$DS, 2, FALSE), 0)</f>
        <v>0</v>
      </c>
      <c r="CW9">
        <f>IFERROR(VLOOKUP($B9, duel!$DR:$DS, 2, FALSE), 0)</f>
        <v>0</v>
      </c>
      <c r="CX9">
        <f>IFERROR(VLOOKUP($B9, blitz!$DR:$DS, 2, FALSE), 0)</f>
        <v>0</v>
      </c>
      <c r="CY9" t="b">
        <f t="shared" si="25"/>
        <v>1</v>
      </c>
    </row>
    <row r="10" spans="1:103">
      <c r="B10" s="6" t="s">
        <v>316</v>
      </c>
      <c r="C10" s="5" t="b">
        <f t="shared" si="0"/>
        <v>1</v>
      </c>
      <c r="D10">
        <f>IFERROR(VLOOKUP($B10, aegis!$B:$C, 2, FALSE), 0)</f>
        <v>0</v>
      </c>
      <c r="E10">
        <f>IFERROR(VLOOKUP($B10, duel!$B:$C, 2, FALSE), 0)</f>
        <v>0</v>
      </c>
      <c r="F10">
        <f>IFERROR(VLOOKUP($B10, blitz!$B:$C, 2, FALSE), 0)</f>
        <v>0</v>
      </c>
      <c r="G10" t="b">
        <f>AND(D10=E10, E10=F10)</f>
        <v>1</v>
      </c>
      <c r="H10">
        <f>IFERROR(VLOOKUP($B10, aegis!$G:$H, 2, FALSE), 0)</f>
        <v>0</v>
      </c>
      <c r="I10">
        <f>IFERROR(VLOOKUP($B10, duel!$G:$H, 2, FALSE), 0)</f>
        <v>0</v>
      </c>
      <c r="J10">
        <f>IFERROR(VLOOKUP($B10, blitz!$G:$H, 2, FALSE), 0)</f>
        <v>0</v>
      </c>
      <c r="K10" t="b">
        <f t="shared" si="2"/>
        <v>1</v>
      </c>
      <c r="L10" t="str">
        <f>IFERROR(VLOOKUP($B10, aegis!$L:$M, 2, FALSE), 0)</f>
        <v>12</v>
      </c>
      <c r="M10" t="str">
        <f>IFERROR(VLOOKUP($B10, duel!$L:$M, 2, FALSE), 0)</f>
        <v>12</v>
      </c>
      <c r="N10" t="str">
        <f>IFERROR(VLOOKUP($B10, blitz!$L:$M, 2, FALSE), 0)</f>
        <v>12</v>
      </c>
      <c r="O10" t="b">
        <f t="shared" si="3"/>
        <v>1</v>
      </c>
      <c r="P10" t="str">
        <f>IFERROR(VLOOKUP($B10, aegis!$Q:$R, 2, FALSE), 0)</f>
        <v>7</v>
      </c>
      <c r="Q10" t="str">
        <f>IFERROR(VLOOKUP($B10, duel!$Q:$R, 2, FALSE), 0)</f>
        <v>7</v>
      </c>
      <c r="R10" t="str">
        <f>IFERROR(VLOOKUP($B10, blitz!$Q:$R, 2, FALSE), 0)</f>
        <v>7</v>
      </c>
      <c r="S10" t="b">
        <f t="shared" si="4"/>
        <v>1</v>
      </c>
      <c r="T10">
        <f>IFERROR(VLOOKUP($B10, aegis!$V:$W, 2, FALSE), 0)</f>
        <v>0</v>
      </c>
      <c r="U10">
        <f>IFERROR(VLOOKUP($B10, duel!$V:$W, 2, FALSE), 0)</f>
        <v>0</v>
      </c>
      <c r="V10">
        <f>IFERROR(VLOOKUP($B10, blitz!$V:$W, 2, FALSE), 0)</f>
        <v>0</v>
      </c>
      <c r="W10" t="b">
        <f t="shared" si="5"/>
        <v>1</v>
      </c>
      <c r="X10" t="str">
        <f>IFERROR(VLOOKUP($B10, aegis!$AA:$AB, 2, FALSE), 0)</f>
        <v>1</v>
      </c>
      <c r="Y10" t="str">
        <f>IFERROR(VLOOKUP($B10, duel!$AA:$AB, 2, FALSE), 0)</f>
        <v>1</v>
      </c>
      <c r="Z10" t="str">
        <f>IFERROR(VLOOKUP($B10, blitz!$AA:$AB, 2, FALSE), 0)</f>
        <v>1</v>
      </c>
      <c r="AA10" t="b">
        <f t="shared" si="6"/>
        <v>1</v>
      </c>
      <c r="AB10">
        <f>IFERROR(VLOOKUP($B10, aegis!$AF:$AG, 2, FALSE), 0)</f>
        <v>0</v>
      </c>
      <c r="AC10">
        <f>IFERROR(VLOOKUP($B10, duel!$AF:$AG, 2, FALSE), 0)</f>
        <v>0</v>
      </c>
      <c r="AD10">
        <f>IFERROR(VLOOKUP($B10, blitz!$AF:$AG, 2, FALSE), 0)</f>
        <v>0</v>
      </c>
      <c r="AE10" t="b">
        <f t="shared" si="7"/>
        <v>1</v>
      </c>
      <c r="AF10">
        <f>IFERROR(VLOOKUP($B10, aegis!$AK:$AL, 2, FALSE), 0)</f>
        <v>0</v>
      </c>
      <c r="AG10">
        <f>IFERROR(VLOOKUP($B10, duel!$AK:$AL, 2, FALSE), 0)</f>
        <v>0</v>
      </c>
      <c r="AH10">
        <f>IFERROR(VLOOKUP($B10, blitz!$AK:$AL, 2, FALSE), 0)</f>
        <v>0</v>
      </c>
      <c r="AI10" t="b">
        <f t="shared" si="8"/>
        <v>1</v>
      </c>
      <c r="AJ10" t="str">
        <f>IFERROR(VLOOKUP($B10, aegis!$AP:$AQ, 2, FALSE), 0)</f>
        <v>1</v>
      </c>
      <c r="AK10" t="str">
        <f>IFERROR(VLOOKUP($B10, duel!$AP:$AQ, 2, FALSE), 0)</f>
        <v>1</v>
      </c>
      <c r="AL10" t="str">
        <f>IFERROR(VLOOKUP($B10, blitz!$AP:$AQ, 2, FALSE), 0)</f>
        <v>1</v>
      </c>
      <c r="AM10" t="b">
        <f t="shared" si="9"/>
        <v>1</v>
      </c>
      <c r="AN10">
        <f>IFERROR(VLOOKUP($B10, aegis!$AU:$AV, 2, FALSE), 0)</f>
        <v>0</v>
      </c>
      <c r="AO10">
        <f>IFERROR(VLOOKUP($B10, duel!$AU:$AV, 2, FALSE), 0)</f>
        <v>0</v>
      </c>
      <c r="AP10">
        <f>IFERROR(VLOOKUP($B10, blitz!$AU:$AV, 2, FALSE), 0)</f>
        <v>0</v>
      </c>
      <c r="AQ10" t="b">
        <f t="shared" si="10"/>
        <v>1</v>
      </c>
      <c r="AR10" t="str">
        <f>IFERROR(VLOOKUP($B10, aegis!$AZ:$BA, 2, FALSE), 0)</f>
        <v>1</v>
      </c>
      <c r="AS10" t="str">
        <f>IFERROR(VLOOKUP($B10, duel!$AZ:$BA, 2, FALSE), 0)</f>
        <v>1</v>
      </c>
      <c r="AT10" t="str">
        <f>IFERROR(VLOOKUP($B10, blitz!$AZ:$BA, 2, FALSE), 0)</f>
        <v>1</v>
      </c>
      <c r="AU10" t="b">
        <f t="shared" si="11"/>
        <v>1</v>
      </c>
      <c r="AV10">
        <f>IFERROR(VLOOKUP($B10, aegis!$BE:$BF, 2, FALSE), 0)</f>
        <v>0</v>
      </c>
      <c r="AW10">
        <f>IFERROR(VLOOKUP($B10, duel!$BE:$BF, 2, FALSE), 0)</f>
        <v>0</v>
      </c>
      <c r="AX10">
        <f>IFERROR(VLOOKUP($B10, blitz!$BE:$BF, 2, FALSE), 0)</f>
        <v>0</v>
      </c>
      <c r="AY10" t="b">
        <f t="shared" si="12"/>
        <v>1</v>
      </c>
      <c r="AZ10">
        <f>IFERROR(VLOOKUP($B10, aegis!$BJ:$BK, 2, FALSE), 0)</f>
        <v>0</v>
      </c>
      <c r="BA10">
        <f>IFERROR(VLOOKUP($B10, duel!$BJ:$BK, 2, FALSE), 0)</f>
        <v>0</v>
      </c>
      <c r="BB10">
        <f>IFERROR(VLOOKUP($B10, blitz!$BJ:$BK, 2, FALSE), 0)</f>
        <v>0</v>
      </c>
      <c r="BC10" t="b">
        <f t="shared" si="13"/>
        <v>1</v>
      </c>
      <c r="BD10">
        <f>IFERROR(VLOOKUP($B10, aegis!$BO:$BP, 2, FALSE), 0)</f>
        <v>0</v>
      </c>
      <c r="BE10">
        <f>IFERROR(VLOOKUP($B10, duel!$BO:$BP, 2, FALSE), 0)</f>
        <v>0</v>
      </c>
      <c r="BF10">
        <f>IFERROR(VLOOKUP($B10, blitz!$BO:$BP, 2, FALSE), 0)</f>
        <v>0</v>
      </c>
      <c r="BG10" t="b">
        <f t="shared" si="14"/>
        <v>1</v>
      </c>
      <c r="BH10">
        <f>IFERROR(VLOOKUP($B10, aegis!$BT:$BU, 2, FALSE), 0)</f>
        <v>0</v>
      </c>
      <c r="BI10">
        <f>IFERROR(VLOOKUP($B10, duel!$BT:$BU, 2, FALSE), 0)</f>
        <v>0</v>
      </c>
      <c r="BJ10">
        <f>IFERROR(VLOOKUP($B10, blitz!$BT:$BU, 2, FALSE), 0)</f>
        <v>0</v>
      </c>
      <c r="BK10" t="b">
        <f t="shared" si="15"/>
        <v>1</v>
      </c>
      <c r="BL10">
        <f>IFERROR(VLOOKUP($B10, aegis!$BY:$BZ, 2, FALSE), 0)</f>
        <v>0</v>
      </c>
      <c r="BM10">
        <f>IFERROR(VLOOKUP($B10, duel!$BY:$BZ, 2, FALSE), 0)</f>
        <v>0</v>
      </c>
      <c r="BN10">
        <f>IFERROR(VLOOKUP($B10, blitz!$BY:$BZ, 2, FALSE), 0)</f>
        <v>0</v>
      </c>
      <c r="BO10" t="b">
        <f t="shared" si="16"/>
        <v>1</v>
      </c>
      <c r="BP10">
        <f>IFERROR(VLOOKUP($B10, aegis!$CD:$CE, 2, FALSE), 0)</f>
        <v>0</v>
      </c>
      <c r="BQ10">
        <f>IFERROR(VLOOKUP($B10, duel!$CD:$CE, 2, FALSE), 0)</f>
        <v>0</v>
      </c>
      <c r="BR10">
        <f>IFERROR(VLOOKUP($B10, blitz!$CD:$CE, 2, FALSE), 0)</f>
        <v>0</v>
      </c>
      <c r="BS10" t="b">
        <f t="shared" si="17"/>
        <v>1</v>
      </c>
      <c r="BT10">
        <f>IFERROR(VLOOKUP($B10, aegis!$CI:$CJ, 2, FALSE), 0)</f>
        <v>0</v>
      </c>
      <c r="BU10">
        <f>IFERROR(VLOOKUP($B10, duel!$CI:$CJ, 2, FALSE), 0)</f>
        <v>0</v>
      </c>
      <c r="BV10">
        <f>IFERROR(VLOOKUP($B10, blitz!$CI:$CJ, 2, FALSE), 0)</f>
        <v>0</v>
      </c>
      <c r="BW10" t="b">
        <f t="shared" si="18"/>
        <v>1</v>
      </c>
      <c r="BX10">
        <f>IFERROR(VLOOKUP($B10, aegis!$CN:$CO, 2, FALSE), 0)</f>
        <v>0</v>
      </c>
      <c r="BY10">
        <f>IFERROR(VLOOKUP($B10, duel!$CN:$CO, 2, FALSE), 0)</f>
        <v>0</v>
      </c>
      <c r="BZ10">
        <f>IFERROR(VLOOKUP($B10, blitz!$CN:$CO, 2, FALSE), 0)</f>
        <v>0</v>
      </c>
      <c r="CA10" t="b">
        <f t="shared" si="19"/>
        <v>1</v>
      </c>
      <c r="CB10">
        <f>IFERROR(VLOOKUP($B10, aegis!$CS:$CT, 2, FALSE), 0)</f>
        <v>0</v>
      </c>
      <c r="CC10">
        <f>IFERROR(VLOOKUP($B10, duel!$CS:$CT, 2, FALSE), 0)</f>
        <v>0</v>
      </c>
      <c r="CD10">
        <f>IFERROR(VLOOKUP($B10, blitz!$CS:$CT, 2, FALSE), 0)</f>
        <v>0</v>
      </c>
      <c r="CE10" t="b">
        <f t="shared" si="20"/>
        <v>1</v>
      </c>
      <c r="CF10">
        <f>IFERROR(VLOOKUP($B10, aegis!$CX:$CY, 2, FALSE), 0)</f>
        <v>0</v>
      </c>
      <c r="CG10">
        <f>IFERROR(VLOOKUP($B10, duel!$CX:$CY, 2, FALSE), 0)</f>
        <v>0</v>
      </c>
      <c r="CH10">
        <f>IFERROR(VLOOKUP($B10, blitz!$CX:$CY, 2, FALSE), 0)</f>
        <v>0</v>
      </c>
      <c r="CI10" t="b">
        <f t="shared" si="21"/>
        <v>1</v>
      </c>
      <c r="CJ10">
        <f>IFERROR(VLOOKUP($B10, aegis!$DC:$DD, 2, FALSE), 0)</f>
        <v>0</v>
      </c>
      <c r="CK10">
        <f>IFERROR(VLOOKUP($B10, duel!$DC:$DD, 2, FALSE), 0)</f>
        <v>0</v>
      </c>
      <c r="CL10">
        <f>IFERROR(VLOOKUP($B10, blitz!$DC:$DD, 2, FALSE), 0)</f>
        <v>0</v>
      </c>
      <c r="CM10" t="b">
        <f t="shared" si="22"/>
        <v>1</v>
      </c>
      <c r="CN10">
        <f>IFERROR(VLOOKUP($B10, aegis!$DH:$DI, 2, FALSE), 0)</f>
        <v>0</v>
      </c>
      <c r="CO10">
        <f>IFERROR(VLOOKUP($B10, duel!$DH:$DI, 2, FALSE), 0)</f>
        <v>0</v>
      </c>
      <c r="CP10" s="13">
        <f>IFERROR(VLOOKUP($B10, blitz!$DH:$DI, 2, FALSE), 0)</f>
        <v>0</v>
      </c>
      <c r="CQ10" t="b">
        <f t="shared" si="23"/>
        <v>1</v>
      </c>
      <c r="CR10">
        <f>IFERROR(VLOOKUP($B10, aegis!$DM:$DN, 2, FALSE), 0)</f>
        <v>0</v>
      </c>
      <c r="CS10">
        <f>IFERROR(VLOOKUP($B10, duel!$DM:$DN, 2, FALSE), 0)</f>
        <v>0</v>
      </c>
      <c r="CT10">
        <f>IFERROR(VLOOKUP($B10, blitz!$DM:$DN, 2, FALSE), 0)</f>
        <v>0</v>
      </c>
      <c r="CU10" t="b">
        <f t="shared" si="24"/>
        <v>1</v>
      </c>
      <c r="CV10">
        <f>IFERROR(VLOOKUP($B10, aegis!$DR:$DS, 2, FALSE), 0)</f>
        <v>0</v>
      </c>
      <c r="CW10">
        <f>IFERROR(VLOOKUP($B10, duel!$DR:$DS, 2, FALSE), 0)</f>
        <v>0</v>
      </c>
      <c r="CX10">
        <f>IFERROR(VLOOKUP($B10, blitz!$DR:$DS, 2, FALSE), 0)</f>
        <v>0</v>
      </c>
      <c r="CY10" t="b">
        <f t="shared" si="25"/>
        <v>1</v>
      </c>
    </row>
    <row r="11" spans="1:103">
      <c r="B11" s="6" t="s">
        <v>317</v>
      </c>
      <c r="C11" s="5" t="b">
        <f t="shared" si="0"/>
        <v>1</v>
      </c>
      <c r="D11">
        <f>IFERROR(VLOOKUP($B11, aegis!$B:$C, 2, FALSE), 0)</f>
        <v>0</v>
      </c>
      <c r="E11">
        <f>IFERROR(VLOOKUP($B11, duel!$B:$C, 2, FALSE), 0)</f>
        <v>0</v>
      </c>
      <c r="F11">
        <f>IFERROR(VLOOKUP($B11, blitz!$B:$C, 2, FALSE), 0)</f>
        <v>0</v>
      </c>
      <c r="G11" t="b">
        <f>AND(D11=E11, E11=F11)</f>
        <v>1</v>
      </c>
      <c r="H11">
        <f>IFERROR(VLOOKUP($B11, aegis!$G:$H, 2, FALSE), 0)</f>
        <v>0</v>
      </c>
      <c r="I11">
        <f>IFERROR(VLOOKUP($B11, duel!$G:$H, 2, FALSE), 0)</f>
        <v>0</v>
      </c>
      <c r="J11">
        <f>IFERROR(VLOOKUP($B11, blitz!$G:$H, 2, FALSE), 0)</f>
        <v>0</v>
      </c>
      <c r="K11" t="b">
        <f t="shared" si="2"/>
        <v>1</v>
      </c>
      <c r="L11" t="str">
        <f>IFERROR(VLOOKUP($B11, aegis!$L:$M, 2, FALSE), 0)</f>
        <v>12</v>
      </c>
      <c r="M11" t="str">
        <f>IFERROR(VLOOKUP($B11, duel!$L:$M, 2, FALSE), 0)</f>
        <v>12</v>
      </c>
      <c r="N11" t="str">
        <f>IFERROR(VLOOKUP($B11, blitz!$L:$M, 2, FALSE), 0)</f>
        <v>12</v>
      </c>
      <c r="O11" t="b">
        <f t="shared" si="3"/>
        <v>1</v>
      </c>
      <c r="P11" t="str">
        <f>IFERROR(VLOOKUP($B11, aegis!$Q:$R, 2, FALSE), 0)</f>
        <v>7</v>
      </c>
      <c r="Q11" t="str">
        <f>IFERROR(VLOOKUP($B11, duel!$Q:$R, 2, FALSE), 0)</f>
        <v>7</v>
      </c>
      <c r="R11" t="str">
        <f>IFERROR(VLOOKUP($B11, blitz!$Q:$R, 2, FALSE), 0)</f>
        <v>7</v>
      </c>
      <c r="S11" t="b">
        <f t="shared" si="4"/>
        <v>1</v>
      </c>
      <c r="T11">
        <f>IFERROR(VLOOKUP($B11, aegis!$V:$W, 2, FALSE), 0)</f>
        <v>0</v>
      </c>
      <c r="U11">
        <f>IFERROR(VLOOKUP($B11, duel!$V:$W, 2, FALSE), 0)</f>
        <v>0</v>
      </c>
      <c r="V11">
        <f>IFERROR(VLOOKUP($B11, blitz!$V:$W, 2, FALSE), 0)</f>
        <v>0</v>
      </c>
      <c r="W11" t="b">
        <f t="shared" si="5"/>
        <v>1</v>
      </c>
      <c r="X11" t="str">
        <f>IFERROR(VLOOKUP($B11, aegis!$AA:$AB, 2, FALSE), 0)</f>
        <v>1</v>
      </c>
      <c r="Y11" t="str">
        <f>IFERROR(VLOOKUP($B11, duel!$AA:$AB, 2, FALSE), 0)</f>
        <v>1</v>
      </c>
      <c r="Z11" t="str">
        <f>IFERROR(VLOOKUP($B11, blitz!$AA:$AB, 2, FALSE), 0)</f>
        <v>1</v>
      </c>
      <c r="AA11" t="b">
        <f t="shared" si="6"/>
        <v>1</v>
      </c>
      <c r="AB11">
        <f>IFERROR(VLOOKUP($B11, aegis!$AF:$AG, 2, FALSE), 0)</f>
        <v>0</v>
      </c>
      <c r="AC11">
        <f>IFERROR(VLOOKUP($B11, duel!$AF:$AG, 2, FALSE), 0)</f>
        <v>0</v>
      </c>
      <c r="AD11">
        <f>IFERROR(VLOOKUP($B11, blitz!$AF:$AG, 2, FALSE), 0)</f>
        <v>0</v>
      </c>
      <c r="AE11" t="b">
        <f t="shared" si="7"/>
        <v>1</v>
      </c>
      <c r="AF11">
        <f>IFERROR(VLOOKUP($B11, aegis!$AK:$AL, 2, FALSE), 0)</f>
        <v>0</v>
      </c>
      <c r="AG11">
        <f>IFERROR(VLOOKUP($B11, duel!$AK:$AL, 2, FALSE), 0)</f>
        <v>0</v>
      </c>
      <c r="AH11">
        <f>IFERROR(VLOOKUP($B11, blitz!$AK:$AL, 2, FALSE), 0)</f>
        <v>0</v>
      </c>
      <c r="AI11" t="b">
        <f t="shared" si="8"/>
        <v>1</v>
      </c>
      <c r="AJ11" t="str">
        <f>IFERROR(VLOOKUP($B11, aegis!$AP:$AQ, 2, FALSE), 0)</f>
        <v>1</v>
      </c>
      <c r="AK11" t="str">
        <f>IFERROR(VLOOKUP($B11, duel!$AP:$AQ, 2, FALSE), 0)</f>
        <v>1</v>
      </c>
      <c r="AL11" t="str">
        <f>IFERROR(VLOOKUP($B11, blitz!$AP:$AQ, 2, FALSE), 0)</f>
        <v>1</v>
      </c>
      <c r="AM11" t="b">
        <f t="shared" si="9"/>
        <v>1</v>
      </c>
      <c r="AN11">
        <f>IFERROR(VLOOKUP($B11, aegis!$AU:$AV, 2, FALSE), 0)</f>
        <v>0</v>
      </c>
      <c r="AO11">
        <f>IFERROR(VLOOKUP($B11, duel!$AU:$AV, 2, FALSE), 0)</f>
        <v>0</v>
      </c>
      <c r="AP11">
        <f>IFERROR(VLOOKUP($B11, blitz!$AU:$AV, 2, FALSE), 0)</f>
        <v>0</v>
      </c>
      <c r="AQ11" t="b">
        <f t="shared" si="10"/>
        <v>1</v>
      </c>
      <c r="AR11" t="str">
        <f>IFERROR(VLOOKUP($B11, aegis!$AZ:$BA, 2, FALSE), 0)</f>
        <v>1</v>
      </c>
      <c r="AS11" t="str">
        <f>IFERROR(VLOOKUP($B11, duel!$AZ:$BA, 2, FALSE), 0)</f>
        <v>1</v>
      </c>
      <c r="AT11" t="str">
        <f>IFERROR(VLOOKUP($B11, blitz!$AZ:$BA, 2, FALSE), 0)</f>
        <v>1</v>
      </c>
      <c r="AU11" t="b">
        <f t="shared" si="11"/>
        <v>1</v>
      </c>
      <c r="AV11">
        <f>IFERROR(VLOOKUP($B11, aegis!$BE:$BF, 2, FALSE), 0)</f>
        <v>0</v>
      </c>
      <c r="AW11">
        <f>IFERROR(VLOOKUP($B11, duel!$BE:$BF, 2, FALSE), 0)</f>
        <v>0</v>
      </c>
      <c r="AX11">
        <f>IFERROR(VLOOKUP($B11, blitz!$BE:$BF, 2, FALSE), 0)</f>
        <v>0</v>
      </c>
      <c r="AY11" t="b">
        <f t="shared" si="12"/>
        <v>1</v>
      </c>
      <c r="AZ11">
        <f>IFERROR(VLOOKUP($B11, aegis!$BJ:$BK, 2, FALSE), 0)</f>
        <v>0</v>
      </c>
      <c r="BA11">
        <f>IFERROR(VLOOKUP($B11, duel!$BJ:$BK, 2, FALSE), 0)</f>
        <v>0</v>
      </c>
      <c r="BB11">
        <f>IFERROR(VLOOKUP($B11, blitz!$BJ:$BK, 2, FALSE), 0)</f>
        <v>0</v>
      </c>
      <c r="BC11" t="b">
        <f t="shared" si="13"/>
        <v>1</v>
      </c>
      <c r="BD11">
        <f>IFERROR(VLOOKUP($B11, aegis!$BO:$BP, 2, FALSE), 0)</f>
        <v>0</v>
      </c>
      <c r="BE11">
        <f>IFERROR(VLOOKUP($B11, duel!$BO:$BP, 2, FALSE), 0)</f>
        <v>0</v>
      </c>
      <c r="BF11">
        <f>IFERROR(VLOOKUP($B11, blitz!$BO:$BP, 2, FALSE), 0)</f>
        <v>0</v>
      </c>
      <c r="BG11" t="b">
        <f t="shared" si="14"/>
        <v>1</v>
      </c>
      <c r="BH11">
        <f>IFERROR(VLOOKUP($B11, aegis!$BT:$BU, 2, FALSE), 0)</f>
        <v>0</v>
      </c>
      <c r="BI11">
        <f>IFERROR(VLOOKUP($B11, duel!$BT:$BU, 2, FALSE), 0)</f>
        <v>0</v>
      </c>
      <c r="BJ11">
        <f>IFERROR(VLOOKUP($B11, blitz!$BT:$BU, 2, FALSE), 0)</f>
        <v>0</v>
      </c>
      <c r="BK11" t="b">
        <f t="shared" si="15"/>
        <v>1</v>
      </c>
      <c r="BL11">
        <f>IFERROR(VLOOKUP($B11, aegis!$BY:$BZ, 2, FALSE), 0)</f>
        <v>0</v>
      </c>
      <c r="BM11">
        <f>IFERROR(VLOOKUP($B11, duel!$BY:$BZ, 2, FALSE), 0)</f>
        <v>0</v>
      </c>
      <c r="BN11">
        <f>IFERROR(VLOOKUP($B11, blitz!$BY:$BZ, 2, FALSE), 0)</f>
        <v>0</v>
      </c>
      <c r="BO11" t="b">
        <f t="shared" si="16"/>
        <v>1</v>
      </c>
      <c r="BP11">
        <f>IFERROR(VLOOKUP($B11, aegis!$CD:$CE, 2, FALSE), 0)</f>
        <v>0</v>
      </c>
      <c r="BQ11">
        <f>IFERROR(VLOOKUP($B11, duel!$CD:$CE, 2, FALSE), 0)</f>
        <v>0</v>
      </c>
      <c r="BR11">
        <f>IFERROR(VLOOKUP($B11, blitz!$CD:$CE, 2, FALSE), 0)</f>
        <v>0</v>
      </c>
      <c r="BS11" t="b">
        <f t="shared" si="17"/>
        <v>1</v>
      </c>
      <c r="BT11">
        <f>IFERROR(VLOOKUP($B11, aegis!$CI:$CJ, 2, FALSE), 0)</f>
        <v>0</v>
      </c>
      <c r="BU11">
        <f>IFERROR(VLOOKUP($B11, duel!$CI:$CJ, 2, FALSE), 0)</f>
        <v>0</v>
      </c>
      <c r="BV11">
        <f>IFERROR(VLOOKUP($B11, blitz!$CI:$CJ, 2, FALSE), 0)</f>
        <v>0</v>
      </c>
      <c r="BW11" t="b">
        <f t="shared" si="18"/>
        <v>1</v>
      </c>
      <c r="BX11">
        <f>IFERROR(VLOOKUP($B11, aegis!$CN:$CO, 2, FALSE), 0)</f>
        <v>0</v>
      </c>
      <c r="BY11">
        <f>IFERROR(VLOOKUP($B11, duel!$CN:$CO, 2, FALSE), 0)</f>
        <v>0</v>
      </c>
      <c r="BZ11">
        <f>IFERROR(VLOOKUP($B11, blitz!$CN:$CO, 2, FALSE), 0)</f>
        <v>0</v>
      </c>
      <c r="CA11" t="b">
        <f t="shared" si="19"/>
        <v>1</v>
      </c>
      <c r="CB11">
        <f>IFERROR(VLOOKUP($B11, aegis!$CS:$CT, 2, FALSE), 0)</f>
        <v>0</v>
      </c>
      <c r="CC11">
        <f>IFERROR(VLOOKUP($B11, duel!$CS:$CT, 2, FALSE), 0)</f>
        <v>0</v>
      </c>
      <c r="CD11">
        <f>IFERROR(VLOOKUP($B11, blitz!$CS:$CT, 2, FALSE), 0)</f>
        <v>0</v>
      </c>
      <c r="CE11" t="b">
        <f t="shared" si="20"/>
        <v>1</v>
      </c>
      <c r="CF11">
        <f>IFERROR(VLOOKUP($B11, aegis!$CX:$CY, 2, FALSE), 0)</f>
        <v>0</v>
      </c>
      <c r="CG11">
        <f>IFERROR(VLOOKUP($B11, duel!$CX:$CY, 2, FALSE), 0)</f>
        <v>0</v>
      </c>
      <c r="CH11">
        <f>IFERROR(VLOOKUP($B11, blitz!$CX:$CY, 2, FALSE), 0)</f>
        <v>0</v>
      </c>
      <c r="CI11" t="b">
        <f t="shared" si="21"/>
        <v>1</v>
      </c>
      <c r="CJ11">
        <f>IFERROR(VLOOKUP($B11, aegis!$DC:$DD, 2, FALSE), 0)</f>
        <v>0</v>
      </c>
      <c r="CK11">
        <f>IFERROR(VLOOKUP($B11, duel!$DC:$DD, 2, FALSE), 0)</f>
        <v>0</v>
      </c>
      <c r="CL11">
        <f>IFERROR(VLOOKUP($B11, blitz!$DC:$DD, 2, FALSE), 0)</f>
        <v>0</v>
      </c>
      <c r="CM11" t="b">
        <f t="shared" si="22"/>
        <v>1</v>
      </c>
      <c r="CN11">
        <f>IFERROR(VLOOKUP($B11, aegis!$DH:$DI, 2, FALSE), 0)</f>
        <v>0</v>
      </c>
      <c r="CO11">
        <f>IFERROR(VLOOKUP($B11, duel!$DH:$DI, 2, FALSE), 0)</f>
        <v>0</v>
      </c>
      <c r="CP11" s="13">
        <f>IFERROR(VLOOKUP($B11, blitz!$DH:$DI, 2, FALSE), 0)</f>
        <v>0</v>
      </c>
      <c r="CQ11" t="b">
        <f t="shared" si="23"/>
        <v>1</v>
      </c>
      <c r="CR11">
        <f>IFERROR(VLOOKUP($B11, aegis!$DM:$DN, 2, FALSE), 0)</f>
        <v>0</v>
      </c>
      <c r="CS11">
        <f>IFERROR(VLOOKUP($B11, duel!$DM:$DN, 2, FALSE), 0)</f>
        <v>0</v>
      </c>
      <c r="CT11">
        <f>IFERROR(VLOOKUP($B11, blitz!$DM:$DN, 2, FALSE), 0)</f>
        <v>0</v>
      </c>
      <c r="CU11" t="b">
        <f t="shared" si="24"/>
        <v>1</v>
      </c>
      <c r="CV11">
        <f>IFERROR(VLOOKUP($B11, aegis!$DR:$DS, 2, FALSE), 0)</f>
        <v>0</v>
      </c>
      <c r="CW11">
        <f>IFERROR(VLOOKUP($B11, duel!$DR:$DS, 2, FALSE), 0)</f>
        <v>0</v>
      </c>
      <c r="CX11">
        <f>IFERROR(VLOOKUP($B11, blitz!$DR:$DS, 2, FALSE), 0)</f>
        <v>0</v>
      </c>
      <c r="CY11" t="b">
        <f t="shared" si="25"/>
        <v>1</v>
      </c>
    </row>
    <row r="12" spans="1:103">
      <c r="B12" s="6" t="s">
        <v>318</v>
      </c>
      <c r="C12" s="5" t="b">
        <f t="shared" si="0"/>
        <v>1</v>
      </c>
      <c r="D12">
        <f>IFERROR(VLOOKUP($B12, aegis!$B:$C, 2, FALSE), 0)</f>
        <v>0</v>
      </c>
      <c r="E12">
        <f>IFERROR(VLOOKUP($B12, duel!$B:$C, 2, FALSE), 0)</f>
        <v>0</v>
      </c>
      <c r="F12">
        <f>IFERROR(VLOOKUP($B12, blitz!$B:$C, 2, FALSE), 0)</f>
        <v>0</v>
      </c>
      <c r="G12" t="b">
        <f t="shared" si="1"/>
        <v>1</v>
      </c>
      <c r="H12">
        <f>IFERROR(VLOOKUP($B12, aegis!$G:$H, 2, FALSE), 0)</f>
        <v>0</v>
      </c>
      <c r="I12">
        <f>IFERROR(VLOOKUP($B12, duel!$G:$H, 2, FALSE), 0)</f>
        <v>0</v>
      </c>
      <c r="J12">
        <f>IFERROR(VLOOKUP($B12, blitz!$G:$H, 2, FALSE), 0)</f>
        <v>0</v>
      </c>
      <c r="K12" t="b">
        <f t="shared" si="2"/>
        <v>1</v>
      </c>
      <c r="L12" t="str">
        <f>IFERROR(VLOOKUP($B12, aegis!$L:$M, 2, FALSE), 0)</f>
        <v>24</v>
      </c>
      <c r="M12" t="str">
        <f>IFERROR(VLOOKUP($B12, duel!$L:$M, 2, FALSE), 0)</f>
        <v>24</v>
      </c>
      <c r="N12" t="str">
        <f>IFERROR(VLOOKUP($B12, blitz!$L:$M, 2, FALSE), 0)</f>
        <v>24</v>
      </c>
      <c r="O12" t="b">
        <f t="shared" si="3"/>
        <v>1</v>
      </c>
      <c r="P12" t="str">
        <f>IFERROR(VLOOKUP($B12, aegis!$Q:$R, 2, FALSE), 0)</f>
        <v>14</v>
      </c>
      <c r="Q12" t="str">
        <f>IFERROR(VLOOKUP($B12, duel!$Q:$R, 2, FALSE), 0)</f>
        <v>14</v>
      </c>
      <c r="R12" t="str">
        <f>IFERROR(VLOOKUP($B12, blitz!$Q:$R, 2, FALSE), 0)</f>
        <v>14</v>
      </c>
      <c r="S12" t="b">
        <f t="shared" si="4"/>
        <v>1</v>
      </c>
      <c r="T12" t="str">
        <f>IFERROR(VLOOKUP($B12, aegis!$V:$W, 2, FALSE), 0)</f>
        <v>3</v>
      </c>
      <c r="U12" t="str">
        <f>IFERROR(VLOOKUP($B12, duel!$V:$W, 2, FALSE), 0)</f>
        <v>3</v>
      </c>
      <c r="V12" t="str">
        <f>IFERROR(VLOOKUP($B12, blitz!$V:$W, 2, FALSE), 0)</f>
        <v>3</v>
      </c>
      <c r="W12" t="b">
        <f t="shared" si="5"/>
        <v>1</v>
      </c>
      <c r="X12" t="str">
        <f>IFERROR(VLOOKUP($B12, aegis!$AA:$AB, 2, FALSE), 0)</f>
        <v>2</v>
      </c>
      <c r="Y12" t="str">
        <f>IFERROR(VLOOKUP($B12, duel!$AA:$AB, 2, FALSE), 0)</f>
        <v>2</v>
      </c>
      <c r="Z12" t="str">
        <f>IFERROR(VLOOKUP($B12, blitz!$AA:$AB, 2, FALSE), 0)</f>
        <v>2</v>
      </c>
      <c r="AA12" t="b">
        <f t="shared" si="6"/>
        <v>1</v>
      </c>
      <c r="AB12" t="str">
        <f>IFERROR(VLOOKUP($B12, aegis!$AF:$AG, 2, FALSE), 0)</f>
        <v>3</v>
      </c>
      <c r="AC12" t="str">
        <f>IFERROR(VLOOKUP($B12, duel!$AF:$AG, 2, FALSE), 0)</f>
        <v>3</v>
      </c>
      <c r="AD12" t="str">
        <f>IFERROR(VLOOKUP($B12, blitz!$AF:$AG, 2, FALSE), 0)</f>
        <v>3</v>
      </c>
      <c r="AE12" t="b">
        <f t="shared" si="7"/>
        <v>1</v>
      </c>
      <c r="AF12">
        <f>IFERROR(VLOOKUP($B12, aegis!$AK:$AL, 2, FALSE), 0)</f>
        <v>0</v>
      </c>
      <c r="AG12">
        <f>IFERROR(VLOOKUP($B12, duel!$AK:$AL, 2, FALSE), 0)</f>
        <v>0</v>
      </c>
      <c r="AH12">
        <f>IFERROR(VLOOKUP($B12, blitz!$AK:$AL, 2, FALSE), 0)</f>
        <v>0</v>
      </c>
      <c r="AI12" t="b">
        <f t="shared" si="8"/>
        <v>1</v>
      </c>
      <c r="AJ12" t="str">
        <f>IFERROR(VLOOKUP($B12, aegis!$AP:$AQ, 2, FALSE), 0)</f>
        <v>3</v>
      </c>
      <c r="AK12" t="str">
        <f>IFERROR(VLOOKUP($B12, duel!$AP:$AQ, 2, FALSE), 0)</f>
        <v>3</v>
      </c>
      <c r="AL12" t="str">
        <f>IFERROR(VLOOKUP($B12, blitz!$AP:$AQ, 2, FALSE), 0)</f>
        <v>3</v>
      </c>
      <c r="AM12" t="b">
        <f t="shared" si="9"/>
        <v>1</v>
      </c>
      <c r="AN12" t="str">
        <f>IFERROR(VLOOKUP($B12, aegis!$AU:$AV, 2, FALSE), 0)</f>
        <v>1</v>
      </c>
      <c r="AO12" t="str">
        <f>IFERROR(VLOOKUP($B12, duel!$AU:$AV, 2, FALSE), 0)</f>
        <v>1</v>
      </c>
      <c r="AP12" t="str">
        <f>IFERROR(VLOOKUP($B12, blitz!$AU:$AV, 2, FALSE), 0)</f>
        <v>1</v>
      </c>
      <c r="AQ12" t="b">
        <f t="shared" si="10"/>
        <v>1</v>
      </c>
      <c r="AR12" t="str">
        <f>IFERROR(VLOOKUP($B12, aegis!$AZ:$BA, 2, FALSE), 0)</f>
        <v>2</v>
      </c>
      <c r="AS12" t="str">
        <f>IFERROR(VLOOKUP($B12, duel!$AZ:$BA, 2, FALSE), 0)</f>
        <v>2</v>
      </c>
      <c r="AT12" t="str">
        <f>IFERROR(VLOOKUP($B12, blitz!$AZ:$BA, 2, FALSE), 0)</f>
        <v>2</v>
      </c>
      <c r="AU12" t="b">
        <f t="shared" si="11"/>
        <v>1</v>
      </c>
      <c r="AV12" t="str">
        <f>IFERROR(VLOOKUP($B12, aegis!$BE:$BF, 2, FALSE), 0)</f>
        <v>2</v>
      </c>
      <c r="AW12" t="str">
        <f>IFERROR(VLOOKUP($B12, duel!$BE:$BF, 2, FALSE), 0)</f>
        <v>2</v>
      </c>
      <c r="AX12" t="str">
        <f>IFERROR(VLOOKUP($B12, blitz!$BE:$BF, 2, FALSE), 0)</f>
        <v>2</v>
      </c>
      <c r="AY12" t="b">
        <f t="shared" si="12"/>
        <v>1</v>
      </c>
      <c r="AZ12">
        <f>IFERROR(VLOOKUP($B12, aegis!$BJ:$BK, 2, FALSE), 0)</f>
        <v>0</v>
      </c>
      <c r="BA12">
        <f>IFERROR(VLOOKUP($B12, duel!$BJ:$BK, 2, FALSE), 0)</f>
        <v>0</v>
      </c>
      <c r="BB12">
        <f>IFERROR(VLOOKUP($B12, blitz!$BJ:$BK, 2, FALSE), 0)</f>
        <v>0</v>
      </c>
      <c r="BC12" t="b">
        <f t="shared" si="13"/>
        <v>1</v>
      </c>
      <c r="BD12">
        <f>IFERROR(VLOOKUP($B12, aegis!$BO:$BP, 2, FALSE), 0)</f>
        <v>0</v>
      </c>
      <c r="BE12">
        <f>IFERROR(VLOOKUP($B12, duel!$BO:$BP, 2, FALSE), 0)</f>
        <v>0</v>
      </c>
      <c r="BF12">
        <f>IFERROR(VLOOKUP($B12, blitz!$BO:$BP, 2, FALSE), 0)</f>
        <v>0</v>
      </c>
      <c r="BG12" t="b">
        <f t="shared" si="14"/>
        <v>1</v>
      </c>
      <c r="BH12">
        <f>IFERROR(VLOOKUP($B12, aegis!$BT:$BU, 2, FALSE), 0)</f>
        <v>0</v>
      </c>
      <c r="BI12">
        <f>IFERROR(VLOOKUP($B12, duel!$BT:$BU, 2, FALSE), 0)</f>
        <v>0</v>
      </c>
      <c r="BJ12">
        <f>IFERROR(VLOOKUP($B12, blitz!$BT:$BU, 2, FALSE), 0)</f>
        <v>0</v>
      </c>
      <c r="BK12" t="b">
        <f t="shared" si="15"/>
        <v>1</v>
      </c>
      <c r="BL12" t="str">
        <f>IFERROR(VLOOKUP($B12, aegis!$BY:$BZ, 2, FALSE), 0)</f>
        <v>2</v>
      </c>
      <c r="BM12" t="str">
        <f>IFERROR(VLOOKUP($B12, duel!$BY:$BZ, 2, FALSE), 0)</f>
        <v>2</v>
      </c>
      <c r="BN12" t="str">
        <f>IFERROR(VLOOKUP($B12, blitz!$BY:$BZ, 2, FALSE), 0)</f>
        <v>2</v>
      </c>
      <c r="BO12" t="b">
        <f t="shared" si="16"/>
        <v>1</v>
      </c>
      <c r="BP12">
        <f>IFERROR(VLOOKUP($B12, aegis!$CD:$CE, 2, FALSE), 0)</f>
        <v>0</v>
      </c>
      <c r="BQ12">
        <f>IFERROR(VLOOKUP($B12, duel!$CD:$CE, 2, FALSE), 0)</f>
        <v>0</v>
      </c>
      <c r="BR12">
        <f>IFERROR(VLOOKUP($B12, blitz!$CD:$CE, 2, FALSE), 0)</f>
        <v>0</v>
      </c>
      <c r="BS12" t="b">
        <f t="shared" si="17"/>
        <v>1</v>
      </c>
      <c r="BT12" t="str">
        <f>IFERROR(VLOOKUP($B12, aegis!$CI:$CJ, 2, FALSE), 0)</f>
        <v>6</v>
      </c>
      <c r="BU12" t="str">
        <f>IFERROR(VLOOKUP($B12, duel!$CI:$CJ, 2, FALSE), 0)</f>
        <v>6</v>
      </c>
      <c r="BV12" t="str">
        <f>IFERROR(VLOOKUP($B12, blitz!$CI:$CJ, 2, FALSE), 0)</f>
        <v>6</v>
      </c>
      <c r="BW12" t="b">
        <f t="shared" si="18"/>
        <v>1</v>
      </c>
      <c r="BX12" t="str">
        <f>IFERROR(VLOOKUP($B12, aegis!$CN:$CO, 2, FALSE), 0)</f>
        <v>6</v>
      </c>
      <c r="BY12" t="str">
        <f>IFERROR(VLOOKUP($B12, duel!$CN:$CO, 2, FALSE), 0)</f>
        <v>6</v>
      </c>
      <c r="BZ12" t="str">
        <f>IFERROR(VLOOKUP($B12, blitz!$CN:$CO, 2, FALSE), 0)</f>
        <v>6</v>
      </c>
      <c r="CA12" t="b">
        <f t="shared" si="19"/>
        <v>1</v>
      </c>
      <c r="CB12" t="str">
        <f>IFERROR(VLOOKUP($B12, aegis!$CS:$CT, 2, FALSE), 0)</f>
        <v>33</v>
      </c>
      <c r="CC12" t="str">
        <f>IFERROR(VLOOKUP($B12, duel!$CS:$CT, 2, FALSE), 0)</f>
        <v>33</v>
      </c>
      <c r="CD12" t="str">
        <f>IFERROR(VLOOKUP($B12, blitz!$CS:$CT, 2, FALSE), 0)</f>
        <v>33</v>
      </c>
      <c r="CE12" t="b">
        <f t="shared" si="20"/>
        <v>1</v>
      </c>
      <c r="CF12">
        <f>IFERROR(VLOOKUP($B12, aegis!$CX:$CY, 2, FALSE), 0)</f>
        <v>0</v>
      </c>
      <c r="CG12">
        <f>IFERROR(VLOOKUP($B12, duel!$CX:$CY, 2, FALSE), 0)</f>
        <v>0</v>
      </c>
      <c r="CH12">
        <f>IFERROR(VLOOKUP($B12, blitz!$CX:$CY, 2, FALSE), 0)</f>
        <v>0</v>
      </c>
      <c r="CI12" t="b">
        <f t="shared" si="21"/>
        <v>1</v>
      </c>
      <c r="CJ12">
        <f>IFERROR(VLOOKUP($B12, aegis!$DC:$DD, 2, FALSE), 0)</f>
        <v>0</v>
      </c>
      <c r="CK12">
        <f>IFERROR(VLOOKUP($B12, duel!$DC:$DD, 2, FALSE), 0)</f>
        <v>0</v>
      </c>
      <c r="CL12">
        <f>IFERROR(VLOOKUP($B12, blitz!$DC:$DD, 2, FALSE), 0)</f>
        <v>0</v>
      </c>
      <c r="CM12" t="b">
        <f t="shared" si="22"/>
        <v>1</v>
      </c>
      <c r="CN12" t="str">
        <f>IFERROR(VLOOKUP($B12, aegis!$DH:$DI, 2, FALSE), 0)</f>
        <v>2</v>
      </c>
      <c r="CO12" t="str">
        <f>IFERROR(VLOOKUP($B12, duel!$DH:$DI, 2, FALSE), 0)</f>
        <v>2</v>
      </c>
      <c r="CP12" s="13">
        <f>IFERROR(VLOOKUP($B12, blitz!$DH:$DI, 2, FALSE), 0)</f>
        <v>0</v>
      </c>
      <c r="CQ12" t="b">
        <f t="shared" si="23"/>
        <v>1</v>
      </c>
      <c r="CR12" t="str">
        <f>IFERROR(VLOOKUP($B12, aegis!$DM:$DN, 2, FALSE), 0)</f>
        <v>3</v>
      </c>
      <c r="CS12" t="str">
        <f>IFERROR(VLOOKUP($B12, duel!$DM:$DN, 2, FALSE), 0)</f>
        <v>3</v>
      </c>
      <c r="CT12" t="str">
        <f>IFERROR(VLOOKUP($B12, blitz!$DM:$DN, 2, FALSE), 0)</f>
        <v>3</v>
      </c>
      <c r="CU12" t="b">
        <f t="shared" si="24"/>
        <v>1</v>
      </c>
      <c r="CV12" t="str">
        <f>IFERROR(VLOOKUP($B12, aegis!$DR:$DS, 2, FALSE), 0)</f>
        <v>3</v>
      </c>
      <c r="CW12" t="str">
        <f>IFERROR(VLOOKUP($B12, duel!$DR:$DS, 2, FALSE), 0)</f>
        <v>3</v>
      </c>
      <c r="CX12" t="str">
        <f>IFERROR(VLOOKUP($B12, blitz!$DR:$DS, 2, FALSE), 0)</f>
        <v>3</v>
      </c>
      <c r="CY12" t="b">
        <f t="shared" si="25"/>
        <v>1</v>
      </c>
    </row>
    <row r="13" spans="1:103">
      <c r="A13" t="s">
        <v>1733</v>
      </c>
      <c r="B13" s="6" t="s">
        <v>20</v>
      </c>
      <c r="C13" s="5" t="b">
        <f t="shared" si="0"/>
        <v>0</v>
      </c>
      <c r="D13" t="str">
        <f>IFERROR(VLOOKUP($B13, aegis!$B:$C, 2, FALSE), 0)</f>
        <v>180</v>
      </c>
      <c r="E13" t="str">
        <f>IFERROR(VLOOKUP($B13, duel!$B:$C, 2, FALSE), 0)</f>
        <v>180</v>
      </c>
      <c r="F13" t="str">
        <f>IFERROR(VLOOKUP($B13, blitz!$B:$C, 2, FALSE), 0)</f>
        <v>180</v>
      </c>
      <c r="G13" t="b">
        <f t="shared" si="1"/>
        <v>1</v>
      </c>
      <c r="H13" t="str">
        <f>IFERROR(VLOOKUP($B13, aegis!$G:$H, 2, FALSE), 0)</f>
        <v>105</v>
      </c>
      <c r="I13" t="str">
        <f>IFERROR(VLOOKUP($B13, duel!$G:$H, 2, FALSE), 0)</f>
        <v>105</v>
      </c>
      <c r="J13" t="str">
        <f>IFERROR(VLOOKUP($B13, blitz!$G:$H, 2, FALSE), 0)</f>
        <v>105</v>
      </c>
      <c r="K13" t="b">
        <f t="shared" si="2"/>
        <v>1</v>
      </c>
      <c r="L13" t="str">
        <f>IFERROR(VLOOKUP($B13, aegis!$L:$M, 2, FALSE), 0)</f>
        <v>252</v>
      </c>
      <c r="M13" t="str">
        <f>IFERROR(VLOOKUP($B13, duel!$L:$M, 2, FALSE), 0)</f>
        <v>252</v>
      </c>
      <c r="N13" t="str">
        <f>IFERROR(VLOOKUP($B13, blitz!$L:$M, 2, FALSE), 0)</f>
        <v>252</v>
      </c>
      <c r="O13" t="b">
        <f t="shared" si="3"/>
        <v>1</v>
      </c>
      <c r="P13" t="str">
        <f>IFERROR(VLOOKUP($B13, aegis!$Q:$R, 2, FALSE), 0)</f>
        <v>147</v>
      </c>
      <c r="Q13" t="str">
        <f>IFERROR(VLOOKUP($B13, duel!$Q:$R, 2, FALSE), 0)</f>
        <v>147</v>
      </c>
      <c r="R13" t="str">
        <f>IFERROR(VLOOKUP($B13, blitz!$Q:$R, 2, FALSE), 0)</f>
        <v>147</v>
      </c>
      <c r="S13" t="b">
        <f t="shared" si="4"/>
        <v>1</v>
      </c>
      <c r="T13" t="str">
        <f>IFERROR(VLOOKUP($B13, aegis!$V:$W, 2, FALSE), 0)</f>
        <v>1040</v>
      </c>
      <c r="U13" t="str">
        <f>IFERROR(VLOOKUP($B13, duel!$V:$W, 2, FALSE), 0)</f>
        <v>1040</v>
      </c>
      <c r="V13" t="str">
        <f>IFERROR(VLOOKUP($B13, blitz!$V:$W, 2, FALSE), 0)</f>
        <v>1040</v>
      </c>
      <c r="W13" t="b">
        <f t="shared" si="5"/>
        <v>1</v>
      </c>
      <c r="X13" t="str">
        <f>IFERROR(VLOOKUP($B13, aegis!$AA:$AB, 2, FALSE), 0)</f>
        <v>7</v>
      </c>
      <c r="Y13" t="str">
        <f>IFERROR(VLOOKUP($B13, duel!$AA:$AB, 2, FALSE), 0)</f>
        <v>11</v>
      </c>
      <c r="Z13" t="str">
        <f>IFERROR(VLOOKUP($B13, blitz!$AA:$AB, 2, FALSE), 0)</f>
        <v>7</v>
      </c>
      <c r="AA13" t="b">
        <f t="shared" si="6"/>
        <v>0</v>
      </c>
      <c r="AB13" t="str">
        <f>IFERROR(VLOOKUP($B13, aegis!$AF:$AG, 2, FALSE), 0)</f>
        <v>309</v>
      </c>
      <c r="AC13" t="str">
        <f>IFERROR(VLOOKUP($B13, duel!$AF:$AG, 2, FALSE), 0)</f>
        <v>309</v>
      </c>
      <c r="AD13" t="str">
        <f>IFERROR(VLOOKUP($B13, blitz!$AF:$AG, 2, FALSE), 0)</f>
        <v>309</v>
      </c>
      <c r="AE13" t="b">
        <f t="shared" si="7"/>
        <v>1</v>
      </c>
      <c r="AF13" t="str">
        <f>IFERROR(VLOOKUP($B13, aegis!$AK:$AL, 2, FALSE), 0)</f>
        <v>5</v>
      </c>
      <c r="AG13" t="str">
        <f>IFERROR(VLOOKUP($B13, duel!$AK:$AL, 2, FALSE), 0)</f>
        <v>1</v>
      </c>
      <c r="AH13" t="str">
        <f>IFERROR(VLOOKUP($B13, blitz!$AK:$AL, 2, FALSE), 0)</f>
        <v>1</v>
      </c>
      <c r="AI13" t="b">
        <f t="shared" si="8"/>
        <v>0</v>
      </c>
      <c r="AJ13" t="str">
        <f>IFERROR(VLOOKUP($B13, aegis!$AP:$AQ, 2, FALSE), 0)</f>
        <v>25</v>
      </c>
      <c r="AK13" t="str">
        <f>IFERROR(VLOOKUP($B13, duel!$AP:$AQ, 2, FALSE), 0)</f>
        <v>25</v>
      </c>
      <c r="AL13" t="str">
        <f>IFERROR(VLOOKUP($B13, blitz!$AP:$AQ, 2, FALSE), 0)</f>
        <v>25</v>
      </c>
      <c r="AM13" t="b">
        <f t="shared" si="9"/>
        <v>1</v>
      </c>
      <c r="AN13" t="str">
        <f>IFERROR(VLOOKUP($B13, aegis!$AU:$AV, 2, FALSE), 0)</f>
        <v>17</v>
      </c>
      <c r="AO13" t="str">
        <f>IFERROR(VLOOKUP($B13, duel!$AU:$AV, 2, FALSE), 0)</f>
        <v>17</v>
      </c>
      <c r="AP13" t="str">
        <f>IFERROR(VLOOKUP($B13, blitz!$AU:$AV, 2, FALSE), 0)</f>
        <v>17</v>
      </c>
      <c r="AQ13" t="b">
        <f t="shared" si="10"/>
        <v>1</v>
      </c>
      <c r="AR13" t="str">
        <f>IFERROR(VLOOKUP($B13, aegis!$AZ:$BA, 2, FALSE), 0)</f>
        <v>4</v>
      </c>
      <c r="AS13" t="str">
        <f>IFERROR(VLOOKUP($B13, duel!$AZ:$BA, 2, FALSE), 0)</f>
        <v>4</v>
      </c>
      <c r="AT13" t="str">
        <f>IFERROR(VLOOKUP($B13, blitz!$AZ:$BA, 2, FALSE), 0)</f>
        <v>4</v>
      </c>
      <c r="AU13" t="b">
        <f t="shared" si="11"/>
        <v>1</v>
      </c>
      <c r="AV13" t="str">
        <f>IFERROR(VLOOKUP($B13, aegis!$BE:$BF, 2, FALSE), 0)</f>
        <v>15</v>
      </c>
      <c r="AW13" t="str">
        <f>IFERROR(VLOOKUP($B13, duel!$BE:$BF, 2, FALSE), 0)</f>
        <v>15</v>
      </c>
      <c r="AX13" t="str">
        <f>IFERROR(VLOOKUP($B13, blitz!$BE:$BF, 2, FALSE), 0)</f>
        <v>15</v>
      </c>
      <c r="AY13" t="b">
        <f t="shared" si="12"/>
        <v>1</v>
      </c>
      <c r="AZ13" t="str">
        <f>IFERROR(VLOOKUP($B13, aegis!$BJ:$BK, 2, FALSE), 0)</f>
        <v>1</v>
      </c>
      <c r="BA13" t="str">
        <f>IFERROR(VLOOKUP($B13, duel!$BJ:$BK, 2, FALSE), 0)</f>
        <v>1</v>
      </c>
      <c r="BB13" t="str">
        <f>IFERROR(VLOOKUP($B13, blitz!$BJ:$BK, 2, FALSE), 0)</f>
        <v>1</v>
      </c>
      <c r="BC13" t="b">
        <f t="shared" si="13"/>
        <v>1</v>
      </c>
      <c r="BD13">
        <f>IFERROR(VLOOKUP($B13, aegis!$BO:$BP, 2, FALSE), 0)</f>
        <v>0</v>
      </c>
      <c r="BE13">
        <f>IFERROR(VLOOKUP($B13, duel!$BO:$BP, 2, FALSE), 0)</f>
        <v>0</v>
      </c>
      <c r="BF13">
        <f>IFERROR(VLOOKUP($B13, blitz!$BO:$BP, 2, FALSE), 0)</f>
        <v>0</v>
      </c>
      <c r="BG13" t="b">
        <f t="shared" si="14"/>
        <v>1</v>
      </c>
      <c r="BH13" t="str">
        <f>IFERROR(VLOOKUP($B13, aegis!$BT:$BU, 2, FALSE), 0)</f>
        <v>97</v>
      </c>
      <c r="BI13" t="str">
        <f>IFERROR(VLOOKUP($B13, duel!$BT:$BU, 2, FALSE), 0)</f>
        <v>97</v>
      </c>
      <c r="BJ13" t="str">
        <f>IFERROR(VLOOKUP($B13, blitz!$BT:$BU, 2, FALSE), 0)</f>
        <v>97</v>
      </c>
      <c r="BK13" t="b">
        <f t="shared" si="15"/>
        <v>1</v>
      </c>
      <c r="BL13" t="str">
        <f>IFERROR(VLOOKUP($B13, aegis!$BY:$BZ, 2, FALSE), 0)</f>
        <v>12</v>
      </c>
      <c r="BM13" t="str">
        <f>IFERROR(VLOOKUP($B13, duel!$BY:$BZ, 2, FALSE), 0)</f>
        <v>12</v>
      </c>
      <c r="BN13" t="str">
        <f>IFERROR(VLOOKUP($B13, blitz!$BY:$BZ, 2, FALSE), 0)</f>
        <v>12</v>
      </c>
      <c r="BO13" t="b">
        <f t="shared" si="16"/>
        <v>1</v>
      </c>
      <c r="BP13" t="str">
        <f>IFERROR(VLOOKUP($B13, aegis!$CD:$CE, 2, FALSE), 0)</f>
        <v>15</v>
      </c>
      <c r="BQ13" t="str">
        <f>IFERROR(VLOOKUP($B13, duel!$CD:$CE, 2, FALSE), 0)</f>
        <v>15</v>
      </c>
      <c r="BR13" t="str">
        <f>IFERROR(VLOOKUP($B13, blitz!$CD:$CE, 2, FALSE), 0)</f>
        <v>15</v>
      </c>
      <c r="BS13" t="b">
        <f t="shared" si="17"/>
        <v>1</v>
      </c>
      <c r="BT13" t="str">
        <f>IFERROR(VLOOKUP($B13, aegis!$CI:$CJ, 2, FALSE), 0)</f>
        <v>54</v>
      </c>
      <c r="BU13" t="str">
        <f>IFERROR(VLOOKUP($B13, duel!$CI:$CJ, 2, FALSE), 0)</f>
        <v>54</v>
      </c>
      <c r="BV13" t="str">
        <f>IFERROR(VLOOKUP($B13, blitz!$CI:$CJ, 2, FALSE), 0)</f>
        <v>54</v>
      </c>
      <c r="BW13" t="b">
        <f t="shared" si="18"/>
        <v>1</v>
      </c>
      <c r="BX13" t="str">
        <f>IFERROR(VLOOKUP($B13, aegis!$CN:$CO, 2, FALSE), 0)</f>
        <v>54</v>
      </c>
      <c r="BY13" t="str">
        <f>IFERROR(VLOOKUP($B13, duel!$CN:$CO, 2, FALSE), 0)</f>
        <v>54</v>
      </c>
      <c r="BZ13" t="str">
        <f>IFERROR(VLOOKUP($B13, blitz!$CN:$CO, 2, FALSE), 0)</f>
        <v>54</v>
      </c>
      <c r="CA13" t="b">
        <f t="shared" si="19"/>
        <v>1</v>
      </c>
      <c r="CB13" t="str">
        <f>IFERROR(VLOOKUP($B13, aegis!$CS:$CT, 2, FALSE), 0)</f>
        <v>250</v>
      </c>
      <c r="CC13" t="str">
        <f>IFERROR(VLOOKUP($B13, duel!$CS:$CT, 2, FALSE), 0)</f>
        <v>250</v>
      </c>
      <c r="CD13" t="str">
        <f>IFERROR(VLOOKUP($B13, blitz!$CS:$CT, 2, FALSE), 0)</f>
        <v>250</v>
      </c>
      <c r="CE13" t="b">
        <f t="shared" si="20"/>
        <v>1</v>
      </c>
      <c r="CF13" t="str">
        <f>IFERROR(VLOOKUP($B13, aegis!$CX:$CY, 2, FALSE), 0)</f>
        <v>1376</v>
      </c>
      <c r="CG13" t="str">
        <f>IFERROR(VLOOKUP($B13, duel!$CX:$CY, 2, FALSE), 0)</f>
        <v>1376</v>
      </c>
      <c r="CH13" t="str">
        <f>IFERROR(VLOOKUP($B13, blitz!$CX:$CY, 2, FALSE), 0)</f>
        <v>150</v>
      </c>
      <c r="CI13" t="b">
        <f t="shared" si="21"/>
        <v>0</v>
      </c>
      <c r="CJ13" t="str">
        <f>IFERROR(VLOOKUP($B13, aegis!$DC:$DD, 2, FALSE), 0)</f>
        <v>3</v>
      </c>
      <c r="CK13" t="str">
        <f>IFERROR(VLOOKUP($B13, duel!$DC:$DD, 2, FALSE), 0)</f>
        <v>3</v>
      </c>
      <c r="CL13" t="str">
        <f>IFERROR(VLOOKUP($B13, blitz!$DC:$DD, 2, FALSE), 0)</f>
        <v>3</v>
      </c>
      <c r="CM13" t="b">
        <f t="shared" si="22"/>
        <v>1</v>
      </c>
      <c r="CN13" t="str">
        <f>IFERROR(VLOOKUP($B13, aegis!$DH:$DI, 2, FALSE), 0)</f>
        <v>14</v>
      </c>
      <c r="CO13" t="str">
        <f>IFERROR(VLOOKUP($B13, duel!$DH:$DI, 2, FALSE), 0)</f>
        <v>14</v>
      </c>
      <c r="CP13" s="13">
        <f>IFERROR(VLOOKUP($B13, blitz!$DH:$DI, 2, FALSE), 0)</f>
        <v>0</v>
      </c>
      <c r="CQ13" t="b">
        <f t="shared" si="23"/>
        <v>1</v>
      </c>
      <c r="CR13" t="str">
        <f>IFERROR(VLOOKUP($B13, aegis!$DM:$DN, 2, FALSE), 0)</f>
        <v>18</v>
      </c>
      <c r="CS13" t="str">
        <f>IFERROR(VLOOKUP($B13, duel!$DM:$DN, 2, FALSE), 0)</f>
        <v>18</v>
      </c>
      <c r="CT13" t="str">
        <f>IFERROR(VLOOKUP($B13, blitz!$DM:$DN, 2, FALSE), 0)</f>
        <v>18</v>
      </c>
      <c r="CU13" t="b">
        <f t="shared" si="24"/>
        <v>1</v>
      </c>
      <c r="CV13" t="str">
        <f>IFERROR(VLOOKUP($B13, aegis!$DR:$DS, 2, FALSE), 0)</f>
        <v>309</v>
      </c>
      <c r="CW13" t="str">
        <f>IFERROR(VLOOKUP($B13, duel!$DR:$DS, 2, FALSE), 0)</f>
        <v>309</v>
      </c>
      <c r="CX13" t="str">
        <f>IFERROR(VLOOKUP($B13, blitz!$DR:$DS, 2, FALSE), 0)</f>
        <v>309</v>
      </c>
      <c r="CY13" t="b">
        <f t="shared" si="25"/>
        <v>1</v>
      </c>
    </row>
    <row r="14" spans="1:103">
      <c r="A14" t="s">
        <v>1733</v>
      </c>
      <c r="B14" s="6" t="s">
        <v>1740</v>
      </c>
      <c r="C14" s="5" t="b">
        <f t="shared" si="0"/>
        <v>0</v>
      </c>
      <c r="D14" t="str">
        <f>IFERROR(VLOOKUP($B14, aegis!$B:$C, 2, FALSE), 0)</f>
        <v>120</v>
      </c>
      <c r="E14" t="str">
        <f>IFERROR(VLOOKUP($B14, duel!$B:$C, 2, FALSE), 0)</f>
        <v>120</v>
      </c>
      <c r="F14" t="str">
        <f>IFERROR(VLOOKUP($B14, blitz!$B:$C, 2, FALSE), 0)</f>
        <v>120</v>
      </c>
      <c r="G14" t="b">
        <f t="shared" si="1"/>
        <v>1</v>
      </c>
      <c r="H14" t="str">
        <f>IFERROR(VLOOKUP($B14, aegis!$G:$H, 2, FALSE), 0)</f>
        <v>70</v>
      </c>
      <c r="I14" t="str">
        <f>IFERROR(VLOOKUP($B14, duel!$G:$H, 2, FALSE), 0)</f>
        <v>70</v>
      </c>
      <c r="J14" t="str">
        <f>IFERROR(VLOOKUP($B14, blitz!$G:$H, 2, FALSE), 0)</f>
        <v>70</v>
      </c>
      <c r="K14" t="b">
        <f t="shared" si="2"/>
        <v>1</v>
      </c>
      <c r="L14" t="str">
        <f>IFERROR(VLOOKUP($B14, aegis!$L:$M, 2, FALSE), 0)</f>
        <v>120</v>
      </c>
      <c r="M14" t="str">
        <f>IFERROR(VLOOKUP($B14, duel!$L:$M, 2, FALSE), 0)</f>
        <v>120</v>
      </c>
      <c r="N14" t="str">
        <f>IFERROR(VLOOKUP($B14, blitz!$L:$M, 2, FALSE), 0)</f>
        <v>120</v>
      </c>
      <c r="O14" t="b">
        <f t="shared" si="3"/>
        <v>1</v>
      </c>
      <c r="P14" t="str">
        <f>IFERROR(VLOOKUP($B14, aegis!$Q:$R, 2, FALSE), 0)</f>
        <v>70</v>
      </c>
      <c r="Q14" t="str">
        <f>IFERROR(VLOOKUP($B14, duel!$Q:$R, 2, FALSE), 0)</f>
        <v>70</v>
      </c>
      <c r="R14" t="str">
        <f>IFERROR(VLOOKUP($B14, blitz!$Q:$R, 2, FALSE), 0)</f>
        <v>70</v>
      </c>
      <c r="S14" t="b">
        <f t="shared" si="4"/>
        <v>1</v>
      </c>
      <c r="T14" t="str">
        <f>IFERROR(VLOOKUP($B14, aegis!$V:$W, 2, FALSE), 0)</f>
        <v>924</v>
      </c>
      <c r="U14" t="str">
        <f>IFERROR(VLOOKUP($B14, duel!$V:$W, 2, FALSE), 0)</f>
        <v>791</v>
      </c>
      <c r="V14" t="str">
        <f>IFERROR(VLOOKUP($B14, blitz!$V:$W, 2, FALSE), 0)</f>
        <v>924</v>
      </c>
      <c r="W14" t="b">
        <f t="shared" si="5"/>
        <v>0</v>
      </c>
      <c r="X14" t="str">
        <f>IFERROR(VLOOKUP($B14, aegis!$AA:$AB, 2, FALSE), 0)</f>
        <v>8</v>
      </c>
      <c r="Y14" t="str">
        <f>IFERROR(VLOOKUP($B14, duel!$AA:$AB, 2, FALSE), 0)</f>
        <v>14</v>
      </c>
      <c r="Z14" t="str">
        <f>IFERROR(VLOOKUP($B14, blitz!$AA:$AB, 2, FALSE), 0)</f>
        <v>8</v>
      </c>
      <c r="AA14" t="b">
        <f t="shared" si="6"/>
        <v>0</v>
      </c>
      <c r="AB14" t="str">
        <f>IFERROR(VLOOKUP($B14, aegis!$AF:$AG, 2, FALSE), 0)</f>
        <v>914</v>
      </c>
      <c r="AC14" t="str">
        <f>IFERROR(VLOOKUP($B14, duel!$AF:$AG, 2, FALSE), 0)</f>
        <v>914</v>
      </c>
      <c r="AD14" t="str">
        <f>IFERROR(VLOOKUP($B14, blitz!$AF:$AG, 2, FALSE), 0)</f>
        <v>914</v>
      </c>
      <c r="AE14" t="b">
        <f t="shared" si="7"/>
        <v>1</v>
      </c>
      <c r="AF14" t="str">
        <f>IFERROR(VLOOKUP($B14, aegis!$AK:$AL, 2, FALSE), 0)</f>
        <v>9</v>
      </c>
      <c r="AG14" t="str">
        <f>IFERROR(VLOOKUP($B14, duel!$AK:$AL, 2, FALSE), 0)</f>
        <v>1</v>
      </c>
      <c r="AH14" t="str">
        <f>IFERROR(VLOOKUP($B14, blitz!$AK:$AL, 2, FALSE), 0)</f>
        <v>1</v>
      </c>
      <c r="AI14" t="b">
        <f t="shared" si="8"/>
        <v>0</v>
      </c>
      <c r="AJ14" t="str">
        <f>IFERROR(VLOOKUP($B14, aegis!$AP:$AQ, 2, FALSE), 0)</f>
        <v>9</v>
      </c>
      <c r="AK14" t="str">
        <f>IFERROR(VLOOKUP($B14, duel!$AP:$AQ, 2, FALSE), 0)</f>
        <v>9</v>
      </c>
      <c r="AL14" t="str">
        <f>IFERROR(VLOOKUP($B14, blitz!$AP:$AQ, 2, FALSE), 0)</f>
        <v>9</v>
      </c>
      <c r="AM14" t="b">
        <f t="shared" si="9"/>
        <v>1</v>
      </c>
      <c r="AN14">
        <f>IFERROR(VLOOKUP($B14, aegis!$AU:$AV, 2, FALSE), 0)</f>
        <v>0</v>
      </c>
      <c r="AO14">
        <f>IFERROR(VLOOKUP($B14, duel!$AU:$AV, 2, FALSE), 0)</f>
        <v>0</v>
      </c>
      <c r="AP14">
        <f>IFERROR(VLOOKUP($B14, blitz!$AU:$AV, 2, FALSE), 0)</f>
        <v>0</v>
      </c>
      <c r="AQ14" t="b">
        <f t="shared" si="10"/>
        <v>1</v>
      </c>
      <c r="AR14" t="str">
        <f>IFERROR(VLOOKUP($B14, aegis!$AZ:$BA, 2, FALSE), 0)</f>
        <v>8</v>
      </c>
      <c r="AS14" t="str">
        <f>IFERROR(VLOOKUP($B14, duel!$AZ:$BA, 2, FALSE), 0)</f>
        <v>8</v>
      </c>
      <c r="AT14" t="str">
        <f>IFERROR(VLOOKUP($B14, blitz!$AZ:$BA, 2, FALSE), 0)</f>
        <v>8</v>
      </c>
      <c r="AU14" t="b">
        <f t="shared" si="11"/>
        <v>1</v>
      </c>
      <c r="AV14" t="str">
        <f>IFERROR(VLOOKUP($B14, aegis!$BE:$BF, 2, FALSE), 0)</f>
        <v>8</v>
      </c>
      <c r="AW14" t="str">
        <f>IFERROR(VLOOKUP($B14, duel!$BE:$BF, 2, FALSE), 0)</f>
        <v>8</v>
      </c>
      <c r="AX14" t="str">
        <f>IFERROR(VLOOKUP($B14, blitz!$BE:$BF, 2, FALSE), 0)</f>
        <v>8</v>
      </c>
      <c r="AY14" t="b">
        <f t="shared" si="12"/>
        <v>1</v>
      </c>
      <c r="AZ14" t="str">
        <f>IFERROR(VLOOKUP($B14, aegis!$BJ:$BK, 2, FALSE), 0)</f>
        <v>1</v>
      </c>
      <c r="BA14" t="str">
        <f>IFERROR(VLOOKUP($B14, duel!$BJ:$BK, 2, FALSE), 0)</f>
        <v>1</v>
      </c>
      <c r="BB14" t="str">
        <f>IFERROR(VLOOKUP($B14, blitz!$BJ:$BK, 2, FALSE), 0)</f>
        <v>1</v>
      </c>
      <c r="BC14" t="b">
        <f t="shared" si="13"/>
        <v>1</v>
      </c>
      <c r="BD14">
        <f>IFERROR(VLOOKUP($B14, aegis!$BO:$BP, 2, FALSE), 0)</f>
        <v>0</v>
      </c>
      <c r="BE14">
        <f>IFERROR(VLOOKUP($B14, duel!$BO:$BP, 2, FALSE), 0)</f>
        <v>0</v>
      </c>
      <c r="BF14">
        <f>IFERROR(VLOOKUP($B14, blitz!$BO:$BP, 2, FALSE), 0)</f>
        <v>0</v>
      </c>
      <c r="BG14" t="b">
        <f t="shared" si="14"/>
        <v>1</v>
      </c>
      <c r="BH14" t="str">
        <f>IFERROR(VLOOKUP($B14, aegis!$BT:$BU, 2, FALSE), 0)</f>
        <v>15</v>
      </c>
      <c r="BI14" t="str">
        <f>IFERROR(VLOOKUP($B14, duel!$BT:$BU, 2, FALSE), 0)</f>
        <v>15</v>
      </c>
      <c r="BJ14" t="str">
        <f>IFERROR(VLOOKUP($B14, blitz!$BT:$BU, 2, FALSE), 0)</f>
        <v>15</v>
      </c>
      <c r="BK14" t="b">
        <f t="shared" si="15"/>
        <v>1</v>
      </c>
      <c r="BL14" t="str">
        <f>IFERROR(VLOOKUP($B14, aegis!$BY:$BZ, 2, FALSE), 0)</f>
        <v>6</v>
      </c>
      <c r="BM14" t="str">
        <f>IFERROR(VLOOKUP($B14, duel!$BY:$BZ, 2, FALSE), 0)</f>
        <v>6</v>
      </c>
      <c r="BN14" t="str">
        <f>IFERROR(VLOOKUP($B14, blitz!$BY:$BZ, 2, FALSE), 0)</f>
        <v>6</v>
      </c>
      <c r="BO14" t="b">
        <f t="shared" si="16"/>
        <v>1</v>
      </c>
      <c r="BP14" t="str">
        <f>IFERROR(VLOOKUP($B14, aegis!$CD:$CE, 2, FALSE), 0)</f>
        <v>19</v>
      </c>
      <c r="BQ14" t="str">
        <f>IFERROR(VLOOKUP($B14, duel!$CD:$CE, 2, FALSE), 0)</f>
        <v>19</v>
      </c>
      <c r="BR14" t="str">
        <f>IFERROR(VLOOKUP($B14, blitz!$CD:$CE, 2, FALSE), 0)</f>
        <v>19</v>
      </c>
      <c r="BS14" t="b">
        <f t="shared" si="17"/>
        <v>1</v>
      </c>
      <c r="BT14" t="str">
        <f>IFERROR(VLOOKUP($B14, aegis!$CI:$CJ, 2, FALSE), 0)</f>
        <v>7</v>
      </c>
      <c r="BU14" t="str">
        <f>IFERROR(VLOOKUP($B14, duel!$CI:$CJ, 2, FALSE), 0)</f>
        <v>7</v>
      </c>
      <c r="BV14" t="str">
        <f>IFERROR(VLOOKUP($B14, blitz!$CI:$CJ, 2, FALSE), 0)</f>
        <v>7</v>
      </c>
      <c r="BW14" t="b">
        <f t="shared" si="18"/>
        <v>1</v>
      </c>
      <c r="BX14" t="str">
        <f>IFERROR(VLOOKUP($B14, aegis!$CN:$CO, 2, FALSE), 0)</f>
        <v>7</v>
      </c>
      <c r="BY14" t="str">
        <f>IFERROR(VLOOKUP($B14, duel!$CN:$CO, 2, FALSE), 0)</f>
        <v>7</v>
      </c>
      <c r="BZ14" t="str">
        <f>IFERROR(VLOOKUP($B14, blitz!$CN:$CO, 2, FALSE), 0)</f>
        <v>7</v>
      </c>
      <c r="CA14" t="b">
        <f t="shared" si="19"/>
        <v>1</v>
      </c>
      <c r="CB14" t="str">
        <f>IFERROR(VLOOKUP($B14, aegis!$CS:$CT, 2, FALSE), 0)</f>
        <v>31</v>
      </c>
      <c r="CC14" t="str">
        <f>IFERROR(VLOOKUP($B14, duel!$CS:$CT, 2, FALSE), 0)</f>
        <v>31</v>
      </c>
      <c r="CD14" t="str">
        <f>IFERROR(VLOOKUP($B14, blitz!$CS:$CT, 2, FALSE), 0)</f>
        <v>31</v>
      </c>
      <c r="CE14" t="b">
        <f t="shared" si="20"/>
        <v>1</v>
      </c>
      <c r="CF14" t="str">
        <f>IFERROR(VLOOKUP($B14, aegis!$CX:$CY, 2, FALSE), 0)</f>
        <v>17811</v>
      </c>
      <c r="CG14" t="str">
        <f>IFERROR(VLOOKUP($B14, duel!$CX:$CY, 2, FALSE), 0)</f>
        <v>17741</v>
      </c>
      <c r="CH14" t="str">
        <f>IFERROR(VLOOKUP($B14, blitz!$CX:$CY, 2, FALSE), 0)</f>
        <v>327</v>
      </c>
      <c r="CI14" t="b">
        <f t="shared" si="21"/>
        <v>0</v>
      </c>
      <c r="CJ14" t="str">
        <f>IFERROR(VLOOKUP($B14, aegis!$DC:$DD, 2, FALSE), 0)</f>
        <v>1</v>
      </c>
      <c r="CK14" t="str">
        <f>IFERROR(VLOOKUP($B14, duel!$DC:$DD, 2, FALSE), 0)</f>
        <v>1</v>
      </c>
      <c r="CL14" t="str">
        <f>IFERROR(VLOOKUP($B14, blitz!$DC:$DD, 2, FALSE), 0)</f>
        <v>1</v>
      </c>
      <c r="CM14" t="b">
        <f t="shared" si="22"/>
        <v>1</v>
      </c>
      <c r="CN14" t="str">
        <f>IFERROR(VLOOKUP($B14, aegis!$DH:$DI, 2, FALSE), 0)</f>
        <v>15</v>
      </c>
      <c r="CO14" t="str">
        <f>IFERROR(VLOOKUP($B14, duel!$DH:$DI, 2, FALSE), 0)</f>
        <v>14</v>
      </c>
      <c r="CP14" s="13">
        <f>IFERROR(VLOOKUP($B14, blitz!$DH:$DI, 2, FALSE), 0)</f>
        <v>0</v>
      </c>
      <c r="CQ14" t="b">
        <f t="shared" si="23"/>
        <v>0</v>
      </c>
      <c r="CR14" t="str">
        <f>IFERROR(VLOOKUP($B14, aegis!$DM:$DN, 2, FALSE), 0)</f>
        <v>8</v>
      </c>
      <c r="CS14" t="str">
        <f>IFERROR(VLOOKUP($B14, duel!$DM:$DN, 2, FALSE), 0)</f>
        <v>7</v>
      </c>
      <c r="CT14" t="str">
        <f>IFERROR(VLOOKUP($B14, blitz!$DM:$DN, 2, FALSE), 0)</f>
        <v>8</v>
      </c>
      <c r="CU14" t="b">
        <f t="shared" si="24"/>
        <v>0</v>
      </c>
      <c r="CV14" t="str">
        <f>IFERROR(VLOOKUP($B14, aegis!$DR:$DS, 2, FALSE), 0)</f>
        <v>914</v>
      </c>
      <c r="CW14" t="str">
        <f>IFERROR(VLOOKUP($B14, duel!$DR:$DS, 2, FALSE), 0)</f>
        <v>914</v>
      </c>
      <c r="CX14" t="str">
        <f>IFERROR(VLOOKUP($B14, blitz!$DR:$DS, 2, FALSE), 0)</f>
        <v>914</v>
      </c>
      <c r="CY14" t="b">
        <f t="shared" si="25"/>
        <v>1</v>
      </c>
    </row>
    <row r="15" spans="1:103">
      <c r="A15" t="s">
        <v>1733</v>
      </c>
      <c r="B15" s="6" t="s">
        <v>26</v>
      </c>
      <c r="C15" s="5" t="b">
        <f t="shared" si="0"/>
        <v>0</v>
      </c>
      <c r="D15" t="str">
        <f>IFERROR(VLOOKUP($B15, aegis!$B:$C, 2, FALSE), 0)</f>
        <v>240</v>
      </c>
      <c r="E15" t="str">
        <f>IFERROR(VLOOKUP($B15, duel!$B:$C, 2, FALSE), 0)</f>
        <v>240</v>
      </c>
      <c r="F15" t="str">
        <f>IFERROR(VLOOKUP($B15, blitz!$B:$C, 2, FALSE), 0)</f>
        <v>240</v>
      </c>
      <c r="G15" t="b">
        <f t="shared" si="1"/>
        <v>1</v>
      </c>
      <c r="H15" t="str">
        <f>IFERROR(VLOOKUP($B15, aegis!$G:$H, 2, FALSE), 0)</f>
        <v>140</v>
      </c>
      <c r="I15" t="str">
        <f>IFERROR(VLOOKUP($B15, duel!$G:$H, 2, FALSE), 0)</f>
        <v>140</v>
      </c>
      <c r="J15" t="str">
        <f>IFERROR(VLOOKUP($B15, blitz!$G:$H, 2, FALSE), 0)</f>
        <v>140</v>
      </c>
      <c r="K15" t="b">
        <f t="shared" si="2"/>
        <v>1</v>
      </c>
      <c r="L15" t="str">
        <f>IFERROR(VLOOKUP($B15, aegis!$L:$M, 2, FALSE), 0)</f>
        <v>240</v>
      </c>
      <c r="M15" t="str">
        <f>IFERROR(VLOOKUP($B15, duel!$L:$M, 2, FALSE), 0)</f>
        <v>240</v>
      </c>
      <c r="N15" t="str">
        <f>IFERROR(VLOOKUP($B15, blitz!$L:$M, 2, FALSE), 0)</f>
        <v>240</v>
      </c>
      <c r="O15" t="b">
        <f t="shared" si="3"/>
        <v>1</v>
      </c>
      <c r="P15" t="str">
        <f>IFERROR(VLOOKUP($B15, aegis!$Q:$R, 2, FALSE), 0)</f>
        <v>140</v>
      </c>
      <c r="Q15" t="str">
        <f>IFERROR(VLOOKUP($B15, duel!$Q:$R, 2, FALSE), 0)</f>
        <v>140</v>
      </c>
      <c r="R15" t="str">
        <f>IFERROR(VLOOKUP($B15, blitz!$Q:$R, 2, FALSE), 0)</f>
        <v>140</v>
      </c>
      <c r="S15" t="b">
        <f t="shared" si="4"/>
        <v>1</v>
      </c>
      <c r="T15" t="str">
        <f>IFERROR(VLOOKUP($B15, aegis!$V:$W, 2, FALSE), 0)</f>
        <v>13</v>
      </c>
      <c r="U15" t="str">
        <f>IFERROR(VLOOKUP($B15, duel!$V:$W, 2, FALSE), 0)</f>
        <v>13</v>
      </c>
      <c r="V15" t="str">
        <f>IFERROR(VLOOKUP($B15, blitz!$V:$W, 2, FALSE), 0)</f>
        <v>13</v>
      </c>
      <c r="W15" t="b">
        <f t="shared" si="5"/>
        <v>1</v>
      </c>
      <c r="X15" t="str">
        <f>IFERROR(VLOOKUP($B15, aegis!$AA:$AB, 2, FALSE), 0)</f>
        <v>20</v>
      </c>
      <c r="Y15" t="str">
        <f>IFERROR(VLOOKUP($B15, duel!$AA:$AB, 2, FALSE), 0)</f>
        <v>39</v>
      </c>
      <c r="Z15" t="str">
        <f>IFERROR(VLOOKUP($B15, blitz!$AA:$AB, 2, FALSE), 0)</f>
        <v>20</v>
      </c>
      <c r="AA15" t="b">
        <f t="shared" si="6"/>
        <v>0</v>
      </c>
      <c r="AB15" t="str">
        <f>IFERROR(VLOOKUP($B15, aegis!$AF:$AG, 2, FALSE), 0)</f>
        <v>16</v>
      </c>
      <c r="AC15" t="str">
        <f>IFERROR(VLOOKUP($B15, duel!$AF:$AG, 2, FALSE), 0)</f>
        <v>16</v>
      </c>
      <c r="AD15" t="str">
        <f>IFERROR(VLOOKUP($B15, blitz!$AF:$AG, 2, FALSE), 0)</f>
        <v>16</v>
      </c>
      <c r="AE15" t="b">
        <f t="shared" si="7"/>
        <v>1</v>
      </c>
      <c r="AF15" t="str">
        <f>IFERROR(VLOOKUP($B15, aegis!$AK:$AL, 2, FALSE), 0)</f>
        <v>21</v>
      </c>
      <c r="AG15" t="str">
        <f>IFERROR(VLOOKUP($B15, duel!$AK:$AL, 2, FALSE), 0)</f>
        <v>1</v>
      </c>
      <c r="AH15" t="str">
        <f>IFERROR(VLOOKUP($B15, blitz!$AK:$AL, 2, FALSE), 0)</f>
        <v>1</v>
      </c>
      <c r="AI15" t="b">
        <f t="shared" si="8"/>
        <v>0</v>
      </c>
      <c r="AJ15" t="str">
        <f>IFERROR(VLOOKUP($B15, aegis!$AP:$AQ, 2, FALSE), 0)</f>
        <v>20</v>
      </c>
      <c r="AK15" t="str">
        <f>IFERROR(VLOOKUP($B15, duel!$AP:$AQ, 2, FALSE), 0)</f>
        <v>20</v>
      </c>
      <c r="AL15" t="str">
        <f>IFERROR(VLOOKUP($B15, blitz!$AP:$AQ, 2, FALSE), 0)</f>
        <v>20</v>
      </c>
      <c r="AM15" t="b">
        <f t="shared" si="9"/>
        <v>1</v>
      </c>
      <c r="AN15">
        <f>IFERROR(VLOOKUP($B15, aegis!$AU:$AV, 2, FALSE), 0)</f>
        <v>0</v>
      </c>
      <c r="AO15">
        <f>IFERROR(VLOOKUP($B15, duel!$AU:$AV, 2, FALSE), 0)</f>
        <v>0</v>
      </c>
      <c r="AP15">
        <f>IFERROR(VLOOKUP($B15, blitz!$AU:$AV, 2, FALSE), 0)</f>
        <v>0</v>
      </c>
      <c r="AQ15" t="b">
        <f t="shared" si="10"/>
        <v>1</v>
      </c>
      <c r="AR15" t="str">
        <f>IFERROR(VLOOKUP($B15, aegis!$AZ:$BA, 2, FALSE), 0)</f>
        <v>20</v>
      </c>
      <c r="AS15" t="str">
        <f>IFERROR(VLOOKUP($B15, duel!$AZ:$BA, 2, FALSE), 0)</f>
        <v>20</v>
      </c>
      <c r="AT15" t="str">
        <f>IFERROR(VLOOKUP($B15, blitz!$AZ:$BA, 2, FALSE), 0)</f>
        <v>20</v>
      </c>
      <c r="AU15" t="b">
        <f t="shared" si="11"/>
        <v>1</v>
      </c>
      <c r="AV15" t="str">
        <f>IFERROR(VLOOKUP($B15, aegis!$BE:$BF, 2, FALSE), 0)</f>
        <v>20</v>
      </c>
      <c r="AW15" t="str">
        <f>IFERROR(VLOOKUP($B15, duel!$BE:$BF, 2, FALSE), 0)</f>
        <v>20</v>
      </c>
      <c r="AX15" t="str">
        <f>IFERROR(VLOOKUP($B15, blitz!$BE:$BF, 2, FALSE), 0)</f>
        <v>20</v>
      </c>
      <c r="AY15" t="b">
        <f t="shared" si="12"/>
        <v>1</v>
      </c>
      <c r="AZ15" t="str">
        <f>IFERROR(VLOOKUP($B15, aegis!$BJ:$BK, 2, FALSE), 0)</f>
        <v>1</v>
      </c>
      <c r="BA15" t="str">
        <f>IFERROR(VLOOKUP($B15, duel!$BJ:$BK, 2, FALSE), 0)</f>
        <v>1</v>
      </c>
      <c r="BB15" t="str">
        <f>IFERROR(VLOOKUP($B15, blitz!$BJ:$BK, 2, FALSE), 0)</f>
        <v>1</v>
      </c>
      <c r="BC15" t="b">
        <f t="shared" si="13"/>
        <v>1</v>
      </c>
      <c r="BD15">
        <f>IFERROR(VLOOKUP($B15, aegis!$BO:$BP, 2, FALSE), 0)</f>
        <v>0</v>
      </c>
      <c r="BE15">
        <f>IFERROR(VLOOKUP($B15, duel!$BO:$BP, 2, FALSE), 0)</f>
        <v>0</v>
      </c>
      <c r="BF15">
        <f>IFERROR(VLOOKUP($B15, blitz!$BO:$BP, 2, FALSE), 0)</f>
        <v>0</v>
      </c>
      <c r="BG15" t="b">
        <f t="shared" si="14"/>
        <v>1</v>
      </c>
      <c r="BH15" t="str">
        <f>IFERROR(VLOOKUP($B15, aegis!$BT:$BU, 2, FALSE), 0)</f>
        <v>18</v>
      </c>
      <c r="BI15" t="str">
        <f>IFERROR(VLOOKUP($B15, duel!$BT:$BU, 2, FALSE), 0)</f>
        <v>18</v>
      </c>
      <c r="BJ15" t="str">
        <f>IFERROR(VLOOKUP($B15, blitz!$BT:$BU, 2, FALSE), 0)</f>
        <v>18</v>
      </c>
      <c r="BK15" t="b">
        <f t="shared" si="15"/>
        <v>1</v>
      </c>
      <c r="BL15" t="str">
        <f>IFERROR(VLOOKUP($B15, aegis!$BY:$BZ, 2, FALSE), 0)</f>
        <v>1</v>
      </c>
      <c r="BM15" t="str">
        <f>IFERROR(VLOOKUP($B15, duel!$BY:$BZ, 2, FALSE), 0)</f>
        <v>1</v>
      </c>
      <c r="BN15" t="str">
        <f>IFERROR(VLOOKUP($B15, blitz!$BY:$BZ, 2, FALSE), 0)</f>
        <v>1</v>
      </c>
      <c r="BO15" t="b">
        <f t="shared" si="16"/>
        <v>1</v>
      </c>
      <c r="BP15" t="str">
        <f>IFERROR(VLOOKUP($B15, aegis!$CD:$CE, 2, FALSE), 0)</f>
        <v>64</v>
      </c>
      <c r="BQ15" t="str">
        <f>IFERROR(VLOOKUP($B15, duel!$CD:$CE, 2, FALSE), 0)</f>
        <v>64</v>
      </c>
      <c r="BR15" t="str">
        <f>IFERROR(VLOOKUP($B15, blitz!$CD:$CE, 2, FALSE), 0)</f>
        <v>64</v>
      </c>
      <c r="BS15" t="b">
        <f t="shared" si="17"/>
        <v>1</v>
      </c>
      <c r="BT15">
        <f>IFERROR(VLOOKUP($B15, aegis!$CI:$CJ, 2, FALSE), 0)</f>
        <v>0</v>
      </c>
      <c r="BU15">
        <f>IFERROR(VLOOKUP($B15, duel!$CI:$CJ, 2, FALSE), 0)</f>
        <v>0</v>
      </c>
      <c r="BV15">
        <f>IFERROR(VLOOKUP($B15, blitz!$CI:$CJ, 2, FALSE), 0)</f>
        <v>0</v>
      </c>
      <c r="BW15" t="b">
        <f t="shared" si="18"/>
        <v>1</v>
      </c>
      <c r="BX15">
        <f>IFERROR(VLOOKUP($B15, aegis!$CN:$CO, 2, FALSE), 0)</f>
        <v>0</v>
      </c>
      <c r="BY15">
        <f>IFERROR(VLOOKUP($B15, duel!$CN:$CO, 2, FALSE), 0)</f>
        <v>0</v>
      </c>
      <c r="BZ15">
        <f>IFERROR(VLOOKUP($B15, blitz!$CN:$CO, 2, FALSE), 0)</f>
        <v>0</v>
      </c>
      <c r="CA15" t="b">
        <f t="shared" si="19"/>
        <v>1</v>
      </c>
      <c r="CB15">
        <f>IFERROR(VLOOKUP($B15, aegis!$CS:$CT, 2, FALSE), 0)</f>
        <v>0</v>
      </c>
      <c r="CC15">
        <f>IFERROR(VLOOKUP($B15, duel!$CS:$CT, 2, FALSE), 0)</f>
        <v>0</v>
      </c>
      <c r="CD15">
        <f>IFERROR(VLOOKUP($B15, blitz!$CS:$CT, 2, FALSE), 0)</f>
        <v>0</v>
      </c>
      <c r="CE15" t="b">
        <f t="shared" si="20"/>
        <v>1</v>
      </c>
      <c r="CF15" t="str">
        <f>IFERROR(VLOOKUP($B15, aegis!$CX:$CY, 2, FALSE), 0)</f>
        <v>1</v>
      </c>
      <c r="CG15" t="str">
        <f>IFERROR(VLOOKUP($B15, duel!$CX:$CY, 2, FALSE), 0)</f>
        <v>1</v>
      </c>
      <c r="CH15">
        <f>IFERROR(VLOOKUP($B15, blitz!$CX:$CY, 2, FALSE), 0)</f>
        <v>0</v>
      </c>
      <c r="CI15" t="b">
        <f t="shared" si="21"/>
        <v>0</v>
      </c>
      <c r="CJ15" t="str">
        <f>IFERROR(VLOOKUP($B15, aegis!$DC:$DD, 2, FALSE), 0)</f>
        <v>2</v>
      </c>
      <c r="CK15" t="str">
        <f>IFERROR(VLOOKUP($B15, duel!$DC:$DD, 2, FALSE), 0)</f>
        <v>2</v>
      </c>
      <c r="CL15" t="str">
        <f>IFERROR(VLOOKUP($B15, blitz!$DC:$DD, 2, FALSE), 0)</f>
        <v>2</v>
      </c>
      <c r="CM15" t="b">
        <f t="shared" si="22"/>
        <v>1</v>
      </c>
      <c r="CN15" t="str">
        <f>IFERROR(VLOOKUP($B15, aegis!$DH:$DI, 2, FALSE), 0)</f>
        <v>19</v>
      </c>
      <c r="CO15" t="str">
        <f>IFERROR(VLOOKUP($B15, duel!$DH:$DI, 2, FALSE), 0)</f>
        <v>18</v>
      </c>
      <c r="CP15" s="13">
        <f>IFERROR(VLOOKUP($B15, blitz!$DH:$DI, 2, FALSE), 0)</f>
        <v>0</v>
      </c>
      <c r="CQ15" t="b">
        <f t="shared" si="23"/>
        <v>0</v>
      </c>
      <c r="CR15" t="str">
        <f>IFERROR(VLOOKUP($B15, aegis!$DM:$DN, 2, FALSE), 0)</f>
        <v>10</v>
      </c>
      <c r="CS15" t="str">
        <f>IFERROR(VLOOKUP($B15, duel!$DM:$DN, 2, FALSE), 0)</f>
        <v>9</v>
      </c>
      <c r="CT15" t="str">
        <f>IFERROR(VLOOKUP($B15, blitz!$DM:$DN, 2, FALSE), 0)</f>
        <v>10</v>
      </c>
      <c r="CU15" t="b">
        <f t="shared" si="24"/>
        <v>0</v>
      </c>
      <c r="CV15" t="str">
        <f>IFERROR(VLOOKUP($B15, aegis!$DR:$DS, 2, FALSE), 0)</f>
        <v>16</v>
      </c>
      <c r="CW15" t="str">
        <f>IFERROR(VLOOKUP($B15, duel!$DR:$DS, 2, FALSE), 0)</f>
        <v>16</v>
      </c>
      <c r="CX15" t="str">
        <f>IFERROR(VLOOKUP($B15, blitz!$DR:$DS, 2, FALSE), 0)</f>
        <v>16</v>
      </c>
      <c r="CY15" t="b">
        <f t="shared" si="25"/>
        <v>1</v>
      </c>
    </row>
    <row r="16" spans="1:103">
      <c r="B16" s="6" t="s">
        <v>28</v>
      </c>
      <c r="C16" s="5" t="b">
        <f t="shared" si="0"/>
        <v>0</v>
      </c>
      <c r="D16" t="str">
        <f>IFERROR(VLOOKUP($B16, aegis!$B:$C, 2, FALSE), 0)</f>
        <v>48</v>
      </c>
      <c r="E16" t="str">
        <f>IFERROR(VLOOKUP($B16, duel!$B:$C, 2, FALSE), 0)</f>
        <v>48</v>
      </c>
      <c r="F16" t="str">
        <f>IFERROR(VLOOKUP($B16, blitz!$B:$C, 2, FALSE), 0)</f>
        <v>48</v>
      </c>
      <c r="G16" t="b">
        <f t="shared" si="1"/>
        <v>1</v>
      </c>
      <c r="H16" t="str">
        <f>IFERROR(VLOOKUP($B16, aegis!$G:$H, 2, FALSE), 0)</f>
        <v>28</v>
      </c>
      <c r="I16" t="str">
        <f>IFERROR(VLOOKUP($B16, duel!$G:$H, 2, FALSE), 0)</f>
        <v>28</v>
      </c>
      <c r="J16" t="str">
        <f>IFERROR(VLOOKUP($B16, blitz!$G:$H, 2, FALSE), 0)</f>
        <v>28</v>
      </c>
      <c r="K16" t="b">
        <f t="shared" si="2"/>
        <v>1</v>
      </c>
      <c r="L16" t="str">
        <f>IFERROR(VLOOKUP($B16, aegis!$L:$M, 2, FALSE), 0)</f>
        <v>48</v>
      </c>
      <c r="M16" t="str">
        <f>IFERROR(VLOOKUP($B16, duel!$L:$M, 2, FALSE), 0)</f>
        <v>48</v>
      </c>
      <c r="N16" t="str">
        <f>IFERROR(VLOOKUP($B16, blitz!$L:$M, 2, FALSE), 0)</f>
        <v>48</v>
      </c>
      <c r="O16" t="b">
        <f t="shared" si="3"/>
        <v>1</v>
      </c>
      <c r="P16" t="str">
        <f>IFERROR(VLOOKUP($B16, aegis!$Q:$R, 2, FALSE), 0)</f>
        <v>28</v>
      </c>
      <c r="Q16" t="str">
        <f>IFERROR(VLOOKUP($B16, duel!$Q:$R, 2, FALSE), 0)</f>
        <v>28</v>
      </c>
      <c r="R16" t="str">
        <f>IFERROR(VLOOKUP($B16, blitz!$Q:$R, 2, FALSE), 0)</f>
        <v>28</v>
      </c>
      <c r="S16" t="b">
        <f t="shared" si="4"/>
        <v>1</v>
      </c>
      <c r="T16" t="str">
        <f>IFERROR(VLOOKUP($B16, aegis!$V:$W, 2, FALSE), 0)</f>
        <v>794</v>
      </c>
      <c r="U16" t="str">
        <f>IFERROR(VLOOKUP($B16, duel!$V:$W, 2, FALSE), 0)</f>
        <v>794</v>
      </c>
      <c r="V16" t="str">
        <f>IFERROR(VLOOKUP($B16, blitz!$V:$W, 2, FALSE), 0)</f>
        <v>794</v>
      </c>
      <c r="W16" t="b">
        <f t="shared" si="5"/>
        <v>1</v>
      </c>
      <c r="X16" t="str">
        <f>IFERROR(VLOOKUP($B16, aegis!$AA:$AB, 2, FALSE), 0)</f>
        <v>4</v>
      </c>
      <c r="Y16" t="str">
        <f>IFERROR(VLOOKUP($B16, duel!$AA:$AB, 2, FALSE), 0)</f>
        <v>8</v>
      </c>
      <c r="Z16" t="str">
        <f>IFERROR(VLOOKUP($B16, blitz!$AA:$AB, 2, FALSE), 0)</f>
        <v>4</v>
      </c>
      <c r="AA16" t="b">
        <f t="shared" si="6"/>
        <v>0</v>
      </c>
      <c r="AB16" t="str">
        <f>IFERROR(VLOOKUP($B16, aegis!$AF:$AG, 2, FALSE), 0)</f>
        <v>794</v>
      </c>
      <c r="AC16" t="str">
        <f>IFERROR(VLOOKUP($B16, duel!$AF:$AG, 2, FALSE), 0)</f>
        <v>794</v>
      </c>
      <c r="AD16" t="str">
        <f>IFERROR(VLOOKUP($B16, blitz!$AF:$AG, 2, FALSE), 0)</f>
        <v>794</v>
      </c>
      <c r="AE16" t="b">
        <f t="shared" si="7"/>
        <v>1</v>
      </c>
      <c r="AF16" t="str">
        <f>IFERROR(VLOOKUP($B16, aegis!$AK:$AL, 2, FALSE), 0)</f>
        <v>5</v>
      </c>
      <c r="AG16" t="str">
        <f>IFERROR(VLOOKUP($B16, duel!$AK:$AL, 2, FALSE), 0)</f>
        <v>1</v>
      </c>
      <c r="AH16" t="str">
        <f>IFERROR(VLOOKUP($B16, blitz!$AK:$AL, 2, FALSE), 0)</f>
        <v>1</v>
      </c>
      <c r="AI16" t="b">
        <f t="shared" si="8"/>
        <v>0</v>
      </c>
      <c r="AJ16" t="str">
        <f>IFERROR(VLOOKUP($B16, aegis!$AP:$AQ, 2, FALSE), 0)</f>
        <v>3</v>
      </c>
      <c r="AK16" t="str">
        <f>IFERROR(VLOOKUP($B16, duel!$AP:$AQ, 2, FALSE), 0)</f>
        <v>3</v>
      </c>
      <c r="AL16" t="str">
        <f>IFERROR(VLOOKUP($B16, blitz!$AP:$AQ, 2, FALSE), 0)</f>
        <v>3</v>
      </c>
      <c r="AM16" t="b">
        <f t="shared" si="9"/>
        <v>1</v>
      </c>
      <c r="AN16">
        <f>IFERROR(VLOOKUP($B16, aegis!$AU:$AV, 2, FALSE), 0)</f>
        <v>0</v>
      </c>
      <c r="AO16">
        <f>IFERROR(VLOOKUP($B16, duel!$AU:$AV, 2, FALSE), 0)</f>
        <v>0</v>
      </c>
      <c r="AP16">
        <f>IFERROR(VLOOKUP($B16, blitz!$AU:$AV, 2, FALSE), 0)</f>
        <v>0</v>
      </c>
      <c r="AQ16" t="b">
        <f t="shared" si="10"/>
        <v>1</v>
      </c>
      <c r="AR16" t="str">
        <f>IFERROR(VLOOKUP($B16, aegis!$AZ:$BA, 2, FALSE), 0)</f>
        <v>4</v>
      </c>
      <c r="AS16" t="str">
        <f>IFERROR(VLOOKUP($B16, duel!$AZ:$BA, 2, FALSE), 0)</f>
        <v>4</v>
      </c>
      <c r="AT16" t="str">
        <f>IFERROR(VLOOKUP($B16, blitz!$AZ:$BA, 2, FALSE), 0)</f>
        <v>4</v>
      </c>
      <c r="AU16" t="b">
        <f t="shared" si="11"/>
        <v>1</v>
      </c>
      <c r="AV16" t="str">
        <f>IFERROR(VLOOKUP($B16, aegis!$BE:$BF, 2, FALSE), 0)</f>
        <v>3</v>
      </c>
      <c r="AW16" t="str">
        <f>IFERROR(VLOOKUP($B16, duel!$BE:$BF, 2, FALSE), 0)</f>
        <v>3</v>
      </c>
      <c r="AX16" t="str">
        <f>IFERROR(VLOOKUP($B16, blitz!$BE:$BF, 2, FALSE), 0)</f>
        <v>3</v>
      </c>
      <c r="AY16" t="b">
        <f t="shared" si="12"/>
        <v>1</v>
      </c>
      <c r="AZ16" t="str">
        <f>IFERROR(VLOOKUP($B16, aegis!$BJ:$BK, 2, FALSE), 0)</f>
        <v>1</v>
      </c>
      <c r="BA16" t="str">
        <f>IFERROR(VLOOKUP($B16, duel!$BJ:$BK, 2, FALSE), 0)</f>
        <v>1</v>
      </c>
      <c r="BB16" t="str">
        <f>IFERROR(VLOOKUP($B16, blitz!$BJ:$BK, 2, FALSE), 0)</f>
        <v>1</v>
      </c>
      <c r="BC16" t="b">
        <f t="shared" si="13"/>
        <v>1</v>
      </c>
      <c r="BD16">
        <f>IFERROR(VLOOKUP($B16, aegis!$BO:$BP, 2, FALSE), 0)</f>
        <v>0</v>
      </c>
      <c r="BE16">
        <f>IFERROR(VLOOKUP($B16, duel!$BO:$BP, 2, FALSE), 0)</f>
        <v>0</v>
      </c>
      <c r="BF16">
        <f>IFERROR(VLOOKUP($B16, blitz!$BO:$BP, 2, FALSE), 0)</f>
        <v>0</v>
      </c>
      <c r="BG16" t="b">
        <f t="shared" si="14"/>
        <v>1</v>
      </c>
      <c r="BH16" t="str">
        <f>IFERROR(VLOOKUP($B16, aegis!$BT:$BU, 2, FALSE), 0)</f>
        <v>319</v>
      </c>
      <c r="BI16" t="str">
        <f>IFERROR(VLOOKUP($B16, duel!$BT:$BU, 2, FALSE), 0)</f>
        <v>319</v>
      </c>
      <c r="BJ16" t="str">
        <f>IFERROR(VLOOKUP($B16, blitz!$BT:$BU, 2, FALSE), 0)</f>
        <v>319</v>
      </c>
      <c r="BK16" t="b">
        <f t="shared" si="15"/>
        <v>1</v>
      </c>
      <c r="BL16" t="str">
        <f>IFERROR(VLOOKUP($B16, aegis!$BY:$BZ, 2, FALSE), 0)</f>
        <v>3</v>
      </c>
      <c r="BM16" t="str">
        <f>IFERROR(VLOOKUP($B16, duel!$BY:$BZ, 2, FALSE), 0)</f>
        <v>3</v>
      </c>
      <c r="BN16" t="str">
        <f>IFERROR(VLOOKUP($B16, blitz!$BY:$BZ, 2, FALSE), 0)</f>
        <v>3</v>
      </c>
      <c r="BO16" t="b">
        <f t="shared" si="16"/>
        <v>1</v>
      </c>
      <c r="BP16" t="str">
        <f>IFERROR(VLOOKUP($B16, aegis!$CD:$CE, 2, FALSE), 0)</f>
        <v>45</v>
      </c>
      <c r="BQ16" t="str">
        <f>IFERROR(VLOOKUP($B16, duel!$CD:$CE, 2, FALSE), 0)</f>
        <v>45</v>
      </c>
      <c r="BR16" t="str">
        <f>IFERROR(VLOOKUP($B16, blitz!$CD:$CE, 2, FALSE), 0)</f>
        <v>45</v>
      </c>
      <c r="BS16" t="b">
        <f t="shared" si="17"/>
        <v>1</v>
      </c>
      <c r="BT16" t="str">
        <f>IFERROR(VLOOKUP($B16, aegis!$CI:$CJ, 2, FALSE), 0)</f>
        <v>1</v>
      </c>
      <c r="BU16" t="str">
        <f>IFERROR(VLOOKUP($B16, duel!$CI:$CJ, 2, FALSE), 0)</f>
        <v>1</v>
      </c>
      <c r="BV16" t="str">
        <f>IFERROR(VLOOKUP($B16, blitz!$CI:$CJ, 2, FALSE), 0)</f>
        <v>1</v>
      </c>
      <c r="BW16" t="b">
        <f t="shared" si="18"/>
        <v>1</v>
      </c>
      <c r="BX16" t="str">
        <f>IFERROR(VLOOKUP($B16, aegis!$CN:$CO, 2, FALSE), 0)</f>
        <v>1</v>
      </c>
      <c r="BY16" t="str">
        <f>IFERROR(VLOOKUP($B16, duel!$CN:$CO, 2, FALSE), 0)</f>
        <v>1</v>
      </c>
      <c r="BZ16" t="str">
        <f>IFERROR(VLOOKUP($B16, blitz!$CN:$CO, 2, FALSE), 0)</f>
        <v>1</v>
      </c>
      <c r="CA16" t="b">
        <f t="shared" si="19"/>
        <v>1</v>
      </c>
      <c r="CB16" t="str">
        <f>IFERROR(VLOOKUP($B16, aegis!$CS:$CT, 2, FALSE), 0)</f>
        <v>4</v>
      </c>
      <c r="CC16" t="str">
        <f>IFERROR(VLOOKUP($B16, duel!$CS:$CT, 2, FALSE), 0)</f>
        <v>4</v>
      </c>
      <c r="CD16" t="str">
        <f>IFERROR(VLOOKUP($B16, blitz!$CS:$CT, 2, FALSE), 0)</f>
        <v>4</v>
      </c>
      <c r="CE16" t="b">
        <f t="shared" si="20"/>
        <v>1</v>
      </c>
      <c r="CF16">
        <f>IFERROR(VLOOKUP($B16, aegis!$CX:$CY, 2, FALSE), 0)</f>
        <v>0</v>
      </c>
      <c r="CG16">
        <f>IFERROR(VLOOKUP($B16, duel!$CX:$CY, 2, FALSE), 0)</f>
        <v>0</v>
      </c>
      <c r="CH16">
        <f>IFERROR(VLOOKUP($B16, blitz!$CX:$CY, 2, FALSE), 0)</f>
        <v>0</v>
      </c>
      <c r="CI16" t="b">
        <f t="shared" si="21"/>
        <v>1</v>
      </c>
      <c r="CJ16" t="str">
        <f>IFERROR(VLOOKUP($B16, aegis!$DC:$DD, 2, FALSE), 0)</f>
        <v>1</v>
      </c>
      <c r="CK16" t="str">
        <f>IFERROR(VLOOKUP($B16, duel!$DC:$DD, 2, FALSE), 0)</f>
        <v>1</v>
      </c>
      <c r="CL16" t="str">
        <f>IFERROR(VLOOKUP($B16, blitz!$DC:$DD, 2, FALSE), 0)</f>
        <v>1</v>
      </c>
      <c r="CM16" t="b">
        <f t="shared" si="22"/>
        <v>1</v>
      </c>
      <c r="CN16" t="str">
        <f>IFERROR(VLOOKUP($B16, aegis!$DH:$DI, 2, FALSE), 0)</f>
        <v>3</v>
      </c>
      <c r="CO16" t="str">
        <f>IFERROR(VLOOKUP($B16, duel!$DH:$DI, 2, FALSE), 0)</f>
        <v>3</v>
      </c>
      <c r="CP16" s="13">
        <f>IFERROR(VLOOKUP($B16, blitz!$DH:$DI, 2, FALSE), 0)</f>
        <v>0</v>
      </c>
      <c r="CQ16" t="b">
        <f t="shared" si="23"/>
        <v>1</v>
      </c>
      <c r="CR16" t="str">
        <f>IFERROR(VLOOKUP($B16, aegis!$DM:$DN, 2, FALSE), 0)</f>
        <v>3</v>
      </c>
      <c r="CS16" t="str">
        <f>IFERROR(VLOOKUP($B16, duel!$DM:$DN, 2, FALSE), 0)</f>
        <v>3</v>
      </c>
      <c r="CT16" t="str">
        <f>IFERROR(VLOOKUP($B16, blitz!$DM:$DN, 2, FALSE), 0)</f>
        <v>3</v>
      </c>
      <c r="CU16" t="b">
        <f t="shared" si="24"/>
        <v>1</v>
      </c>
      <c r="CV16" t="str">
        <f>IFERROR(VLOOKUP($B16, aegis!$DR:$DS, 2, FALSE), 0)</f>
        <v>794</v>
      </c>
      <c r="CW16" t="str">
        <f>IFERROR(VLOOKUP($B16, duel!$DR:$DS, 2, FALSE), 0)</f>
        <v>794</v>
      </c>
      <c r="CX16" t="str">
        <f>IFERROR(VLOOKUP($B16, blitz!$DR:$DS, 2, FALSE), 0)</f>
        <v>794</v>
      </c>
      <c r="CY16" t="b">
        <f t="shared" si="25"/>
        <v>1</v>
      </c>
    </row>
    <row r="17" spans="1:103">
      <c r="A17" t="s">
        <v>1733</v>
      </c>
      <c r="B17" s="6" t="s">
        <v>31</v>
      </c>
      <c r="C17" s="5" t="b">
        <f t="shared" si="0"/>
        <v>0</v>
      </c>
      <c r="D17" t="str">
        <f>IFERROR(VLOOKUP($B17, aegis!$B:$C, 2, FALSE), 0)</f>
        <v>24</v>
      </c>
      <c r="E17" t="str">
        <f>IFERROR(VLOOKUP($B17, duel!$B:$C, 2, FALSE), 0)</f>
        <v>24</v>
      </c>
      <c r="F17" t="str">
        <f>IFERROR(VLOOKUP($B17, blitz!$B:$C, 2, FALSE), 0)</f>
        <v>24</v>
      </c>
      <c r="G17" t="b">
        <f t="shared" si="1"/>
        <v>1</v>
      </c>
      <c r="H17" t="str">
        <f>IFERROR(VLOOKUP($B17, aegis!$G:$H, 2, FALSE), 0)</f>
        <v>14</v>
      </c>
      <c r="I17" t="str">
        <f>IFERROR(VLOOKUP($B17, duel!$G:$H, 2, FALSE), 0)</f>
        <v>14</v>
      </c>
      <c r="J17" t="str">
        <f>IFERROR(VLOOKUP($B17, blitz!$G:$H, 2, FALSE), 0)</f>
        <v>14</v>
      </c>
      <c r="K17" t="b">
        <f t="shared" si="2"/>
        <v>1</v>
      </c>
      <c r="L17" t="str">
        <f>IFERROR(VLOOKUP($B17, aegis!$L:$M, 2, FALSE), 0)</f>
        <v>24</v>
      </c>
      <c r="M17" t="str">
        <f>IFERROR(VLOOKUP($B17, duel!$L:$M, 2, FALSE), 0)</f>
        <v>24</v>
      </c>
      <c r="N17" t="str">
        <f>IFERROR(VLOOKUP($B17, blitz!$L:$M, 2, FALSE), 0)</f>
        <v>24</v>
      </c>
      <c r="O17" t="b">
        <f t="shared" si="3"/>
        <v>1</v>
      </c>
      <c r="P17" t="str">
        <f>IFERROR(VLOOKUP($B17, aegis!$Q:$R, 2, FALSE), 0)</f>
        <v>14</v>
      </c>
      <c r="Q17" t="str">
        <f>IFERROR(VLOOKUP($B17, duel!$Q:$R, 2, FALSE), 0)</f>
        <v>14</v>
      </c>
      <c r="R17" t="str">
        <f>IFERROR(VLOOKUP($B17, blitz!$Q:$R, 2, FALSE), 0)</f>
        <v>14</v>
      </c>
      <c r="S17" t="b">
        <f t="shared" si="4"/>
        <v>1</v>
      </c>
      <c r="T17">
        <f>IFERROR(VLOOKUP($B17, aegis!$V:$W, 2, FALSE), 0)</f>
        <v>0</v>
      </c>
      <c r="U17">
        <f>IFERROR(VLOOKUP($B17, duel!$V:$W, 2, FALSE), 0)</f>
        <v>0</v>
      </c>
      <c r="V17">
        <f>IFERROR(VLOOKUP($B17, blitz!$V:$W, 2, FALSE), 0)</f>
        <v>0</v>
      </c>
      <c r="W17" t="b">
        <f t="shared" si="5"/>
        <v>1</v>
      </c>
      <c r="X17" t="str">
        <f>IFERROR(VLOOKUP($B17, aegis!$AA:$AB, 2, FALSE), 0)</f>
        <v>2</v>
      </c>
      <c r="Y17" t="str">
        <f>IFERROR(VLOOKUP($B17, duel!$AA:$AB, 2, FALSE), 0)</f>
        <v>2</v>
      </c>
      <c r="Z17" t="str">
        <f>IFERROR(VLOOKUP($B17, blitz!$AA:$AB, 2, FALSE), 0)</f>
        <v>2</v>
      </c>
      <c r="AA17" t="b">
        <f t="shared" si="6"/>
        <v>1</v>
      </c>
      <c r="AB17" t="str">
        <f>IFERROR(VLOOKUP($B17, aegis!$AF:$AG, 2, FALSE), 0)</f>
        <v>56</v>
      </c>
      <c r="AC17" t="str">
        <f>IFERROR(VLOOKUP($B17, duel!$AF:$AG, 2, FALSE), 0)</f>
        <v>56</v>
      </c>
      <c r="AD17" t="str">
        <f>IFERROR(VLOOKUP($B17, blitz!$AF:$AG, 2, FALSE), 0)</f>
        <v>56</v>
      </c>
      <c r="AE17" t="b">
        <f t="shared" si="7"/>
        <v>1</v>
      </c>
      <c r="AF17" t="str">
        <f>IFERROR(VLOOKUP($B17, aegis!$AK:$AL, 2, FALSE), 0)</f>
        <v>3</v>
      </c>
      <c r="AG17" t="str">
        <f>IFERROR(VLOOKUP($B17, duel!$AK:$AL, 2, FALSE), 0)</f>
        <v>1</v>
      </c>
      <c r="AH17" t="str">
        <f>IFERROR(VLOOKUP($B17, blitz!$AK:$AL, 2, FALSE), 0)</f>
        <v>1</v>
      </c>
      <c r="AI17" t="b">
        <f t="shared" si="8"/>
        <v>0</v>
      </c>
      <c r="AJ17" t="str">
        <f>IFERROR(VLOOKUP($B17, aegis!$AP:$AQ, 2, FALSE), 0)</f>
        <v>1</v>
      </c>
      <c r="AK17" t="str">
        <f>IFERROR(VLOOKUP($B17, duel!$AP:$AQ, 2, FALSE), 0)</f>
        <v>1</v>
      </c>
      <c r="AL17" t="str">
        <f>IFERROR(VLOOKUP($B17, blitz!$AP:$AQ, 2, FALSE), 0)</f>
        <v>1</v>
      </c>
      <c r="AM17" t="b">
        <f t="shared" si="9"/>
        <v>1</v>
      </c>
      <c r="AN17">
        <f>IFERROR(VLOOKUP($B17, aegis!$AU:$AV, 2, FALSE), 0)</f>
        <v>0</v>
      </c>
      <c r="AO17">
        <f>IFERROR(VLOOKUP($B17, duel!$AU:$AV, 2, FALSE), 0)</f>
        <v>0</v>
      </c>
      <c r="AP17">
        <f>IFERROR(VLOOKUP($B17, blitz!$AU:$AV, 2, FALSE), 0)</f>
        <v>0</v>
      </c>
      <c r="AQ17" t="b">
        <f t="shared" si="10"/>
        <v>1</v>
      </c>
      <c r="AR17" t="str">
        <f>IFERROR(VLOOKUP($B17, aegis!$AZ:$BA, 2, FALSE), 0)</f>
        <v>2</v>
      </c>
      <c r="AS17" t="str">
        <f>IFERROR(VLOOKUP($B17, duel!$AZ:$BA, 2, FALSE), 0)</f>
        <v>2</v>
      </c>
      <c r="AT17" t="str">
        <f>IFERROR(VLOOKUP($B17, blitz!$AZ:$BA, 2, FALSE), 0)</f>
        <v>2</v>
      </c>
      <c r="AU17" t="b">
        <f t="shared" si="11"/>
        <v>1</v>
      </c>
      <c r="AV17" t="str">
        <f>IFERROR(VLOOKUP($B17, aegis!$BE:$BF, 2, FALSE), 0)</f>
        <v>1</v>
      </c>
      <c r="AW17" t="str">
        <f>IFERROR(VLOOKUP($B17, duel!$BE:$BF, 2, FALSE), 0)</f>
        <v>1</v>
      </c>
      <c r="AX17" t="str">
        <f>IFERROR(VLOOKUP($B17, blitz!$BE:$BF, 2, FALSE), 0)</f>
        <v>1</v>
      </c>
      <c r="AY17" t="b">
        <f t="shared" si="12"/>
        <v>1</v>
      </c>
      <c r="AZ17" t="str">
        <f>IFERROR(VLOOKUP($B17, aegis!$BJ:$BK, 2, FALSE), 0)</f>
        <v>1</v>
      </c>
      <c r="BA17" t="str">
        <f>IFERROR(VLOOKUP($B17, duel!$BJ:$BK, 2, FALSE), 0)</f>
        <v>1</v>
      </c>
      <c r="BB17" t="str">
        <f>IFERROR(VLOOKUP($B17, blitz!$BJ:$BK, 2, FALSE), 0)</f>
        <v>1</v>
      </c>
      <c r="BC17" t="b">
        <f t="shared" si="13"/>
        <v>1</v>
      </c>
      <c r="BD17">
        <f>IFERROR(VLOOKUP($B17, aegis!$BO:$BP, 2, FALSE), 0)</f>
        <v>0</v>
      </c>
      <c r="BE17">
        <f>IFERROR(VLOOKUP($B17, duel!$BO:$BP, 2, FALSE), 0)</f>
        <v>0</v>
      </c>
      <c r="BF17">
        <f>IFERROR(VLOOKUP($B17, blitz!$BO:$BP, 2, FALSE), 0)</f>
        <v>0</v>
      </c>
      <c r="BG17" t="b">
        <f t="shared" si="14"/>
        <v>1</v>
      </c>
      <c r="BH17" t="str">
        <f>IFERROR(VLOOKUP($B17, aegis!$BT:$BU, 2, FALSE), 0)</f>
        <v>3</v>
      </c>
      <c r="BI17" t="str">
        <f>IFERROR(VLOOKUP($B17, duel!$BT:$BU, 2, FALSE), 0)</f>
        <v>3</v>
      </c>
      <c r="BJ17" t="str">
        <f>IFERROR(VLOOKUP($B17, blitz!$BT:$BU, 2, FALSE), 0)</f>
        <v>3</v>
      </c>
      <c r="BK17" t="b">
        <f t="shared" si="15"/>
        <v>1</v>
      </c>
      <c r="BL17" t="str">
        <f>IFERROR(VLOOKUP($B17, aegis!$BY:$BZ, 2, FALSE), 0)</f>
        <v>1</v>
      </c>
      <c r="BM17" t="str">
        <f>IFERROR(VLOOKUP($B17, duel!$BY:$BZ, 2, FALSE), 0)</f>
        <v>1</v>
      </c>
      <c r="BN17" t="str">
        <f>IFERROR(VLOOKUP($B17, blitz!$BY:$BZ, 2, FALSE), 0)</f>
        <v>1</v>
      </c>
      <c r="BO17" t="b">
        <f t="shared" si="16"/>
        <v>1</v>
      </c>
      <c r="BP17" t="str">
        <f>IFERROR(VLOOKUP($B17, aegis!$CD:$CE, 2, FALSE), 0)</f>
        <v>3</v>
      </c>
      <c r="BQ17" t="str">
        <f>IFERROR(VLOOKUP($B17, duel!$CD:$CE, 2, FALSE), 0)</f>
        <v>3</v>
      </c>
      <c r="BR17" t="str">
        <f>IFERROR(VLOOKUP($B17, blitz!$CD:$CE, 2, FALSE), 0)</f>
        <v>3</v>
      </c>
      <c r="BS17" t="b">
        <f t="shared" si="17"/>
        <v>1</v>
      </c>
      <c r="BT17">
        <f>IFERROR(VLOOKUP($B17, aegis!$CI:$CJ, 2, FALSE), 0)</f>
        <v>0</v>
      </c>
      <c r="BU17">
        <f>IFERROR(VLOOKUP($B17, duel!$CI:$CJ, 2, FALSE), 0)</f>
        <v>0</v>
      </c>
      <c r="BV17">
        <f>IFERROR(VLOOKUP($B17, blitz!$CI:$CJ, 2, FALSE), 0)</f>
        <v>0</v>
      </c>
      <c r="BW17" t="b">
        <f t="shared" si="18"/>
        <v>1</v>
      </c>
      <c r="BX17">
        <f>IFERROR(VLOOKUP($B17, aegis!$CN:$CO, 2, FALSE), 0)</f>
        <v>0</v>
      </c>
      <c r="BY17">
        <f>IFERROR(VLOOKUP($B17, duel!$CN:$CO, 2, FALSE), 0)</f>
        <v>0</v>
      </c>
      <c r="BZ17">
        <f>IFERROR(VLOOKUP($B17, blitz!$CN:$CO, 2, FALSE), 0)</f>
        <v>0</v>
      </c>
      <c r="CA17" t="b">
        <f t="shared" si="19"/>
        <v>1</v>
      </c>
      <c r="CB17">
        <f>IFERROR(VLOOKUP($B17, aegis!$CS:$CT, 2, FALSE), 0)</f>
        <v>0</v>
      </c>
      <c r="CC17">
        <f>IFERROR(VLOOKUP($B17, duel!$CS:$CT, 2, FALSE), 0)</f>
        <v>0</v>
      </c>
      <c r="CD17">
        <f>IFERROR(VLOOKUP($B17, blitz!$CS:$CT, 2, FALSE), 0)</f>
        <v>0</v>
      </c>
      <c r="CE17" t="b">
        <f t="shared" si="20"/>
        <v>1</v>
      </c>
      <c r="CF17">
        <f>IFERROR(VLOOKUP($B17, aegis!$CX:$CY, 2, FALSE), 0)</f>
        <v>0</v>
      </c>
      <c r="CG17">
        <f>IFERROR(VLOOKUP($B17, duel!$CX:$CY, 2, FALSE), 0)</f>
        <v>0</v>
      </c>
      <c r="CH17">
        <f>IFERROR(VLOOKUP($B17, blitz!$CX:$CY, 2, FALSE), 0)</f>
        <v>0</v>
      </c>
      <c r="CI17" t="b">
        <f t="shared" si="21"/>
        <v>1</v>
      </c>
      <c r="CJ17" t="str">
        <f>IFERROR(VLOOKUP($B17, aegis!$DC:$DD, 2, FALSE), 0)</f>
        <v>2</v>
      </c>
      <c r="CK17" t="str">
        <f>IFERROR(VLOOKUP($B17, duel!$DC:$DD, 2, FALSE), 0)</f>
        <v>2</v>
      </c>
      <c r="CL17" t="str">
        <f>IFERROR(VLOOKUP($B17, blitz!$DC:$DD, 2, FALSE), 0)</f>
        <v>2</v>
      </c>
      <c r="CM17" t="b">
        <f t="shared" si="22"/>
        <v>1</v>
      </c>
      <c r="CN17" t="str">
        <f>IFERROR(VLOOKUP($B17, aegis!$DH:$DI, 2, FALSE), 0)</f>
        <v>1</v>
      </c>
      <c r="CO17">
        <f>IFERROR(VLOOKUP($B17, duel!$DH:$DI, 2, FALSE), 0)</f>
        <v>0</v>
      </c>
      <c r="CP17" s="13">
        <f>IFERROR(VLOOKUP($B17, blitz!$DH:$DI, 2, FALSE), 0)</f>
        <v>0</v>
      </c>
      <c r="CQ17" t="b">
        <f t="shared" si="23"/>
        <v>0</v>
      </c>
      <c r="CR17" t="str">
        <f>IFERROR(VLOOKUP($B17, aegis!$DM:$DN, 2, FALSE), 0)</f>
        <v>1</v>
      </c>
      <c r="CS17">
        <f>IFERROR(VLOOKUP($B17, duel!$DM:$DN, 2, FALSE), 0)</f>
        <v>0</v>
      </c>
      <c r="CT17" t="str">
        <f>IFERROR(VLOOKUP($B17, blitz!$DM:$DN, 2, FALSE), 0)</f>
        <v>1</v>
      </c>
      <c r="CU17" t="b">
        <f t="shared" si="24"/>
        <v>0</v>
      </c>
      <c r="CV17" t="str">
        <f>IFERROR(VLOOKUP($B17, aegis!$DR:$DS, 2, FALSE), 0)</f>
        <v>56</v>
      </c>
      <c r="CW17" t="str">
        <f>IFERROR(VLOOKUP($B17, duel!$DR:$DS, 2, FALSE), 0)</f>
        <v>56</v>
      </c>
      <c r="CX17" t="str">
        <f>IFERROR(VLOOKUP($B17, blitz!$DR:$DS, 2, FALSE), 0)</f>
        <v>56</v>
      </c>
      <c r="CY17" t="b">
        <f t="shared" si="25"/>
        <v>1</v>
      </c>
    </row>
    <row r="18" spans="1:103">
      <c r="A18" t="s">
        <v>1733</v>
      </c>
      <c r="B18" s="6" t="s">
        <v>34</v>
      </c>
      <c r="C18" s="5" t="b">
        <f t="shared" si="0"/>
        <v>0</v>
      </c>
      <c r="D18" t="str">
        <f>IFERROR(VLOOKUP($B18, aegis!$B:$C, 2, FALSE), 0)</f>
        <v>72</v>
      </c>
      <c r="E18" t="str">
        <f>IFERROR(VLOOKUP($B18, duel!$B:$C, 2, FALSE), 0)</f>
        <v>72</v>
      </c>
      <c r="F18" t="str">
        <f>IFERROR(VLOOKUP($B18, blitz!$B:$C, 2, FALSE), 0)</f>
        <v>72</v>
      </c>
      <c r="G18" t="b">
        <f t="shared" si="1"/>
        <v>1</v>
      </c>
      <c r="H18" t="str">
        <f>IFERROR(VLOOKUP($B18, aegis!$G:$H, 2, FALSE), 0)</f>
        <v>42</v>
      </c>
      <c r="I18" t="str">
        <f>IFERROR(VLOOKUP($B18, duel!$G:$H, 2, FALSE), 0)</f>
        <v>42</v>
      </c>
      <c r="J18" t="str">
        <f>IFERROR(VLOOKUP($B18, blitz!$G:$H, 2, FALSE), 0)</f>
        <v>42</v>
      </c>
      <c r="K18" t="b">
        <f t="shared" si="2"/>
        <v>1</v>
      </c>
      <c r="L18" t="str">
        <f>IFERROR(VLOOKUP($B18, aegis!$L:$M, 2, FALSE), 0)</f>
        <v>72</v>
      </c>
      <c r="M18" t="str">
        <f>IFERROR(VLOOKUP($B18, duel!$L:$M, 2, FALSE), 0)</f>
        <v>72</v>
      </c>
      <c r="N18" t="str">
        <f>IFERROR(VLOOKUP($B18, blitz!$L:$M, 2, FALSE), 0)</f>
        <v>72</v>
      </c>
      <c r="O18" t="b">
        <f t="shared" si="3"/>
        <v>1</v>
      </c>
      <c r="P18" t="str">
        <f>IFERROR(VLOOKUP($B18, aegis!$Q:$R, 2, FALSE), 0)</f>
        <v>42</v>
      </c>
      <c r="Q18" t="str">
        <f>IFERROR(VLOOKUP($B18, duel!$Q:$R, 2, FALSE), 0)</f>
        <v>42</v>
      </c>
      <c r="R18" t="str">
        <f>IFERROR(VLOOKUP($B18, blitz!$Q:$R, 2, FALSE), 0)</f>
        <v>42</v>
      </c>
      <c r="S18" t="b">
        <f t="shared" si="4"/>
        <v>1</v>
      </c>
      <c r="T18" t="str">
        <f>IFERROR(VLOOKUP($B18, aegis!$V:$W, 2, FALSE), 0)</f>
        <v>429</v>
      </c>
      <c r="U18" t="str">
        <f>IFERROR(VLOOKUP($B18, duel!$V:$W, 2, FALSE), 0)</f>
        <v>429</v>
      </c>
      <c r="V18" t="str">
        <f>IFERROR(VLOOKUP($B18, blitz!$V:$W, 2, FALSE), 0)</f>
        <v>429</v>
      </c>
      <c r="W18" t="b">
        <f t="shared" si="5"/>
        <v>1</v>
      </c>
      <c r="X18" t="str">
        <f>IFERROR(VLOOKUP($B18, aegis!$AA:$AB, 2, FALSE), 0)</f>
        <v>3</v>
      </c>
      <c r="Y18" t="str">
        <f>IFERROR(VLOOKUP($B18, duel!$AA:$AB, 2, FALSE), 0)</f>
        <v>6</v>
      </c>
      <c r="Z18" t="str">
        <f>IFERROR(VLOOKUP($B18, blitz!$AA:$AB, 2, FALSE), 0)</f>
        <v>3</v>
      </c>
      <c r="AA18" t="b">
        <f t="shared" si="6"/>
        <v>0</v>
      </c>
      <c r="AB18" t="str">
        <f>IFERROR(VLOOKUP($B18, aegis!$AF:$AG, 2, FALSE), 0)</f>
        <v>192</v>
      </c>
      <c r="AC18" t="str">
        <f>IFERROR(VLOOKUP($B18, duel!$AF:$AG, 2, FALSE), 0)</f>
        <v>192</v>
      </c>
      <c r="AD18" t="str">
        <f>IFERROR(VLOOKUP($B18, blitz!$AF:$AG, 2, FALSE), 0)</f>
        <v>192</v>
      </c>
      <c r="AE18" t="b">
        <f t="shared" si="7"/>
        <v>1</v>
      </c>
      <c r="AF18" t="str">
        <f>IFERROR(VLOOKUP($B18, aegis!$AK:$AL, 2, FALSE), 0)</f>
        <v>4</v>
      </c>
      <c r="AG18" t="str">
        <f>IFERROR(VLOOKUP($B18, duel!$AK:$AL, 2, FALSE), 0)</f>
        <v>1</v>
      </c>
      <c r="AH18" t="str">
        <f>IFERROR(VLOOKUP($B18, blitz!$AK:$AL, 2, FALSE), 0)</f>
        <v>1</v>
      </c>
      <c r="AI18" t="b">
        <f t="shared" si="8"/>
        <v>0</v>
      </c>
      <c r="AJ18" t="str">
        <f>IFERROR(VLOOKUP($B18, aegis!$AP:$AQ, 2, FALSE), 0)</f>
        <v>4</v>
      </c>
      <c r="AK18" t="str">
        <f>IFERROR(VLOOKUP($B18, duel!$AP:$AQ, 2, FALSE), 0)</f>
        <v>4</v>
      </c>
      <c r="AL18" t="str">
        <f>IFERROR(VLOOKUP($B18, blitz!$AP:$AQ, 2, FALSE), 0)</f>
        <v>4</v>
      </c>
      <c r="AM18" t="b">
        <f t="shared" si="9"/>
        <v>1</v>
      </c>
      <c r="AN18">
        <f>IFERROR(VLOOKUP($B18, aegis!$AU:$AV, 2, FALSE), 0)</f>
        <v>0</v>
      </c>
      <c r="AO18">
        <f>IFERROR(VLOOKUP($B18, duel!$AU:$AV, 2, FALSE), 0)</f>
        <v>0</v>
      </c>
      <c r="AP18">
        <f>IFERROR(VLOOKUP($B18, blitz!$AU:$AV, 2, FALSE), 0)</f>
        <v>0</v>
      </c>
      <c r="AQ18" t="b">
        <f t="shared" si="10"/>
        <v>1</v>
      </c>
      <c r="AR18" t="str">
        <f>IFERROR(VLOOKUP($B18, aegis!$AZ:$BA, 2, FALSE), 0)</f>
        <v>3</v>
      </c>
      <c r="AS18" t="str">
        <f>IFERROR(VLOOKUP($B18, duel!$AZ:$BA, 2, FALSE), 0)</f>
        <v>3</v>
      </c>
      <c r="AT18" t="str">
        <f>IFERROR(VLOOKUP($B18, blitz!$AZ:$BA, 2, FALSE), 0)</f>
        <v>3</v>
      </c>
      <c r="AU18" t="b">
        <f t="shared" si="11"/>
        <v>1</v>
      </c>
      <c r="AV18" t="str">
        <f>IFERROR(VLOOKUP($B18, aegis!$BE:$BF, 2, FALSE), 0)</f>
        <v>2</v>
      </c>
      <c r="AW18" t="str">
        <f>IFERROR(VLOOKUP($B18, duel!$BE:$BF, 2, FALSE), 0)</f>
        <v>2</v>
      </c>
      <c r="AX18" t="str">
        <f>IFERROR(VLOOKUP($B18, blitz!$BE:$BF, 2, FALSE), 0)</f>
        <v>2</v>
      </c>
      <c r="AY18" t="b">
        <f t="shared" si="12"/>
        <v>1</v>
      </c>
      <c r="AZ18" t="str">
        <f>IFERROR(VLOOKUP($B18, aegis!$BJ:$BK, 2, FALSE), 0)</f>
        <v>1</v>
      </c>
      <c r="BA18" t="str">
        <f>IFERROR(VLOOKUP($B18, duel!$BJ:$BK, 2, FALSE), 0)</f>
        <v>1</v>
      </c>
      <c r="BB18" t="str">
        <f>IFERROR(VLOOKUP($B18, blitz!$BJ:$BK, 2, FALSE), 0)</f>
        <v>1</v>
      </c>
      <c r="BC18" t="b">
        <f t="shared" si="13"/>
        <v>1</v>
      </c>
      <c r="BD18">
        <f>IFERROR(VLOOKUP($B18, aegis!$BO:$BP, 2, FALSE), 0)</f>
        <v>0</v>
      </c>
      <c r="BE18">
        <f>IFERROR(VLOOKUP($B18, duel!$BO:$BP, 2, FALSE), 0)</f>
        <v>0</v>
      </c>
      <c r="BF18">
        <f>IFERROR(VLOOKUP($B18, blitz!$BO:$BP, 2, FALSE), 0)</f>
        <v>0</v>
      </c>
      <c r="BG18" t="b">
        <f t="shared" si="14"/>
        <v>1</v>
      </c>
      <c r="BH18" t="str">
        <f>IFERROR(VLOOKUP($B18, aegis!$BT:$BU, 2, FALSE), 0)</f>
        <v>249</v>
      </c>
      <c r="BI18" t="str">
        <f>IFERROR(VLOOKUP($B18, duel!$BT:$BU, 2, FALSE), 0)</f>
        <v>249</v>
      </c>
      <c r="BJ18" t="str">
        <f>IFERROR(VLOOKUP($B18, blitz!$BT:$BU, 2, FALSE), 0)</f>
        <v>249</v>
      </c>
      <c r="BK18" t="b">
        <f t="shared" si="15"/>
        <v>1</v>
      </c>
      <c r="BL18" t="str">
        <f>IFERROR(VLOOKUP($B18, aegis!$BY:$BZ, 2, FALSE), 0)</f>
        <v>2</v>
      </c>
      <c r="BM18" t="str">
        <f>IFERROR(VLOOKUP($B18, duel!$BY:$BZ, 2, FALSE), 0)</f>
        <v>2</v>
      </c>
      <c r="BN18" t="str">
        <f>IFERROR(VLOOKUP($B18, blitz!$BY:$BZ, 2, FALSE), 0)</f>
        <v>2</v>
      </c>
      <c r="BO18" t="b">
        <f t="shared" si="16"/>
        <v>1</v>
      </c>
      <c r="BP18" t="str">
        <f>IFERROR(VLOOKUP($B18, aegis!$CD:$CE, 2, FALSE), 0)</f>
        <v>11</v>
      </c>
      <c r="BQ18" t="str">
        <f>IFERROR(VLOOKUP($B18, duel!$CD:$CE, 2, FALSE), 0)</f>
        <v>11</v>
      </c>
      <c r="BR18" t="str">
        <f>IFERROR(VLOOKUP($B18, blitz!$CD:$CE, 2, FALSE), 0)</f>
        <v>11</v>
      </c>
      <c r="BS18" t="b">
        <f t="shared" si="17"/>
        <v>1</v>
      </c>
      <c r="BT18" t="str">
        <f>IFERROR(VLOOKUP($B18, aegis!$CI:$CJ, 2, FALSE), 0)</f>
        <v>304</v>
      </c>
      <c r="BU18" t="str">
        <f>IFERROR(VLOOKUP($B18, duel!$CI:$CJ, 2, FALSE), 0)</f>
        <v>304</v>
      </c>
      <c r="BV18" t="str">
        <f>IFERROR(VLOOKUP($B18, blitz!$CI:$CJ, 2, FALSE), 0)</f>
        <v>304</v>
      </c>
      <c r="BW18" t="b">
        <f t="shared" si="18"/>
        <v>1</v>
      </c>
      <c r="BX18" t="str">
        <f>IFERROR(VLOOKUP($B18, aegis!$CN:$CO, 2, FALSE), 0)</f>
        <v>304</v>
      </c>
      <c r="BY18" t="str">
        <f>IFERROR(VLOOKUP($B18, duel!$CN:$CO, 2, FALSE), 0)</f>
        <v>304</v>
      </c>
      <c r="BZ18" t="str">
        <f>IFERROR(VLOOKUP($B18, blitz!$CN:$CO, 2, FALSE), 0)</f>
        <v>304</v>
      </c>
      <c r="CA18" t="b">
        <f t="shared" si="19"/>
        <v>1</v>
      </c>
      <c r="CB18" t="str">
        <f>IFERROR(VLOOKUP($B18, aegis!$CS:$CT, 2, FALSE), 0)</f>
        <v>1428</v>
      </c>
      <c r="CC18" t="str">
        <f>IFERROR(VLOOKUP($B18, duel!$CS:$CT, 2, FALSE), 0)</f>
        <v>1428</v>
      </c>
      <c r="CD18" t="str">
        <f>IFERROR(VLOOKUP($B18, blitz!$CS:$CT, 2, FALSE), 0)</f>
        <v>1428</v>
      </c>
      <c r="CE18" t="b">
        <f t="shared" si="20"/>
        <v>1</v>
      </c>
      <c r="CF18" t="str">
        <f>IFERROR(VLOOKUP($B18, aegis!$CX:$CY, 2, FALSE), 0)</f>
        <v>97888</v>
      </c>
      <c r="CG18" t="str">
        <f>IFERROR(VLOOKUP($B18, duel!$CX:$CY, 2, FALSE), 0)</f>
        <v>97869</v>
      </c>
      <c r="CH18" t="str">
        <f>IFERROR(VLOOKUP($B18, blitz!$CX:$CY, 2, FALSE), 0)</f>
        <v>18850</v>
      </c>
      <c r="CI18" t="b">
        <f t="shared" si="21"/>
        <v>0</v>
      </c>
      <c r="CJ18" t="str">
        <f>IFERROR(VLOOKUP($B18, aegis!$DC:$DD, 2, FALSE), 0)</f>
        <v>1</v>
      </c>
      <c r="CK18" t="str">
        <f>IFERROR(VLOOKUP($B18, duel!$DC:$DD, 2, FALSE), 0)</f>
        <v>1</v>
      </c>
      <c r="CL18" t="str">
        <f>IFERROR(VLOOKUP($B18, blitz!$DC:$DD, 2, FALSE), 0)</f>
        <v>1</v>
      </c>
      <c r="CM18" t="b">
        <f t="shared" si="22"/>
        <v>1</v>
      </c>
      <c r="CN18" t="str">
        <f>IFERROR(VLOOKUP($B18, aegis!$DH:$DI, 2, FALSE), 0)</f>
        <v>4</v>
      </c>
      <c r="CO18" t="str">
        <f>IFERROR(VLOOKUP($B18, duel!$DH:$DI, 2, FALSE), 0)</f>
        <v>4</v>
      </c>
      <c r="CP18" s="13">
        <f>IFERROR(VLOOKUP($B18, blitz!$DH:$DI, 2, FALSE), 0)</f>
        <v>0</v>
      </c>
      <c r="CQ18" t="b">
        <f t="shared" si="23"/>
        <v>1</v>
      </c>
      <c r="CR18" t="str">
        <f>IFERROR(VLOOKUP($B18, aegis!$DM:$DN, 2, FALSE), 0)</f>
        <v>3</v>
      </c>
      <c r="CS18" t="str">
        <f>IFERROR(VLOOKUP($B18, duel!$DM:$DN, 2, FALSE), 0)</f>
        <v>3</v>
      </c>
      <c r="CT18" t="str">
        <f>IFERROR(VLOOKUP($B18, blitz!$DM:$DN, 2, FALSE), 0)</f>
        <v>3</v>
      </c>
      <c r="CU18" t="b">
        <f t="shared" si="24"/>
        <v>1</v>
      </c>
      <c r="CV18" t="str">
        <f>IFERROR(VLOOKUP($B18, aegis!$DR:$DS, 2, FALSE), 0)</f>
        <v>192</v>
      </c>
      <c r="CW18" t="str">
        <f>IFERROR(VLOOKUP($B18, duel!$DR:$DS, 2, FALSE), 0)</f>
        <v>192</v>
      </c>
      <c r="CX18" t="str">
        <f>IFERROR(VLOOKUP($B18, blitz!$DR:$DS, 2, FALSE), 0)</f>
        <v>192</v>
      </c>
      <c r="CY18" t="b">
        <f t="shared" si="25"/>
        <v>1</v>
      </c>
    </row>
    <row r="19" spans="1:103">
      <c r="A19" t="s">
        <v>1733</v>
      </c>
      <c r="B19" s="6" t="s">
        <v>37</v>
      </c>
      <c r="C19" s="5" t="b">
        <f t="shared" si="0"/>
        <v>0</v>
      </c>
      <c r="D19" t="str">
        <f>IFERROR(VLOOKUP($B19, aegis!$B:$C, 2, FALSE), 0)</f>
        <v>108</v>
      </c>
      <c r="E19" t="str">
        <f>IFERROR(VLOOKUP($B19, duel!$B:$C, 2, FALSE), 0)</f>
        <v>108</v>
      </c>
      <c r="F19" t="str">
        <f>IFERROR(VLOOKUP($B19, blitz!$B:$C, 2, FALSE), 0)</f>
        <v>108</v>
      </c>
      <c r="G19" t="b">
        <f t="shared" si="1"/>
        <v>1</v>
      </c>
      <c r="H19" t="str">
        <f>IFERROR(VLOOKUP($B19, aegis!$G:$H, 2, FALSE), 0)</f>
        <v>63</v>
      </c>
      <c r="I19" t="str">
        <f>IFERROR(VLOOKUP($B19, duel!$G:$H, 2, FALSE), 0)</f>
        <v>63</v>
      </c>
      <c r="J19" t="str">
        <f>IFERROR(VLOOKUP($B19, blitz!$G:$H, 2, FALSE), 0)</f>
        <v>63</v>
      </c>
      <c r="K19" t="b">
        <f t="shared" si="2"/>
        <v>1</v>
      </c>
      <c r="L19" t="str">
        <f>IFERROR(VLOOKUP($B19, aegis!$L:$M, 2, FALSE), 0)</f>
        <v>108</v>
      </c>
      <c r="M19" t="str">
        <f>IFERROR(VLOOKUP($B19, duel!$L:$M, 2, FALSE), 0)</f>
        <v>108</v>
      </c>
      <c r="N19" t="str">
        <f>IFERROR(VLOOKUP($B19, blitz!$L:$M, 2, FALSE), 0)</f>
        <v>108</v>
      </c>
      <c r="O19" t="b">
        <f t="shared" si="3"/>
        <v>1</v>
      </c>
      <c r="P19" t="str">
        <f>IFERROR(VLOOKUP($B19, aegis!$Q:$R, 2, FALSE), 0)</f>
        <v>63</v>
      </c>
      <c r="Q19" t="str">
        <f>IFERROR(VLOOKUP($B19, duel!$Q:$R, 2, FALSE), 0)</f>
        <v>63</v>
      </c>
      <c r="R19" t="str">
        <f>IFERROR(VLOOKUP($B19, blitz!$Q:$R, 2, FALSE), 0)</f>
        <v>63</v>
      </c>
      <c r="S19" t="b">
        <f t="shared" si="4"/>
        <v>1</v>
      </c>
      <c r="T19" t="str">
        <f>IFERROR(VLOOKUP($B19, aegis!$V:$W, 2, FALSE), 0)</f>
        <v>1308</v>
      </c>
      <c r="U19" t="str">
        <f>IFERROR(VLOOKUP($B19, duel!$V:$W, 2, FALSE), 0)</f>
        <v>1308</v>
      </c>
      <c r="V19" t="str">
        <f>IFERROR(VLOOKUP($B19, blitz!$V:$W, 2, FALSE), 0)</f>
        <v>1308</v>
      </c>
      <c r="W19" t="b">
        <f t="shared" si="5"/>
        <v>1</v>
      </c>
      <c r="X19" t="str">
        <f>IFERROR(VLOOKUP($B19, aegis!$AA:$AB, 2, FALSE), 0)</f>
        <v>3</v>
      </c>
      <c r="Y19" t="str">
        <f>IFERROR(VLOOKUP($B19, duel!$AA:$AB, 2, FALSE), 0)</f>
        <v>6</v>
      </c>
      <c r="Z19" t="str">
        <f>IFERROR(VLOOKUP($B19, blitz!$AA:$AB, 2, FALSE), 0)</f>
        <v>3</v>
      </c>
      <c r="AA19" t="b">
        <f t="shared" si="6"/>
        <v>0</v>
      </c>
      <c r="AB19" t="str">
        <f>IFERROR(VLOOKUP($B19, aegis!$AF:$AG, 2, FALSE), 0)</f>
        <v>341</v>
      </c>
      <c r="AC19" t="str">
        <f>IFERROR(VLOOKUP($B19, duel!$AF:$AG, 2, FALSE), 0)</f>
        <v>341</v>
      </c>
      <c r="AD19" t="str">
        <f>IFERROR(VLOOKUP($B19, blitz!$AF:$AG, 2, FALSE), 0)</f>
        <v>341</v>
      </c>
      <c r="AE19" t="b">
        <f t="shared" si="7"/>
        <v>1</v>
      </c>
      <c r="AF19" t="str">
        <f>IFERROR(VLOOKUP($B19, aegis!$AK:$AL, 2, FALSE), 0)</f>
        <v>4</v>
      </c>
      <c r="AG19" t="str">
        <f>IFERROR(VLOOKUP($B19, duel!$AK:$AL, 2, FALSE), 0)</f>
        <v>1</v>
      </c>
      <c r="AH19" t="str">
        <f>IFERROR(VLOOKUP($B19, blitz!$AK:$AL, 2, FALSE), 0)</f>
        <v>1</v>
      </c>
      <c r="AI19" t="b">
        <f t="shared" si="8"/>
        <v>0</v>
      </c>
      <c r="AJ19" t="str">
        <f>IFERROR(VLOOKUP($B19, aegis!$AP:$AQ, 2, FALSE), 0)</f>
        <v>3</v>
      </c>
      <c r="AK19" t="str">
        <f>IFERROR(VLOOKUP($B19, duel!$AP:$AQ, 2, FALSE), 0)</f>
        <v>3</v>
      </c>
      <c r="AL19" t="str">
        <f>IFERROR(VLOOKUP($B19, blitz!$AP:$AQ, 2, FALSE), 0)</f>
        <v>3</v>
      </c>
      <c r="AM19" t="b">
        <f t="shared" si="9"/>
        <v>1</v>
      </c>
      <c r="AN19">
        <f>IFERROR(VLOOKUP($B19, aegis!$AU:$AV, 2, FALSE), 0)</f>
        <v>0</v>
      </c>
      <c r="AO19">
        <f>IFERROR(VLOOKUP($B19, duel!$AU:$AV, 2, FALSE), 0)</f>
        <v>0</v>
      </c>
      <c r="AP19">
        <f>IFERROR(VLOOKUP($B19, blitz!$AU:$AV, 2, FALSE), 0)</f>
        <v>0</v>
      </c>
      <c r="AQ19" t="b">
        <f t="shared" si="10"/>
        <v>1</v>
      </c>
      <c r="AR19" t="str">
        <f>IFERROR(VLOOKUP($B19, aegis!$AZ:$BA, 2, FALSE), 0)</f>
        <v>3</v>
      </c>
      <c r="AS19" t="str">
        <f>IFERROR(VLOOKUP($B19, duel!$AZ:$BA, 2, FALSE), 0)</f>
        <v>3</v>
      </c>
      <c r="AT19" t="str">
        <f>IFERROR(VLOOKUP($B19, blitz!$AZ:$BA, 2, FALSE), 0)</f>
        <v>3</v>
      </c>
      <c r="AU19" t="b">
        <f t="shared" si="11"/>
        <v>1</v>
      </c>
      <c r="AV19" t="str">
        <f>IFERROR(VLOOKUP($B19, aegis!$BE:$BF, 2, FALSE), 0)</f>
        <v>3</v>
      </c>
      <c r="AW19" t="str">
        <f>IFERROR(VLOOKUP($B19, duel!$BE:$BF, 2, FALSE), 0)</f>
        <v>3</v>
      </c>
      <c r="AX19" t="str">
        <f>IFERROR(VLOOKUP($B19, blitz!$BE:$BF, 2, FALSE), 0)</f>
        <v>3</v>
      </c>
      <c r="AY19" t="b">
        <f t="shared" si="12"/>
        <v>1</v>
      </c>
      <c r="AZ19" t="str">
        <f>IFERROR(VLOOKUP($B19, aegis!$BJ:$BK, 2, FALSE), 0)</f>
        <v>1</v>
      </c>
      <c r="BA19" t="str">
        <f>IFERROR(VLOOKUP($B19, duel!$BJ:$BK, 2, FALSE), 0)</f>
        <v>1</v>
      </c>
      <c r="BB19" t="str">
        <f>IFERROR(VLOOKUP($B19, blitz!$BJ:$BK, 2, FALSE), 0)</f>
        <v>1</v>
      </c>
      <c r="BC19" t="b">
        <f t="shared" si="13"/>
        <v>1</v>
      </c>
      <c r="BD19">
        <f>IFERROR(VLOOKUP($B19, aegis!$BO:$BP, 2, FALSE), 0)</f>
        <v>0</v>
      </c>
      <c r="BE19">
        <f>IFERROR(VLOOKUP($B19, duel!$BO:$BP, 2, FALSE), 0)</f>
        <v>0</v>
      </c>
      <c r="BF19">
        <f>IFERROR(VLOOKUP($B19, blitz!$BO:$BP, 2, FALSE), 0)</f>
        <v>0</v>
      </c>
      <c r="BG19" t="b">
        <f t="shared" si="14"/>
        <v>1</v>
      </c>
      <c r="BH19" t="str">
        <f>IFERROR(VLOOKUP($B19, aegis!$BT:$BU, 2, FALSE), 0)</f>
        <v>165</v>
      </c>
      <c r="BI19" t="str">
        <f>IFERROR(VLOOKUP($B19, duel!$BT:$BU, 2, FALSE), 0)</f>
        <v>165</v>
      </c>
      <c r="BJ19" t="str">
        <f>IFERROR(VLOOKUP($B19, blitz!$BT:$BU, 2, FALSE), 0)</f>
        <v>165</v>
      </c>
      <c r="BK19" t="b">
        <f t="shared" si="15"/>
        <v>1</v>
      </c>
      <c r="BL19" t="str">
        <f>IFERROR(VLOOKUP($B19, aegis!$BY:$BZ, 2, FALSE), 0)</f>
        <v>1</v>
      </c>
      <c r="BM19" t="str">
        <f>IFERROR(VLOOKUP($B19, duel!$BY:$BZ, 2, FALSE), 0)</f>
        <v>1</v>
      </c>
      <c r="BN19" t="str">
        <f>IFERROR(VLOOKUP($B19, blitz!$BY:$BZ, 2, FALSE), 0)</f>
        <v>1</v>
      </c>
      <c r="BO19" t="b">
        <f t="shared" si="16"/>
        <v>1</v>
      </c>
      <c r="BP19" t="str">
        <f>IFERROR(VLOOKUP($B19, aegis!$CD:$CE, 2, FALSE), 0)</f>
        <v>6</v>
      </c>
      <c r="BQ19" t="str">
        <f>IFERROR(VLOOKUP($B19, duel!$CD:$CE, 2, FALSE), 0)</f>
        <v>6</v>
      </c>
      <c r="BR19" t="str">
        <f>IFERROR(VLOOKUP($B19, blitz!$CD:$CE, 2, FALSE), 0)</f>
        <v>6</v>
      </c>
      <c r="BS19" t="b">
        <f t="shared" si="17"/>
        <v>1</v>
      </c>
      <c r="BT19">
        <f>IFERROR(VLOOKUP($B19, aegis!$CI:$CJ, 2, FALSE), 0)</f>
        <v>0</v>
      </c>
      <c r="BU19">
        <f>IFERROR(VLOOKUP($B19, duel!$CI:$CJ, 2, FALSE), 0)</f>
        <v>0</v>
      </c>
      <c r="BV19">
        <f>IFERROR(VLOOKUP($B19, blitz!$CI:$CJ, 2, FALSE), 0)</f>
        <v>0</v>
      </c>
      <c r="BW19" t="b">
        <f t="shared" si="18"/>
        <v>1</v>
      </c>
      <c r="BX19">
        <f>IFERROR(VLOOKUP($B19, aegis!$CN:$CO, 2, FALSE), 0)</f>
        <v>0</v>
      </c>
      <c r="BY19">
        <f>IFERROR(VLOOKUP($B19, duel!$CN:$CO, 2, FALSE), 0)</f>
        <v>0</v>
      </c>
      <c r="BZ19">
        <f>IFERROR(VLOOKUP($B19, blitz!$CN:$CO, 2, FALSE), 0)</f>
        <v>0</v>
      </c>
      <c r="CA19" t="b">
        <f t="shared" si="19"/>
        <v>1</v>
      </c>
      <c r="CB19">
        <f>IFERROR(VLOOKUP($B19, aegis!$CS:$CT, 2, FALSE), 0)</f>
        <v>0</v>
      </c>
      <c r="CC19">
        <f>IFERROR(VLOOKUP($B19, duel!$CS:$CT, 2, FALSE), 0)</f>
        <v>0</v>
      </c>
      <c r="CD19">
        <f>IFERROR(VLOOKUP($B19, blitz!$CS:$CT, 2, FALSE), 0)</f>
        <v>0</v>
      </c>
      <c r="CE19" t="b">
        <f t="shared" si="20"/>
        <v>1</v>
      </c>
      <c r="CF19" t="str">
        <f>IFERROR(VLOOKUP($B19, aegis!$CX:$CY, 2, FALSE), 0)</f>
        <v>65382</v>
      </c>
      <c r="CG19" t="str">
        <f>IFERROR(VLOOKUP($B19, duel!$CX:$CY, 2, FALSE), 0)</f>
        <v>65379</v>
      </c>
      <c r="CH19" t="str">
        <f>IFERROR(VLOOKUP($B19, blitz!$CX:$CY, 2, FALSE), 0)</f>
        <v>13233</v>
      </c>
      <c r="CI19" t="b">
        <f t="shared" si="21"/>
        <v>0</v>
      </c>
      <c r="CJ19" t="str">
        <f>IFERROR(VLOOKUP($B19, aegis!$DC:$DD, 2, FALSE), 0)</f>
        <v>1</v>
      </c>
      <c r="CK19" t="str">
        <f>IFERROR(VLOOKUP($B19, duel!$DC:$DD, 2, FALSE), 0)</f>
        <v>1</v>
      </c>
      <c r="CL19" t="str">
        <f>IFERROR(VLOOKUP($B19, blitz!$DC:$DD, 2, FALSE), 0)</f>
        <v>1</v>
      </c>
      <c r="CM19" t="b">
        <f t="shared" si="22"/>
        <v>1</v>
      </c>
      <c r="CN19" t="str">
        <f>IFERROR(VLOOKUP($B19, aegis!$DH:$DI, 2, FALSE), 0)</f>
        <v>2</v>
      </c>
      <c r="CO19" t="str">
        <f>IFERROR(VLOOKUP($B19, duel!$DH:$DI, 2, FALSE), 0)</f>
        <v>2</v>
      </c>
      <c r="CP19" s="13">
        <f>IFERROR(VLOOKUP($B19, blitz!$DH:$DI, 2, FALSE), 0)</f>
        <v>0</v>
      </c>
      <c r="CQ19" t="b">
        <f t="shared" si="23"/>
        <v>1</v>
      </c>
      <c r="CR19" t="str">
        <f>IFERROR(VLOOKUP($B19, aegis!$DM:$DN, 2, FALSE), 0)</f>
        <v>2</v>
      </c>
      <c r="CS19" t="str">
        <f>IFERROR(VLOOKUP($B19, duel!$DM:$DN, 2, FALSE), 0)</f>
        <v>2</v>
      </c>
      <c r="CT19" t="str">
        <f>IFERROR(VLOOKUP($B19, blitz!$DM:$DN, 2, FALSE), 0)</f>
        <v>2</v>
      </c>
      <c r="CU19" t="b">
        <f t="shared" si="24"/>
        <v>1</v>
      </c>
      <c r="CV19" t="str">
        <f>IFERROR(VLOOKUP($B19, aegis!$DR:$DS, 2, FALSE), 0)</f>
        <v>341</v>
      </c>
      <c r="CW19" t="str">
        <f>IFERROR(VLOOKUP($B19, duel!$DR:$DS, 2, FALSE), 0)</f>
        <v>341</v>
      </c>
      <c r="CX19" t="str">
        <f>IFERROR(VLOOKUP($B19, blitz!$DR:$DS, 2, FALSE), 0)</f>
        <v>341</v>
      </c>
      <c r="CY19" t="b">
        <f t="shared" si="25"/>
        <v>1</v>
      </c>
    </row>
    <row r="20" spans="1:103">
      <c r="B20" s="6" t="s">
        <v>40</v>
      </c>
      <c r="C20" s="5" t="b">
        <f t="shared" si="0"/>
        <v>0</v>
      </c>
      <c r="D20" t="str">
        <f>IFERROR(VLOOKUP($B20, aegis!$B:$C, 2, FALSE), 0)</f>
        <v>24</v>
      </c>
      <c r="E20" t="str">
        <f>IFERROR(VLOOKUP($B20, duel!$B:$C, 2, FALSE), 0)</f>
        <v>24</v>
      </c>
      <c r="F20" t="str">
        <f>IFERROR(VLOOKUP($B20, blitz!$B:$C, 2, FALSE), 0)</f>
        <v>24</v>
      </c>
      <c r="G20" t="b">
        <f t="shared" si="1"/>
        <v>1</v>
      </c>
      <c r="H20" t="str">
        <f>IFERROR(VLOOKUP($B20, aegis!$G:$H, 2, FALSE), 0)</f>
        <v>14</v>
      </c>
      <c r="I20" t="str">
        <f>IFERROR(VLOOKUP($B20, duel!$G:$H, 2, FALSE), 0)</f>
        <v>14</v>
      </c>
      <c r="J20" t="str">
        <f>IFERROR(VLOOKUP($B20, blitz!$G:$H, 2, FALSE), 0)</f>
        <v>14</v>
      </c>
      <c r="K20" t="b">
        <f t="shared" si="2"/>
        <v>1</v>
      </c>
      <c r="L20" t="str">
        <f>IFERROR(VLOOKUP($B20, aegis!$L:$M, 2, FALSE), 0)</f>
        <v>24</v>
      </c>
      <c r="M20" t="str">
        <f>IFERROR(VLOOKUP($B20, duel!$L:$M, 2, FALSE), 0)</f>
        <v>24</v>
      </c>
      <c r="N20" t="str">
        <f>IFERROR(VLOOKUP($B20, blitz!$L:$M, 2, FALSE), 0)</f>
        <v>24</v>
      </c>
      <c r="O20" t="b">
        <f t="shared" si="3"/>
        <v>1</v>
      </c>
      <c r="P20" t="str">
        <f>IFERROR(VLOOKUP($B20, aegis!$Q:$R, 2, FALSE), 0)</f>
        <v>14</v>
      </c>
      <c r="Q20" t="str">
        <f>IFERROR(VLOOKUP($B20, duel!$Q:$R, 2, FALSE), 0)</f>
        <v>14</v>
      </c>
      <c r="R20" t="str">
        <f>IFERROR(VLOOKUP($B20, blitz!$Q:$R, 2, FALSE), 0)</f>
        <v>14</v>
      </c>
      <c r="S20" t="b">
        <f t="shared" si="4"/>
        <v>1</v>
      </c>
      <c r="T20">
        <f>IFERROR(VLOOKUP($B20, aegis!$V:$W, 2, FALSE), 0)</f>
        <v>0</v>
      </c>
      <c r="U20">
        <f>IFERROR(VLOOKUP($B20, duel!$V:$W, 2, FALSE), 0)</f>
        <v>0</v>
      </c>
      <c r="V20">
        <f>IFERROR(VLOOKUP($B20, blitz!$V:$W, 2, FALSE), 0)</f>
        <v>0</v>
      </c>
      <c r="W20" t="b">
        <f t="shared" si="5"/>
        <v>1</v>
      </c>
      <c r="X20" t="str">
        <f>IFERROR(VLOOKUP($B20, aegis!$AA:$AB, 2, FALSE), 0)</f>
        <v>2</v>
      </c>
      <c r="Y20" t="str">
        <f>IFERROR(VLOOKUP($B20, duel!$AA:$AB, 2, FALSE), 0)</f>
        <v>4</v>
      </c>
      <c r="Z20" t="str">
        <f>IFERROR(VLOOKUP($B20, blitz!$AA:$AB, 2, FALSE), 0)</f>
        <v>2</v>
      </c>
      <c r="AA20" t="b">
        <f t="shared" si="6"/>
        <v>0</v>
      </c>
      <c r="AB20">
        <f>IFERROR(VLOOKUP($B20, aegis!$AF:$AG, 2, FALSE), 0)</f>
        <v>0</v>
      </c>
      <c r="AC20">
        <f>IFERROR(VLOOKUP($B20, duel!$AF:$AG, 2, FALSE), 0)</f>
        <v>0</v>
      </c>
      <c r="AD20">
        <f>IFERROR(VLOOKUP($B20, blitz!$AF:$AG, 2, FALSE), 0)</f>
        <v>0</v>
      </c>
      <c r="AE20" t="b">
        <f t="shared" si="7"/>
        <v>1</v>
      </c>
      <c r="AF20" t="str">
        <f>IFERROR(VLOOKUP($B20, aegis!$AK:$AL, 2, FALSE), 0)</f>
        <v>3</v>
      </c>
      <c r="AG20" t="str">
        <f>IFERROR(VLOOKUP($B20, duel!$AK:$AL, 2, FALSE), 0)</f>
        <v>1</v>
      </c>
      <c r="AH20" t="str">
        <f>IFERROR(VLOOKUP($B20, blitz!$AK:$AL, 2, FALSE), 0)</f>
        <v>1</v>
      </c>
      <c r="AI20" t="b">
        <f t="shared" si="8"/>
        <v>0</v>
      </c>
      <c r="AJ20" t="str">
        <f>IFERROR(VLOOKUP($B20, aegis!$AP:$AQ, 2, FALSE), 0)</f>
        <v>1</v>
      </c>
      <c r="AK20" t="str">
        <f>IFERROR(VLOOKUP($B20, duel!$AP:$AQ, 2, FALSE), 0)</f>
        <v>1</v>
      </c>
      <c r="AL20" t="str">
        <f>IFERROR(VLOOKUP($B20, blitz!$AP:$AQ, 2, FALSE), 0)</f>
        <v>1</v>
      </c>
      <c r="AM20" t="b">
        <f t="shared" si="9"/>
        <v>1</v>
      </c>
      <c r="AN20">
        <f>IFERROR(VLOOKUP($B20, aegis!$AU:$AV, 2, FALSE), 0)</f>
        <v>0</v>
      </c>
      <c r="AO20">
        <f>IFERROR(VLOOKUP($B20, duel!$AU:$AV, 2, FALSE), 0)</f>
        <v>0</v>
      </c>
      <c r="AP20">
        <f>IFERROR(VLOOKUP($B20, blitz!$AU:$AV, 2, FALSE), 0)</f>
        <v>0</v>
      </c>
      <c r="AQ20" t="b">
        <f t="shared" si="10"/>
        <v>1</v>
      </c>
      <c r="AR20" t="str">
        <f>IFERROR(VLOOKUP($B20, aegis!$AZ:$BA, 2, FALSE), 0)</f>
        <v>2</v>
      </c>
      <c r="AS20" t="str">
        <f>IFERROR(VLOOKUP($B20, duel!$AZ:$BA, 2, FALSE), 0)</f>
        <v>2</v>
      </c>
      <c r="AT20" t="str">
        <f>IFERROR(VLOOKUP($B20, blitz!$AZ:$BA, 2, FALSE), 0)</f>
        <v>2</v>
      </c>
      <c r="AU20" t="b">
        <f t="shared" si="11"/>
        <v>1</v>
      </c>
      <c r="AV20" t="str">
        <f>IFERROR(VLOOKUP($B20, aegis!$BE:$BF, 2, FALSE), 0)</f>
        <v>1</v>
      </c>
      <c r="AW20" t="str">
        <f>IFERROR(VLOOKUP($B20, duel!$BE:$BF, 2, FALSE), 0)</f>
        <v>1</v>
      </c>
      <c r="AX20" t="str">
        <f>IFERROR(VLOOKUP($B20, blitz!$BE:$BF, 2, FALSE), 0)</f>
        <v>1</v>
      </c>
      <c r="AY20" t="b">
        <f t="shared" si="12"/>
        <v>1</v>
      </c>
      <c r="AZ20" t="str">
        <f>IFERROR(VLOOKUP($B20, aegis!$BJ:$BK, 2, FALSE), 0)</f>
        <v>1</v>
      </c>
      <c r="BA20" t="str">
        <f>IFERROR(VLOOKUP($B20, duel!$BJ:$BK, 2, FALSE), 0)</f>
        <v>1</v>
      </c>
      <c r="BB20" t="str">
        <f>IFERROR(VLOOKUP($B20, blitz!$BJ:$BK, 2, FALSE), 0)</f>
        <v>1</v>
      </c>
      <c r="BC20" t="b">
        <f t="shared" si="13"/>
        <v>1</v>
      </c>
      <c r="BD20">
        <f>IFERROR(VLOOKUP($B20, aegis!$BO:$BP, 2, FALSE), 0)</f>
        <v>0</v>
      </c>
      <c r="BE20">
        <f>IFERROR(VLOOKUP($B20, duel!$BO:$BP, 2, FALSE), 0)</f>
        <v>0</v>
      </c>
      <c r="BF20">
        <f>IFERROR(VLOOKUP($B20, blitz!$BO:$BP, 2, FALSE), 0)</f>
        <v>0</v>
      </c>
      <c r="BG20" t="b">
        <f t="shared" si="14"/>
        <v>1</v>
      </c>
      <c r="BH20" t="str">
        <f>IFERROR(VLOOKUP($B20, aegis!$BT:$BU, 2, FALSE), 0)</f>
        <v>1</v>
      </c>
      <c r="BI20" t="str">
        <f>IFERROR(VLOOKUP($B20, duel!$BT:$BU, 2, FALSE), 0)</f>
        <v>1</v>
      </c>
      <c r="BJ20" t="str">
        <f>IFERROR(VLOOKUP($B20, blitz!$BT:$BU, 2, FALSE), 0)</f>
        <v>1</v>
      </c>
      <c r="BK20" t="b">
        <f t="shared" si="15"/>
        <v>1</v>
      </c>
      <c r="BL20">
        <f>IFERROR(VLOOKUP($B20, aegis!$BY:$BZ, 2, FALSE), 0)</f>
        <v>0</v>
      </c>
      <c r="BM20">
        <f>IFERROR(VLOOKUP($B20, duel!$BY:$BZ, 2, FALSE), 0)</f>
        <v>0</v>
      </c>
      <c r="BN20">
        <f>IFERROR(VLOOKUP($B20, blitz!$BY:$BZ, 2, FALSE), 0)</f>
        <v>0</v>
      </c>
      <c r="BO20" t="b">
        <f t="shared" si="16"/>
        <v>1</v>
      </c>
      <c r="BP20" t="str">
        <f>IFERROR(VLOOKUP($B20, aegis!$CD:$CE, 2, FALSE), 0)</f>
        <v>3</v>
      </c>
      <c r="BQ20" t="str">
        <f>IFERROR(VLOOKUP($B20, duel!$CD:$CE, 2, FALSE), 0)</f>
        <v>3</v>
      </c>
      <c r="BR20" t="str">
        <f>IFERROR(VLOOKUP($B20, blitz!$CD:$CE, 2, FALSE), 0)</f>
        <v>3</v>
      </c>
      <c r="BS20" t="b">
        <f t="shared" si="17"/>
        <v>1</v>
      </c>
      <c r="BT20">
        <f>IFERROR(VLOOKUP($B20, aegis!$CI:$CJ, 2, FALSE), 0)</f>
        <v>0</v>
      </c>
      <c r="BU20">
        <f>IFERROR(VLOOKUP($B20, duel!$CI:$CJ, 2, FALSE), 0)</f>
        <v>0</v>
      </c>
      <c r="BV20">
        <f>IFERROR(VLOOKUP($B20, blitz!$CI:$CJ, 2, FALSE), 0)</f>
        <v>0</v>
      </c>
      <c r="BW20" t="b">
        <f t="shared" si="18"/>
        <v>1</v>
      </c>
      <c r="BX20">
        <f>IFERROR(VLOOKUP($B20, aegis!$CN:$CO, 2, FALSE), 0)</f>
        <v>0</v>
      </c>
      <c r="BY20">
        <f>IFERROR(VLOOKUP($B20, duel!$CN:$CO, 2, FALSE), 0)</f>
        <v>0</v>
      </c>
      <c r="BZ20">
        <f>IFERROR(VLOOKUP($B20, blitz!$CN:$CO, 2, FALSE), 0)</f>
        <v>0</v>
      </c>
      <c r="CA20" t="b">
        <f t="shared" si="19"/>
        <v>1</v>
      </c>
      <c r="CB20">
        <f>IFERROR(VLOOKUP($B20, aegis!$CS:$CT, 2, FALSE), 0)</f>
        <v>0</v>
      </c>
      <c r="CC20">
        <f>IFERROR(VLOOKUP($B20, duel!$CS:$CT, 2, FALSE), 0)</f>
        <v>0</v>
      </c>
      <c r="CD20">
        <f>IFERROR(VLOOKUP($B20, blitz!$CS:$CT, 2, FALSE), 0)</f>
        <v>0</v>
      </c>
      <c r="CE20" t="b">
        <f t="shared" si="20"/>
        <v>1</v>
      </c>
      <c r="CF20">
        <f>IFERROR(VLOOKUP($B20, aegis!$CX:$CY, 2, FALSE), 0)</f>
        <v>0</v>
      </c>
      <c r="CG20">
        <f>IFERROR(VLOOKUP($B20, duel!$CX:$CY, 2, FALSE), 0)</f>
        <v>0</v>
      </c>
      <c r="CH20">
        <f>IFERROR(VLOOKUP($B20, blitz!$CX:$CY, 2, FALSE), 0)</f>
        <v>0</v>
      </c>
      <c r="CI20" t="b">
        <f t="shared" si="21"/>
        <v>1</v>
      </c>
      <c r="CJ20" t="str">
        <f>IFERROR(VLOOKUP($B20, aegis!$DC:$DD, 2, FALSE), 0)</f>
        <v>1</v>
      </c>
      <c r="CK20" t="str">
        <f>IFERROR(VLOOKUP($B20, duel!$DC:$DD, 2, FALSE), 0)</f>
        <v>1</v>
      </c>
      <c r="CL20" t="str">
        <f>IFERROR(VLOOKUP($B20, blitz!$DC:$DD, 2, FALSE), 0)</f>
        <v>1</v>
      </c>
      <c r="CM20" t="b">
        <f t="shared" si="22"/>
        <v>1</v>
      </c>
      <c r="CN20" t="str">
        <f>IFERROR(VLOOKUP($B20, aegis!$DH:$DI, 2, FALSE), 0)</f>
        <v>1</v>
      </c>
      <c r="CO20" t="str">
        <f>IFERROR(VLOOKUP($B20, duel!$DH:$DI, 2, FALSE), 0)</f>
        <v>1</v>
      </c>
      <c r="CP20" s="13">
        <f>IFERROR(VLOOKUP($B20, blitz!$DH:$DI, 2, FALSE), 0)</f>
        <v>0</v>
      </c>
      <c r="CQ20" t="b">
        <f t="shared" si="23"/>
        <v>1</v>
      </c>
      <c r="CR20">
        <f>IFERROR(VLOOKUP($B20, aegis!$DM:$DN, 2, FALSE), 0)</f>
        <v>0</v>
      </c>
      <c r="CS20">
        <f>IFERROR(VLOOKUP($B20, duel!$DM:$DN, 2, FALSE), 0)</f>
        <v>0</v>
      </c>
      <c r="CT20">
        <f>IFERROR(VLOOKUP($B20, blitz!$DM:$DN, 2, FALSE), 0)</f>
        <v>0</v>
      </c>
      <c r="CU20" t="b">
        <f t="shared" si="24"/>
        <v>1</v>
      </c>
      <c r="CV20">
        <f>IFERROR(VLOOKUP($B20, aegis!$DR:$DS, 2, FALSE), 0)</f>
        <v>0</v>
      </c>
      <c r="CW20">
        <f>IFERROR(VLOOKUP($B20, duel!$DR:$DS, 2, FALSE), 0)</f>
        <v>0</v>
      </c>
      <c r="CX20">
        <f>IFERROR(VLOOKUP($B20, blitz!$DR:$DS, 2, FALSE), 0)</f>
        <v>0</v>
      </c>
      <c r="CY20" t="b">
        <f t="shared" si="25"/>
        <v>1</v>
      </c>
    </row>
    <row r="21" spans="1:103">
      <c r="B21" s="6" t="s">
        <v>41</v>
      </c>
      <c r="C21" s="5" t="b">
        <f t="shared" si="0"/>
        <v>0</v>
      </c>
      <c r="D21" t="str">
        <f>IFERROR(VLOOKUP($B21, aegis!$B:$C, 2, FALSE), 0)</f>
        <v>24</v>
      </c>
      <c r="E21" t="str">
        <f>IFERROR(VLOOKUP($B21, duel!$B:$C, 2, FALSE), 0)</f>
        <v>24</v>
      </c>
      <c r="F21" t="str">
        <f>IFERROR(VLOOKUP($B21, blitz!$B:$C, 2, FALSE), 0)</f>
        <v>24</v>
      </c>
      <c r="G21" t="b">
        <f t="shared" si="1"/>
        <v>1</v>
      </c>
      <c r="H21" t="str">
        <f>IFERROR(VLOOKUP($B21, aegis!$G:$H, 2, FALSE), 0)</f>
        <v>14</v>
      </c>
      <c r="I21" t="str">
        <f>IFERROR(VLOOKUP($B21, duel!$G:$H, 2, FALSE), 0)</f>
        <v>14</v>
      </c>
      <c r="J21" t="str">
        <f>IFERROR(VLOOKUP($B21, blitz!$G:$H, 2, FALSE), 0)</f>
        <v>14</v>
      </c>
      <c r="K21" t="b">
        <f t="shared" si="2"/>
        <v>1</v>
      </c>
      <c r="L21" t="str">
        <f>IFERROR(VLOOKUP($B21, aegis!$L:$M, 2, FALSE), 0)</f>
        <v>24</v>
      </c>
      <c r="M21" t="str">
        <f>IFERROR(VLOOKUP($B21, duel!$L:$M, 2, FALSE), 0)</f>
        <v>24</v>
      </c>
      <c r="N21" t="str">
        <f>IFERROR(VLOOKUP($B21, blitz!$L:$M, 2, FALSE), 0)</f>
        <v>24</v>
      </c>
      <c r="O21" t="b">
        <f t="shared" si="3"/>
        <v>1</v>
      </c>
      <c r="P21" t="str">
        <f>IFERROR(VLOOKUP($B21, aegis!$Q:$R, 2, FALSE), 0)</f>
        <v>14</v>
      </c>
      <c r="Q21" t="str">
        <f>IFERROR(VLOOKUP($B21, duel!$Q:$R, 2, FALSE), 0)</f>
        <v>14</v>
      </c>
      <c r="R21" t="str">
        <f>IFERROR(VLOOKUP($B21, blitz!$Q:$R, 2, FALSE), 0)</f>
        <v>14</v>
      </c>
      <c r="S21" t="b">
        <f t="shared" si="4"/>
        <v>1</v>
      </c>
      <c r="T21">
        <f>IFERROR(VLOOKUP($B21, aegis!$V:$W, 2, FALSE), 0)</f>
        <v>0</v>
      </c>
      <c r="U21">
        <f>IFERROR(VLOOKUP($B21, duel!$V:$W, 2, FALSE), 0)</f>
        <v>0</v>
      </c>
      <c r="V21">
        <f>IFERROR(VLOOKUP($B21, blitz!$V:$W, 2, FALSE), 0)</f>
        <v>0</v>
      </c>
      <c r="W21" t="b">
        <f t="shared" si="5"/>
        <v>1</v>
      </c>
      <c r="X21" t="str">
        <f>IFERROR(VLOOKUP($B21, aegis!$AA:$AB, 2, FALSE), 0)</f>
        <v>2</v>
      </c>
      <c r="Y21" t="str">
        <f>IFERROR(VLOOKUP($B21, duel!$AA:$AB, 2, FALSE), 0)</f>
        <v>4</v>
      </c>
      <c r="Z21" t="str">
        <f>IFERROR(VLOOKUP($B21, blitz!$AA:$AB, 2, FALSE), 0)</f>
        <v>2</v>
      </c>
      <c r="AA21" t="b">
        <f t="shared" si="6"/>
        <v>0</v>
      </c>
      <c r="AB21">
        <f>IFERROR(VLOOKUP($B21, aegis!$AF:$AG, 2, FALSE), 0)</f>
        <v>0</v>
      </c>
      <c r="AC21">
        <f>IFERROR(VLOOKUP($B21, duel!$AF:$AG, 2, FALSE), 0)</f>
        <v>0</v>
      </c>
      <c r="AD21">
        <f>IFERROR(VLOOKUP($B21, blitz!$AF:$AG, 2, FALSE), 0)</f>
        <v>0</v>
      </c>
      <c r="AE21" t="b">
        <f t="shared" si="7"/>
        <v>1</v>
      </c>
      <c r="AF21" t="str">
        <f>IFERROR(VLOOKUP($B21, aegis!$AK:$AL, 2, FALSE), 0)</f>
        <v>3</v>
      </c>
      <c r="AG21" t="str">
        <f>IFERROR(VLOOKUP($B21, duel!$AK:$AL, 2, FALSE), 0)</f>
        <v>1</v>
      </c>
      <c r="AH21" t="str">
        <f>IFERROR(VLOOKUP($B21, blitz!$AK:$AL, 2, FALSE), 0)</f>
        <v>1</v>
      </c>
      <c r="AI21" t="b">
        <f t="shared" si="8"/>
        <v>0</v>
      </c>
      <c r="AJ21" t="str">
        <f>IFERROR(VLOOKUP($B21, aegis!$AP:$AQ, 2, FALSE), 0)</f>
        <v>1</v>
      </c>
      <c r="AK21" t="str">
        <f>IFERROR(VLOOKUP($B21, duel!$AP:$AQ, 2, FALSE), 0)</f>
        <v>1</v>
      </c>
      <c r="AL21" t="str">
        <f>IFERROR(VLOOKUP($B21, blitz!$AP:$AQ, 2, FALSE), 0)</f>
        <v>1</v>
      </c>
      <c r="AM21" t="b">
        <f t="shared" si="9"/>
        <v>1</v>
      </c>
      <c r="AN21">
        <f>IFERROR(VLOOKUP($B21, aegis!$AU:$AV, 2, FALSE), 0)</f>
        <v>0</v>
      </c>
      <c r="AO21">
        <f>IFERROR(VLOOKUP($B21, duel!$AU:$AV, 2, FALSE), 0)</f>
        <v>0</v>
      </c>
      <c r="AP21">
        <f>IFERROR(VLOOKUP($B21, blitz!$AU:$AV, 2, FALSE), 0)</f>
        <v>0</v>
      </c>
      <c r="AQ21" t="b">
        <f t="shared" si="10"/>
        <v>1</v>
      </c>
      <c r="AR21" t="str">
        <f>IFERROR(VLOOKUP($B21, aegis!$AZ:$BA, 2, FALSE), 0)</f>
        <v>2</v>
      </c>
      <c r="AS21" t="str">
        <f>IFERROR(VLOOKUP($B21, duel!$AZ:$BA, 2, FALSE), 0)</f>
        <v>2</v>
      </c>
      <c r="AT21" t="str">
        <f>IFERROR(VLOOKUP($B21, blitz!$AZ:$BA, 2, FALSE), 0)</f>
        <v>2</v>
      </c>
      <c r="AU21" t="b">
        <f t="shared" si="11"/>
        <v>1</v>
      </c>
      <c r="AV21" t="str">
        <f>IFERROR(VLOOKUP($B21, aegis!$BE:$BF, 2, FALSE), 0)</f>
        <v>1</v>
      </c>
      <c r="AW21" t="str">
        <f>IFERROR(VLOOKUP($B21, duel!$BE:$BF, 2, FALSE), 0)</f>
        <v>1</v>
      </c>
      <c r="AX21" t="str">
        <f>IFERROR(VLOOKUP($B21, blitz!$BE:$BF, 2, FALSE), 0)</f>
        <v>1</v>
      </c>
      <c r="AY21" t="b">
        <f t="shared" si="12"/>
        <v>1</v>
      </c>
      <c r="AZ21" t="str">
        <f>IFERROR(VLOOKUP($B21, aegis!$BJ:$BK, 2, FALSE), 0)</f>
        <v>1</v>
      </c>
      <c r="BA21" t="str">
        <f>IFERROR(VLOOKUP($B21, duel!$BJ:$BK, 2, FALSE), 0)</f>
        <v>1</v>
      </c>
      <c r="BB21" t="str">
        <f>IFERROR(VLOOKUP($B21, blitz!$BJ:$BK, 2, FALSE), 0)</f>
        <v>1</v>
      </c>
      <c r="BC21" t="b">
        <f t="shared" si="13"/>
        <v>1</v>
      </c>
      <c r="BD21">
        <f>IFERROR(VLOOKUP($B21, aegis!$BO:$BP, 2, FALSE), 0)</f>
        <v>0</v>
      </c>
      <c r="BE21">
        <f>IFERROR(VLOOKUP($B21, duel!$BO:$BP, 2, FALSE), 0)</f>
        <v>0</v>
      </c>
      <c r="BF21">
        <f>IFERROR(VLOOKUP($B21, blitz!$BO:$BP, 2, FALSE), 0)</f>
        <v>0</v>
      </c>
      <c r="BG21" t="b">
        <f t="shared" si="14"/>
        <v>1</v>
      </c>
      <c r="BH21">
        <f>IFERROR(VLOOKUP($B21, aegis!$BT:$BU, 2, FALSE), 0)</f>
        <v>0</v>
      </c>
      <c r="BI21">
        <f>IFERROR(VLOOKUP($B21, duel!$BT:$BU, 2, FALSE), 0)</f>
        <v>0</v>
      </c>
      <c r="BJ21">
        <f>IFERROR(VLOOKUP($B21, blitz!$BT:$BU, 2, FALSE), 0)</f>
        <v>0</v>
      </c>
      <c r="BK21" t="b">
        <f t="shared" si="15"/>
        <v>1</v>
      </c>
      <c r="BL21">
        <f>IFERROR(VLOOKUP($B21, aegis!$BY:$BZ, 2, FALSE), 0)</f>
        <v>0</v>
      </c>
      <c r="BM21">
        <f>IFERROR(VLOOKUP($B21, duel!$BY:$BZ, 2, FALSE), 0)</f>
        <v>0</v>
      </c>
      <c r="BN21">
        <f>IFERROR(VLOOKUP($B21, blitz!$BY:$BZ, 2, FALSE), 0)</f>
        <v>0</v>
      </c>
      <c r="BO21" t="b">
        <f t="shared" si="16"/>
        <v>1</v>
      </c>
      <c r="BP21" t="str">
        <f>IFERROR(VLOOKUP($B21, aegis!$CD:$CE, 2, FALSE), 0)</f>
        <v>3</v>
      </c>
      <c r="BQ21" t="str">
        <f>IFERROR(VLOOKUP($B21, duel!$CD:$CE, 2, FALSE), 0)</f>
        <v>3</v>
      </c>
      <c r="BR21" t="str">
        <f>IFERROR(VLOOKUP($B21, blitz!$CD:$CE, 2, FALSE), 0)</f>
        <v>3</v>
      </c>
      <c r="BS21" t="b">
        <f t="shared" si="17"/>
        <v>1</v>
      </c>
      <c r="BT21">
        <f>IFERROR(VLOOKUP($B21, aegis!$CI:$CJ, 2, FALSE), 0)</f>
        <v>0</v>
      </c>
      <c r="BU21">
        <f>IFERROR(VLOOKUP($B21, duel!$CI:$CJ, 2, FALSE), 0)</f>
        <v>0</v>
      </c>
      <c r="BV21">
        <f>IFERROR(VLOOKUP($B21, blitz!$CI:$CJ, 2, FALSE), 0)</f>
        <v>0</v>
      </c>
      <c r="BW21" t="b">
        <f t="shared" si="18"/>
        <v>1</v>
      </c>
      <c r="BX21">
        <f>IFERROR(VLOOKUP($B21, aegis!$CN:$CO, 2, FALSE), 0)</f>
        <v>0</v>
      </c>
      <c r="BY21">
        <f>IFERROR(VLOOKUP($B21, duel!$CN:$CO, 2, FALSE), 0)</f>
        <v>0</v>
      </c>
      <c r="BZ21">
        <f>IFERROR(VLOOKUP($B21, blitz!$CN:$CO, 2, FALSE), 0)</f>
        <v>0</v>
      </c>
      <c r="CA21" t="b">
        <f t="shared" si="19"/>
        <v>1</v>
      </c>
      <c r="CB21">
        <f>IFERROR(VLOOKUP($B21, aegis!$CS:$CT, 2, FALSE), 0)</f>
        <v>0</v>
      </c>
      <c r="CC21">
        <f>IFERROR(VLOOKUP($B21, duel!$CS:$CT, 2, FALSE), 0)</f>
        <v>0</v>
      </c>
      <c r="CD21">
        <f>IFERROR(VLOOKUP($B21, blitz!$CS:$CT, 2, FALSE), 0)</f>
        <v>0</v>
      </c>
      <c r="CE21" t="b">
        <f t="shared" si="20"/>
        <v>1</v>
      </c>
      <c r="CF21">
        <f>IFERROR(VLOOKUP($B21, aegis!$CX:$CY, 2, FALSE), 0)</f>
        <v>0</v>
      </c>
      <c r="CG21">
        <f>IFERROR(VLOOKUP($B21, duel!$CX:$CY, 2, FALSE), 0)</f>
        <v>0</v>
      </c>
      <c r="CH21">
        <f>IFERROR(VLOOKUP($B21, blitz!$CX:$CY, 2, FALSE), 0)</f>
        <v>0</v>
      </c>
      <c r="CI21" t="b">
        <f t="shared" si="21"/>
        <v>1</v>
      </c>
      <c r="CJ21" t="str">
        <f>IFERROR(VLOOKUP($B21, aegis!$DC:$DD, 2, FALSE), 0)</f>
        <v>1</v>
      </c>
      <c r="CK21" t="str">
        <f>IFERROR(VLOOKUP($B21, duel!$DC:$DD, 2, FALSE), 0)</f>
        <v>1</v>
      </c>
      <c r="CL21" t="str">
        <f>IFERROR(VLOOKUP($B21, blitz!$DC:$DD, 2, FALSE), 0)</f>
        <v>1</v>
      </c>
      <c r="CM21" t="b">
        <f t="shared" si="22"/>
        <v>1</v>
      </c>
      <c r="CN21">
        <f>IFERROR(VLOOKUP($B21, aegis!$DH:$DI, 2, FALSE), 0)</f>
        <v>0</v>
      </c>
      <c r="CO21">
        <f>IFERROR(VLOOKUP($B21, duel!$DH:$DI, 2, FALSE), 0)</f>
        <v>0</v>
      </c>
      <c r="CP21" s="13">
        <f>IFERROR(VLOOKUP($B21, blitz!$DH:$DI, 2, FALSE), 0)</f>
        <v>0</v>
      </c>
      <c r="CQ21" t="b">
        <f t="shared" si="23"/>
        <v>1</v>
      </c>
      <c r="CR21">
        <f>IFERROR(VLOOKUP($B21, aegis!$DM:$DN, 2, FALSE), 0)</f>
        <v>0</v>
      </c>
      <c r="CS21">
        <f>IFERROR(VLOOKUP($B21, duel!$DM:$DN, 2, FALSE), 0)</f>
        <v>0</v>
      </c>
      <c r="CT21">
        <f>IFERROR(VLOOKUP($B21, blitz!$DM:$DN, 2, FALSE), 0)</f>
        <v>0</v>
      </c>
      <c r="CU21" t="b">
        <f t="shared" si="24"/>
        <v>1</v>
      </c>
      <c r="CV21">
        <f>IFERROR(VLOOKUP($B21, aegis!$DR:$DS, 2, FALSE), 0)</f>
        <v>0</v>
      </c>
      <c r="CW21">
        <f>IFERROR(VLOOKUP($B21, duel!$DR:$DS, 2, FALSE), 0)</f>
        <v>0</v>
      </c>
      <c r="CX21">
        <f>IFERROR(VLOOKUP($B21, blitz!$DR:$DS, 2, FALSE), 0)</f>
        <v>0</v>
      </c>
      <c r="CY21" t="b">
        <f t="shared" si="25"/>
        <v>1</v>
      </c>
    </row>
    <row r="22" spans="1:103">
      <c r="A22" t="s">
        <v>1733</v>
      </c>
      <c r="B22" s="6" t="s">
        <v>42</v>
      </c>
      <c r="C22" s="5" t="b">
        <f t="shared" si="0"/>
        <v>0</v>
      </c>
      <c r="D22" t="str">
        <f>IFERROR(VLOOKUP($B22, aegis!$B:$C, 2, FALSE), 0)</f>
        <v>72</v>
      </c>
      <c r="E22" t="str">
        <f>IFERROR(VLOOKUP($B22, duel!$B:$C, 2, FALSE), 0)</f>
        <v>72</v>
      </c>
      <c r="F22" t="str">
        <f>IFERROR(VLOOKUP($B22, blitz!$B:$C, 2, FALSE), 0)</f>
        <v>72</v>
      </c>
      <c r="G22" t="b">
        <f t="shared" si="1"/>
        <v>1</v>
      </c>
      <c r="H22" t="str">
        <f>IFERROR(VLOOKUP($B22, aegis!$G:$H, 2, FALSE), 0)</f>
        <v>42</v>
      </c>
      <c r="I22" t="str">
        <f>IFERROR(VLOOKUP($B22, duel!$G:$H, 2, FALSE), 0)</f>
        <v>42</v>
      </c>
      <c r="J22" t="str">
        <f>IFERROR(VLOOKUP($B22, blitz!$G:$H, 2, FALSE), 0)</f>
        <v>42</v>
      </c>
      <c r="K22" t="b">
        <f t="shared" si="2"/>
        <v>1</v>
      </c>
      <c r="L22" t="str">
        <f>IFERROR(VLOOKUP($B22, aegis!$L:$M, 2, FALSE), 0)</f>
        <v>72</v>
      </c>
      <c r="M22" t="str">
        <f>IFERROR(VLOOKUP($B22, duel!$L:$M, 2, FALSE), 0)</f>
        <v>72</v>
      </c>
      <c r="N22" t="str">
        <f>IFERROR(VLOOKUP($B22, blitz!$L:$M, 2, FALSE), 0)</f>
        <v>72</v>
      </c>
      <c r="O22" t="b">
        <f t="shared" si="3"/>
        <v>1</v>
      </c>
      <c r="P22" t="str">
        <f>IFERROR(VLOOKUP($B22, aegis!$Q:$R, 2, FALSE), 0)</f>
        <v>42</v>
      </c>
      <c r="Q22" t="str">
        <f>IFERROR(VLOOKUP($B22, duel!$Q:$R, 2, FALSE), 0)</f>
        <v>42</v>
      </c>
      <c r="R22" t="str">
        <f>IFERROR(VLOOKUP($B22, blitz!$Q:$R, 2, FALSE), 0)</f>
        <v>42</v>
      </c>
      <c r="S22" t="b">
        <f t="shared" si="4"/>
        <v>1</v>
      </c>
      <c r="T22" t="str">
        <f>IFERROR(VLOOKUP($B22, aegis!$V:$W, 2, FALSE), 0)</f>
        <v>583</v>
      </c>
      <c r="U22" t="str">
        <f>IFERROR(VLOOKUP($B22, duel!$V:$W, 2, FALSE), 0)</f>
        <v>583</v>
      </c>
      <c r="V22" t="str">
        <f>IFERROR(VLOOKUP($B22, blitz!$V:$W, 2, FALSE), 0)</f>
        <v>583</v>
      </c>
      <c r="W22" t="b">
        <f t="shared" si="5"/>
        <v>1</v>
      </c>
      <c r="X22" t="str">
        <f>IFERROR(VLOOKUP($B22, aegis!$AA:$AB, 2, FALSE), 0)</f>
        <v>3</v>
      </c>
      <c r="Y22" t="str">
        <f>IFERROR(VLOOKUP($B22, duel!$AA:$AB, 2, FALSE), 0)</f>
        <v>6</v>
      </c>
      <c r="Z22" t="str">
        <f>IFERROR(VLOOKUP($B22, blitz!$AA:$AB, 2, FALSE), 0)</f>
        <v>3</v>
      </c>
      <c r="AA22" t="b">
        <f t="shared" si="6"/>
        <v>0</v>
      </c>
      <c r="AB22" t="str">
        <f>IFERROR(VLOOKUP($B22, aegis!$AF:$AG, 2, FALSE), 0)</f>
        <v>162</v>
      </c>
      <c r="AC22" t="str">
        <f>IFERROR(VLOOKUP($B22, duel!$AF:$AG, 2, FALSE), 0)</f>
        <v>162</v>
      </c>
      <c r="AD22" t="str">
        <f>IFERROR(VLOOKUP($B22, blitz!$AF:$AG, 2, FALSE), 0)</f>
        <v>162</v>
      </c>
      <c r="AE22" t="b">
        <f t="shared" si="7"/>
        <v>1</v>
      </c>
      <c r="AF22" t="str">
        <f>IFERROR(VLOOKUP($B22, aegis!$AK:$AL, 2, FALSE), 0)</f>
        <v>4</v>
      </c>
      <c r="AG22" t="str">
        <f>IFERROR(VLOOKUP($B22, duel!$AK:$AL, 2, FALSE), 0)</f>
        <v>1</v>
      </c>
      <c r="AH22" t="str">
        <f>IFERROR(VLOOKUP($B22, blitz!$AK:$AL, 2, FALSE), 0)</f>
        <v>1</v>
      </c>
      <c r="AI22" t="b">
        <f t="shared" si="8"/>
        <v>0</v>
      </c>
      <c r="AJ22" t="str">
        <f>IFERROR(VLOOKUP($B22, aegis!$AP:$AQ, 2, FALSE), 0)</f>
        <v>3</v>
      </c>
      <c r="AK22" t="str">
        <f>IFERROR(VLOOKUP($B22, duel!$AP:$AQ, 2, FALSE), 0)</f>
        <v>3</v>
      </c>
      <c r="AL22" t="str">
        <f>IFERROR(VLOOKUP($B22, blitz!$AP:$AQ, 2, FALSE), 0)</f>
        <v>3</v>
      </c>
      <c r="AM22" t="b">
        <f t="shared" si="9"/>
        <v>1</v>
      </c>
      <c r="AN22">
        <f>IFERROR(VLOOKUP($B22, aegis!$AU:$AV, 2, FALSE), 0)</f>
        <v>0</v>
      </c>
      <c r="AO22">
        <f>IFERROR(VLOOKUP($B22, duel!$AU:$AV, 2, FALSE), 0)</f>
        <v>0</v>
      </c>
      <c r="AP22">
        <f>IFERROR(VLOOKUP($B22, blitz!$AU:$AV, 2, FALSE), 0)</f>
        <v>0</v>
      </c>
      <c r="AQ22" t="b">
        <f t="shared" si="10"/>
        <v>1</v>
      </c>
      <c r="AR22" t="str">
        <f>IFERROR(VLOOKUP($B22, aegis!$AZ:$BA, 2, FALSE), 0)</f>
        <v>3</v>
      </c>
      <c r="AS22" t="str">
        <f>IFERROR(VLOOKUP($B22, duel!$AZ:$BA, 2, FALSE), 0)</f>
        <v>3</v>
      </c>
      <c r="AT22" t="str">
        <f>IFERROR(VLOOKUP($B22, blitz!$AZ:$BA, 2, FALSE), 0)</f>
        <v>3</v>
      </c>
      <c r="AU22" t="b">
        <f t="shared" si="11"/>
        <v>1</v>
      </c>
      <c r="AV22" t="str">
        <f>IFERROR(VLOOKUP($B22, aegis!$BE:$BF, 2, FALSE), 0)</f>
        <v>3</v>
      </c>
      <c r="AW22" t="str">
        <f>IFERROR(VLOOKUP($B22, duel!$BE:$BF, 2, FALSE), 0)</f>
        <v>3</v>
      </c>
      <c r="AX22" t="str">
        <f>IFERROR(VLOOKUP($B22, blitz!$BE:$BF, 2, FALSE), 0)</f>
        <v>3</v>
      </c>
      <c r="AY22" t="b">
        <f t="shared" si="12"/>
        <v>1</v>
      </c>
      <c r="AZ22" t="str">
        <f>IFERROR(VLOOKUP($B22, aegis!$BJ:$BK, 2, FALSE), 0)</f>
        <v>1</v>
      </c>
      <c r="BA22" t="str">
        <f>IFERROR(VLOOKUP($B22, duel!$BJ:$BK, 2, FALSE), 0)</f>
        <v>1</v>
      </c>
      <c r="BB22" t="str">
        <f>IFERROR(VLOOKUP($B22, blitz!$BJ:$BK, 2, FALSE), 0)</f>
        <v>1</v>
      </c>
      <c r="BC22" t="b">
        <f t="shared" si="13"/>
        <v>1</v>
      </c>
      <c r="BD22">
        <f>IFERROR(VLOOKUP($B22, aegis!$BO:$BP, 2, FALSE), 0)</f>
        <v>0</v>
      </c>
      <c r="BE22">
        <f>IFERROR(VLOOKUP($B22, duel!$BO:$BP, 2, FALSE), 0)</f>
        <v>0</v>
      </c>
      <c r="BF22">
        <f>IFERROR(VLOOKUP($B22, blitz!$BO:$BP, 2, FALSE), 0)</f>
        <v>0</v>
      </c>
      <c r="BG22" t="b">
        <f t="shared" si="14"/>
        <v>1</v>
      </c>
      <c r="BH22" t="str">
        <f>IFERROR(VLOOKUP($B22, aegis!$BT:$BU, 2, FALSE), 0)</f>
        <v>128</v>
      </c>
      <c r="BI22" t="str">
        <f>IFERROR(VLOOKUP($B22, duel!$BT:$BU, 2, FALSE), 0)</f>
        <v>128</v>
      </c>
      <c r="BJ22" t="str">
        <f>IFERROR(VLOOKUP($B22, blitz!$BT:$BU, 2, FALSE), 0)</f>
        <v>128</v>
      </c>
      <c r="BK22" t="b">
        <f t="shared" si="15"/>
        <v>1</v>
      </c>
      <c r="BL22" t="str">
        <f>IFERROR(VLOOKUP($B22, aegis!$BY:$BZ, 2, FALSE), 0)</f>
        <v>1</v>
      </c>
      <c r="BM22" t="str">
        <f>IFERROR(VLOOKUP($B22, duel!$BY:$BZ, 2, FALSE), 0)</f>
        <v>1</v>
      </c>
      <c r="BN22" t="str">
        <f>IFERROR(VLOOKUP($B22, blitz!$BY:$BZ, 2, FALSE), 0)</f>
        <v>1</v>
      </c>
      <c r="BO22" t="b">
        <f t="shared" si="16"/>
        <v>1</v>
      </c>
      <c r="BP22" t="str">
        <f>IFERROR(VLOOKUP($B22, aegis!$CD:$CE, 2, FALSE), 0)</f>
        <v>5</v>
      </c>
      <c r="BQ22" t="str">
        <f>IFERROR(VLOOKUP($B22, duel!$CD:$CE, 2, FALSE), 0)</f>
        <v>5</v>
      </c>
      <c r="BR22" t="str">
        <f>IFERROR(VLOOKUP($B22, blitz!$CD:$CE, 2, FALSE), 0)</f>
        <v>5</v>
      </c>
      <c r="BS22" t="b">
        <f t="shared" si="17"/>
        <v>1</v>
      </c>
      <c r="BT22">
        <f>IFERROR(VLOOKUP($B22, aegis!$CI:$CJ, 2, FALSE), 0)</f>
        <v>0</v>
      </c>
      <c r="BU22">
        <f>IFERROR(VLOOKUP($B22, duel!$CI:$CJ, 2, FALSE), 0)</f>
        <v>0</v>
      </c>
      <c r="BV22">
        <f>IFERROR(VLOOKUP($B22, blitz!$CI:$CJ, 2, FALSE), 0)</f>
        <v>0</v>
      </c>
      <c r="BW22" t="b">
        <f t="shared" si="18"/>
        <v>1</v>
      </c>
      <c r="BX22">
        <f>IFERROR(VLOOKUP($B22, aegis!$CN:$CO, 2, FALSE), 0)</f>
        <v>0</v>
      </c>
      <c r="BY22">
        <f>IFERROR(VLOOKUP($B22, duel!$CN:$CO, 2, FALSE), 0)</f>
        <v>0</v>
      </c>
      <c r="BZ22">
        <f>IFERROR(VLOOKUP($B22, blitz!$CN:$CO, 2, FALSE), 0)</f>
        <v>0</v>
      </c>
      <c r="CA22" t="b">
        <f t="shared" si="19"/>
        <v>1</v>
      </c>
      <c r="CB22">
        <f>IFERROR(VLOOKUP($B22, aegis!$CS:$CT, 2, FALSE), 0)</f>
        <v>0</v>
      </c>
      <c r="CC22">
        <f>IFERROR(VLOOKUP($B22, duel!$CS:$CT, 2, FALSE), 0)</f>
        <v>0</v>
      </c>
      <c r="CD22">
        <f>IFERROR(VLOOKUP($B22, blitz!$CS:$CT, 2, FALSE), 0)</f>
        <v>0</v>
      </c>
      <c r="CE22" t="b">
        <f t="shared" si="20"/>
        <v>1</v>
      </c>
      <c r="CF22" t="str">
        <f>IFERROR(VLOOKUP($B22, aegis!$CX:$CY, 2, FALSE), 0)</f>
        <v>46288</v>
      </c>
      <c r="CG22" t="str">
        <f>IFERROR(VLOOKUP($B22, duel!$CX:$CY, 2, FALSE), 0)</f>
        <v>46279</v>
      </c>
      <c r="CH22" t="str">
        <f>IFERROR(VLOOKUP($B22, blitz!$CX:$CY, 2, FALSE), 0)</f>
        <v>8224</v>
      </c>
      <c r="CI22" t="b">
        <f t="shared" si="21"/>
        <v>0</v>
      </c>
      <c r="CJ22" t="str">
        <f>IFERROR(VLOOKUP($B22, aegis!$DC:$DD, 2, FALSE), 0)</f>
        <v>1</v>
      </c>
      <c r="CK22" t="str">
        <f>IFERROR(VLOOKUP($B22, duel!$DC:$DD, 2, FALSE), 0)</f>
        <v>1</v>
      </c>
      <c r="CL22" t="str">
        <f>IFERROR(VLOOKUP($B22, blitz!$DC:$DD, 2, FALSE), 0)</f>
        <v>1</v>
      </c>
      <c r="CM22" t="b">
        <f t="shared" si="22"/>
        <v>1</v>
      </c>
      <c r="CN22" t="str">
        <f>IFERROR(VLOOKUP($B22, aegis!$DH:$DI, 2, FALSE), 0)</f>
        <v>2</v>
      </c>
      <c r="CO22" t="str">
        <f>IFERROR(VLOOKUP($B22, duel!$DH:$DI, 2, FALSE), 0)</f>
        <v>2</v>
      </c>
      <c r="CP22" s="13">
        <f>IFERROR(VLOOKUP($B22, blitz!$DH:$DI, 2, FALSE), 0)</f>
        <v>0</v>
      </c>
      <c r="CQ22" t="b">
        <f t="shared" si="23"/>
        <v>1</v>
      </c>
      <c r="CR22" t="str">
        <f>IFERROR(VLOOKUP($B22, aegis!$DM:$DN, 2, FALSE), 0)</f>
        <v>1</v>
      </c>
      <c r="CS22" t="str">
        <f>IFERROR(VLOOKUP($B22, duel!$DM:$DN, 2, FALSE), 0)</f>
        <v>1</v>
      </c>
      <c r="CT22" t="str">
        <f>IFERROR(VLOOKUP($B22, blitz!$DM:$DN, 2, FALSE), 0)</f>
        <v>1</v>
      </c>
      <c r="CU22" t="b">
        <f t="shared" si="24"/>
        <v>1</v>
      </c>
      <c r="CV22" t="str">
        <f>IFERROR(VLOOKUP($B22, aegis!$DR:$DS, 2, FALSE), 0)</f>
        <v>162</v>
      </c>
      <c r="CW22" t="str">
        <f>IFERROR(VLOOKUP($B22, duel!$DR:$DS, 2, FALSE), 0)</f>
        <v>162</v>
      </c>
      <c r="CX22" t="str">
        <f>IFERROR(VLOOKUP($B22, blitz!$DR:$DS, 2, FALSE), 0)</f>
        <v>162</v>
      </c>
      <c r="CY22" t="b">
        <f t="shared" si="25"/>
        <v>1</v>
      </c>
    </row>
    <row r="23" spans="1:103">
      <c r="B23" s="6" t="s">
        <v>44</v>
      </c>
      <c r="C23" s="5" t="b">
        <f t="shared" si="0"/>
        <v>0</v>
      </c>
      <c r="D23" t="str">
        <f>IFERROR(VLOOKUP($B23, aegis!$B:$C, 2, FALSE), 0)</f>
        <v>60</v>
      </c>
      <c r="E23" t="str">
        <f>IFERROR(VLOOKUP($B23, duel!$B:$C, 2, FALSE), 0)</f>
        <v>60</v>
      </c>
      <c r="F23" t="str">
        <f>IFERROR(VLOOKUP($B23, blitz!$B:$C, 2, FALSE), 0)</f>
        <v>60</v>
      </c>
      <c r="G23" t="b">
        <f t="shared" si="1"/>
        <v>1</v>
      </c>
      <c r="H23" t="str">
        <f>IFERROR(VLOOKUP($B23, aegis!$G:$H, 2, FALSE), 0)</f>
        <v>35</v>
      </c>
      <c r="I23" t="str">
        <f>IFERROR(VLOOKUP($B23, duel!$G:$H, 2, FALSE), 0)</f>
        <v>35</v>
      </c>
      <c r="J23" t="str">
        <f>IFERROR(VLOOKUP($B23, blitz!$G:$H, 2, FALSE), 0)</f>
        <v>35</v>
      </c>
      <c r="K23" t="b">
        <f t="shared" si="2"/>
        <v>1</v>
      </c>
      <c r="L23" t="str">
        <f>IFERROR(VLOOKUP($B23, aegis!$L:$M, 2, FALSE), 0)</f>
        <v>60</v>
      </c>
      <c r="M23" t="str">
        <f>IFERROR(VLOOKUP($B23, duel!$L:$M, 2, FALSE), 0)</f>
        <v>60</v>
      </c>
      <c r="N23" t="str">
        <f>IFERROR(VLOOKUP($B23, blitz!$L:$M, 2, FALSE), 0)</f>
        <v>60</v>
      </c>
      <c r="O23" t="b">
        <f t="shared" si="3"/>
        <v>1</v>
      </c>
      <c r="P23" t="str">
        <f>IFERROR(VLOOKUP($B23, aegis!$Q:$R, 2, FALSE), 0)</f>
        <v>35</v>
      </c>
      <c r="Q23" t="str">
        <f>IFERROR(VLOOKUP($B23, duel!$Q:$R, 2, FALSE), 0)</f>
        <v>35</v>
      </c>
      <c r="R23" t="str">
        <f>IFERROR(VLOOKUP($B23, blitz!$Q:$R, 2, FALSE), 0)</f>
        <v>35</v>
      </c>
      <c r="S23" t="b">
        <f t="shared" si="4"/>
        <v>1</v>
      </c>
      <c r="T23" t="str">
        <f>IFERROR(VLOOKUP($B23, aegis!$V:$W, 2, FALSE), 0)</f>
        <v>55</v>
      </c>
      <c r="U23" t="str">
        <f>IFERROR(VLOOKUP($B23, duel!$V:$W, 2, FALSE), 0)</f>
        <v>55</v>
      </c>
      <c r="V23" t="str">
        <f>IFERROR(VLOOKUP($B23, blitz!$V:$W, 2, FALSE), 0)</f>
        <v>55</v>
      </c>
      <c r="W23" t="b">
        <f t="shared" si="5"/>
        <v>1</v>
      </c>
      <c r="X23" t="str">
        <f>IFERROR(VLOOKUP($B23, aegis!$AA:$AB, 2, FALSE), 0)</f>
        <v>2</v>
      </c>
      <c r="Y23" t="str">
        <f>IFERROR(VLOOKUP($B23, duel!$AA:$AB, 2, FALSE), 0)</f>
        <v>4</v>
      </c>
      <c r="Z23" t="str">
        <f>IFERROR(VLOOKUP($B23, blitz!$AA:$AB, 2, FALSE), 0)</f>
        <v>2</v>
      </c>
      <c r="AA23" t="b">
        <f t="shared" si="6"/>
        <v>0</v>
      </c>
      <c r="AB23" t="str">
        <f>IFERROR(VLOOKUP($B23, aegis!$AF:$AG, 2, FALSE), 0)</f>
        <v>29</v>
      </c>
      <c r="AC23" t="str">
        <f>IFERROR(VLOOKUP($B23, duel!$AF:$AG, 2, FALSE), 0)</f>
        <v>29</v>
      </c>
      <c r="AD23" t="str">
        <f>IFERROR(VLOOKUP($B23, blitz!$AF:$AG, 2, FALSE), 0)</f>
        <v>29</v>
      </c>
      <c r="AE23" t="b">
        <f t="shared" si="7"/>
        <v>1</v>
      </c>
      <c r="AF23" t="str">
        <f>IFERROR(VLOOKUP($B23, aegis!$AK:$AL, 2, FALSE), 0)</f>
        <v>3</v>
      </c>
      <c r="AG23" t="str">
        <f>IFERROR(VLOOKUP($B23, duel!$AK:$AL, 2, FALSE), 0)</f>
        <v>1</v>
      </c>
      <c r="AH23" t="str">
        <f>IFERROR(VLOOKUP($B23, blitz!$AK:$AL, 2, FALSE), 0)</f>
        <v>1</v>
      </c>
      <c r="AI23" t="b">
        <f t="shared" si="8"/>
        <v>0</v>
      </c>
      <c r="AJ23" t="str">
        <f>IFERROR(VLOOKUP($B23, aegis!$AP:$AQ, 2, FALSE), 0)</f>
        <v>2</v>
      </c>
      <c r="AK23" t="str">
        <f>IFERROR(VLOOKUP($B23, duel!$AP:$AQ, 2, FALSE), 0)</f>
        <v>2</v>
      </c>
      <c r="AL23" t="str">
        <f>IFERROR(VLOOKUP($B23, blitz!$AP:$AQ, 2, FALSE), 0)</f>
        <v>2</v>
      </c>
      <c r="AM23" t="b">
        <f t="shared" si="9"/>
        <v>1</v>
      </c>
      <c r="AN23">
        <f>IFERROR(VLOOKUP($B23, aegis!$AU:$AV, 2, FALSE), 0)</f>
        <v>0</v>
      </c>
      <c r="AO23">
        <f>IFERROR(VLOOKUP($B23, duel!$AU:$AV, 2, FALSE), 0)</f>
        <v>0</v>
      </c>
      <c r="AP23">
        <f>IFERROR(VLOOKUP($B23, blitz!$AU:$AV, 2, FALSE), 0)</f>
        <v>0</v>
      </c>
      <c r="AQ23" t="b">
        <f t="shared" si="10"/>
        <v>1</v>
      </c>
      <c r="AR23" t="str">
        <f>IFERROR(VLOOKUP($B23, aegis!$AZ:$BA, 2, FALSE), 0)</f>
        <v>2</v>
      </c>
      <c r="AS23" t="str">
        <f>IFERROR(VLOOKUP($B23, duel!$AZ:$BA, 2, FALSE), 0)</f>
        <v>2</v>
      </c>
      <c r="AT23" t="str">
        <f>IFERROR(VLOOKUP($B23, blitz!$AZ:$BA, 2, FALSE), 0)</f>
        <v>2</v>
      </c>
      <c r="AU23" t="b">
        <f t="shared" si="11"/>
        <v>1</v>
      </c>
      <c r="AV23" t="str">
        <f>IFERROR(VLOOKUP($B23, aegis!$BE:$BF, 2, FALSE), 0)</f>
        <v>2</v>
      </c>
      <c r="AW23" t="str">
        <f>IFERROR(VLOOKUP($B23, duel!$BE:$BF, 2, FALSE), 0)</f>
        <v>2</v>
      </c>
      <c r="AX23" t="str">
        <f>IFERROR(VLOOKUP($B23, blitz!$BE:$BF, 2, FALSE), 0)</f>
        <v>2</v>
      </c>
      <c r="AY23" t="b">
        <f t="shared" si="12"/>
        <v>1</v>
      </c>
      <c r="AZ23" t="str">
        <f>IFERROR(VLOOKUP($B23, aegis!$BJ:$BK, 2, FALSE), 0)</f>
        <v>1</v>
      </c>
      <c r="BA23" t="str">
        <f>IFERROR(VLOOKUP($B23, duel!$BJ:$BK, 2, FALSE), 0)</f>
        <v>1</v>
      </c>
      <c r="BB23" t="str">
        <f>IFERROR(VLOOKUP($B23, blitz!$BJ:$BK, 2, FALSE), 0)</f>
        <v>1</v>
      </c>
      <c r="BC23" t="b">
        <f t="shared" si="13"/>
        <v>1</v>
      </c>
      <c r="BD23">
        <f>IFERROR(VLOOKUP($B23, aegis!$BO:$BP, 2, FALSE), 0)</f>
        <v>0</v>
      </c>
      <c r="BE23">
        <f>IFERROR(VLOOKUP($B23, duel!$BO:$BP, 2, FALSE), 0)</f>
        <v>0</v>
      </c>
      <c r="BF23">
        <f>IFERROR(VLOOKUP($B23, blitz!$BO:$BP, 2, FALSE), 0)</f>
        <v>0</v>
      </c>
      <c r="BG23" t="b">
        <f t="shared" si="14"/>
        <v>1</v>
      </c>
      <c r="BH23" t="str">
        <f>IFERROR(VLOOKUP($B23, aegis!$BT:$BU, 2, FALSE), 0)</f>
        <v>13</v>
      </c>
      <c r="BI23" t="str">
        <f>IFERROR(VLOOKUP($B23, duel!$BT:$BU, 2, FALSE), 0)</f>
        <v>13</v>
      </c>
      <c r="BJ23" t="str">
        <f>IFERROR(VLOOKUP($B23, blitz!$BT:$BU, 2, FALSE), 0)</f>
        <v>13</v>
      </c>
      <c r="BK23" t="b">
        <f t="shared" si="15"/>
        <v>1</v>
      </c>
      <c r="BL23">
        <f>IFERROR(VLOOKUP($B23, aegis!$BY:$BZ, 2, FALSE), 0)</f>
        <v>0</v>
      </c>
      <c r="BM23">
        <f>IFERROR(VLOOKUP($B23, duel!$BY:$BZ, 2, FALSE), 0)</f>
        <v>0</v>
      </c>
      <c r="BN23">
        <f>IFERROR(VLOOKUP($B23, blitz!$BY:$BZ, 2, FALSE), 0)</f>
        <v>0</v>
      </c>
      <c r="BO23" t="b">
        <f t="shared" si="16"/>
        <v>1</v>
      </c>
      <c r="BP23" t="str">
        <f>IFERROR(VLOOKUP($B23, aegis!$CD:$CE, 2, FALSE), 0)</f>
        <v>4</v>
      </c>
      <c r="BQ23" t="str">
        <f>IFERROR(VLOOKUP($B23, duel!$CD:$CE, 2, FALSE), 0)</f>
        <v>4</v>
      </c>
      <c r="BR23" t="str">
        <f>IFERROR(VLOOKUP($B23, blitz!$CD:$CE, 2, FALSE), 0)</f>
        <v>4</v>
      </c>
      <c r="BS23" t="b">
        <f t="shared" si="17"/>
        <v>1</v>
      </c>
      <c r="BT23">
        <f>IFERROR(VLOOKUP($B23, aegis!$CI:$CJ, 2, FALSE), 0)</f>
        <v>0</v>
      </c>
      <c r="BU23">
        <f>IFERROR(VLOOKUP($B23, duel!$CI:$CJ, 2, FALSE), 0)</f>
        <v>0</v>
      </c>
      <c r="BV23">
        <f>IFERROR(VLOOKUP($B23, blitz!$CI:$CJ, 2, FALSE), 0)</f>
        <v>0</v>
      </c>
      <c r="BW23" t="b">
        <f t="shared" si="18"/>
        <v>1</v>
      </c>
      <c r="BX23">
        <f>IFERROR(VLOOKUP($B23, aegis!$CN:$CO, 2, FALSE), 0)</f>
        <v>0</v>
      </c>
      <c r="BY23">
        <f>IFERROR(VLOOKUP($B23, duel!$CN:$CO, 2, FALSE), 0)</f>
        <v>0</v>
      </c>
      <c r="BZ23">
        <f>IFERROR(VLOOKUP($B23, blitz!$CN:$CO, 2, FALSE), 0)</f>
        <v>0</v>
      </c>
      <c r="CA23" t="b">
        <f t="shared" si="19"/>
        <v>1</v>
      </c>
      <c r="CB23">
        <f>IFERROR(VLOOKUP($B23, aegis!$CS:$CT, 2, FALSE), 0)</f>
        <v>0</v>
      </c>
      <c r="CC23">
        <f>IFERROR(VLOOKUP($B23, duel!$CS:$CT, 2, FALSE), 0)</f>
        <v>0</v>
      </c>
      <c r="CD23">
        <f>IFERROR(VLOOKUP($B23, blitz!$CS:$CT, 2, FALSE), 0)</f>
        <v>0</v>
      </c>
      <c r="CE23" t="b">
        <f t="shared" si="20"/>
        <v>1</v>
      </c>
      <c r="CF23">
        <f>IFERROR(VLOOKUP($B23, aegis!$CX:$CY, 2, FALSE), 0)</f>
        <v>0</v>
      </c>
      <c r="CG23">
        <f>IFERROR(VLOOKUP($B23, duel!$CX:$CY, 2, FALSE), 0)</f>
        <v>0</v>
      </c>
      <c r="CH23">
        <f>IFERROR(VLOOKUP($B23, blitz!$CX:$CY, 2, FALSE), 0)</f>
        <v>0</v>
      </c>
      <c r="CI23" t="b">
        <f t="shared" si="21"/>
        <v>1</v>
      </c>
      <c r="CJ23" t="str">
        <f>IFERROR(VLOOKUP($B23, aegis!$DC:$DD, 2, FALSE), 0)</f>
        <v>1</v>
      </c>
      <c r="CK23" t="str">
        <f>IFERROR(VLOOKUP($B23, duel!$DC:$DD, 2, FALSE), 0)</f>
        <v>1</v>
      </c>
      <c r="CL23" t="str">
        <f>IFERROR(VLOOKUP($B23, blitz!$DC:$DD, 2, FALSE), 0)</f>
        <v>1</v>
      </c>
      <c r="CM23" t="b">
        <f t="shared" si="22"/>
        <v>1</v>
      </c>
      <c r="CN23" t="str">
        <f>IFERROR(VLOOKUP($B23, aegis!$DH:$DI, 2, FALSE), 0)</f>
        <v>3</v>
      </c>
      <c r="CO23" t="str">
        <f>IFERROR(VLOOKUP($B23, duel!$DH:$DI, 2, FALSE), 0)</f>
        <v>3</v>
      </c>
      <c r="CP23" s="13">
        <f>IFERROR(VLOOKUP($B23, blitz!$DH:$DI, 2, FALSE), 0)</f>
        <v>0</v>
      </c>
      <c r="CQ23" t="b">
        <f t="shared" si="23"/>
        <v>1</v>
      </c>
      <c r="CR23" t="str">
        <f>IFERROR(VLOOKUP($B23, aegis!$DM:$DN, 2, FALSE), 0)</f>
        <v>2</v>
      </c>
      <c r="CS23" t="str">
        <f>IFERROR(VLOOKUP($B23, duel!$DM:$DN, 2, FALSE), 0)</f>
        <v>2</v>
      </c>
      <c r="CT23" t="str">
        <f>IFERROR(VLOOKUP($B23, blitz!$DM:$DN, 2, FALSE), 0)</f>
        <v>2</v>
      </c>
      <c r="CU23" t="b">
        <f t="shared" si="24"/>
        <v>1</v>
      </c>
      <c r="CV23" t="str">
        <f>IFERROR(VLOOKUP($B23, aegis!$DR:$DS, 2, FALSE), 0)</f>
        <v>27</v>
      </c>
      <c r="CW23" t="str">
        <f>IFERROR(VLOOKUP($B23, duel!$DR:$DS, 2, FALSE), 0)</f>
        <v>27</v>
      </c>
      <c r="CX23" t="str">
        <f>IFERROR(VLOOKUP($B23, blitz!$DR:$DS, 2, FALSE), 0)</f>
        <v>27</v>
      </c>
      <c r="CY23" t="b">
        <f t="shared" si="25"/>
        <v>1</v>
      </c>
    </row>
    <row r="24" spans="1:103">
      <c r="B24" s="6" t="s">
        <v>47</v>
      </c>
      <c r="C24" s="5" t="b">
        <f t="shared" si="0"/>
        <v>0</v>
      </c>
      <c r="D24" t="str">
        <f>IFERROR(VLOOKUP($B24, aegis!$B:$C, 2, FALSE), 0)</f>
        <v>24</v>
      </c>
      <c r="E24" t="str">
        <f>IFERROR(VLOOKUP($B24, duel!$B:$C, 2, FALSE), 0)</f>
        <v>24</v>
      </c>
      <c r="F24" t="str">
        <f>IFERROR(VLOOKUP($B24, blitz!$B:$C, 2, FALSE), 0)</f>
        <v>24</v>
      </c>
      <c r="G24" t="b">
        <f t="shared" si="1"/>
        <v>1</v>
      </c>
      <c r="H24" t="str">
        <f>IFERROR(VLOOKUP($B24, aegis!$G:$H, 2, FALSE), 0)</f>
        <v>14</v>
      </c>
      <c r="I24" t="str">
        <f>IFERROR(VLOOKUP($B24, duel!$G:$H, 2, FALSE), 0)</f>
        <v>14</v>
      </c>
      <c r="J24" t="str">
        <f>IFERROR(VLOOKUP($B24, blitz!$G:$H, 2, FALSE), 0)</f>
        <v>14</v>
      </c>
      <c r="K24" t="b">
        <f t="shared" si="2"/>
        <v>1</v>
      </c>
      <c r="L24" t="str">
        <f>IFERROR(VLOOKUP($B24, aegis!$L:$M, 2, FALSE), 0)</f>
        <v>24</v>
      </c>
      <c r="M24" t="str">
        <f>IFERROR(VLOOKUP($B24, duel!$L:$M, 2, FALSE), 0)</f>
        <v>24</v>
      </c>
      <c r="N24" t="str">
        <f>IFERROR(VLOOKUP($B24, blitz!$L:$M, 2, FALSE), 0)</f>
        <v>24</v>
      </c>
      <c r="O24" t="b">
        <f t="shared" si="3"/>
        <v>1</v>
      </c>
      <c r="P24" t="str">
        <f>IFERROR(VLOOKUP($B24, aegis!$Q:$R, 2, FALSE), 0)</f>
        <v>14</v>
      </c>
      <c r="Q24" t="str">
        <f>IFERROR(VLOOKUP($B24, duel!$Q:$R, 2, FALSE), 0)</f>
        <v>14</v>
      </c>
      <c r="R24" t="str">
        <f>IFERROR(VLOOKUP($B24, blitz!$Q:$R, 2, FALSE), 0)</f>
        <v>14</v>
      </c>
      <c r="S24" t="b">
        <f t="shared" si="4"/>
        <v>1</v>
      </c>
      <c r="T24" t="str">
        <f>IFERROR(VLOOKUP($B24, aegis!$V:$W, 2, FALSE), 0)</f>
        <v>26</v>
      </c>
      <c r="U24" t="str">
        <f>IFERROR(VLOOKUP($B24, duel!$V:$W, 2, FALSE), 0)</f>
        <v>26</v>
      </c>
      <c r="V24" t="str">
        <f>IFERROR(VLOOKUP($B24, blitz!$V:$W, 2, FALSE), 0)</f>
        <v>26</v>
      </c>
      <c r="W24" t="b">
        <f t="shared" si="5"/>
        <v>1</v>
      </c>
      <c r="X24" t="str">
        <f>IFERROR(VLOOKUP($B24, aegis!$AA:$AB, 2, FALSE), 0)</f>
        <v>2</v>
      </c>
      <c r="Y24" t="str">
        <f>IFERROR(VLOOKUP($B24, duel!$AA:$AB, 2, FALSE), 0)</f>
        <v>4</v>
      </c>
      <c r="Z24" t="str">
        <f>IFERROR(VLOOKUP($B24, blitz!$AA:$AB, 2, FALSE), 0)</f>
        <v>2</v>
      </c>
      <c r="AA24" t="b">
        <f t="shared" si="6"/>
        <v>0</v>
      </c>
      <c r="AB24" t="str">
        <f>IFERROR(VLOOKUP($B24, aegis!$AF:$AG, 2, FALSE), 0)</f>
        <v>26</v>
      </c>
      <c r="AC24" t="str">
        <f>IFERROR(VLOOKUP($B24, duel!$AF:$AG, 2, FALSE), 0)</f>
        <v>26</v>
      </c>
      <c r="AD24" t="str">
        <f>IFERROR(VLOOKUP($B24, blitz!$AF:$AG, 2, FALSE), 0)</f>
        <v>26</v>
      </c>
      <c r="AE24" t="b">
        <f t="shared" si="7"/>
        <v>1</v>
      </c>
      <c r="AF24" t="str">
        <f>IFERROR(VLOOKUP($B24, aegis!$AK:$AL, 2, FALSE), 0)</f>
        <v>3</v>
      </c>
      <c r="AG24" t="str">
        <f>IFERROR(VLOOKUP($B24, duel!$AK:$AL, 2, FALSE), 0)</f>
        <v>1</v>
      </c>
      <c r="AH24" t="str">
        <f>IFERROR(VLOOKUP($B24, blitz!$AK:$AL, 2, FALSE), 0)</f>
        <v>1</v>
      </c>
      <c r="AI24" t="b">
        <f t="shared" si="8"/>
        <v>0</v>
      </c>
      <c r="AJ24" t="str">
        <f>IFERROR(VLOOKUP($B24, aegis!$AP:$AQ, 2, FALSE), 0)</f>
        <v>2</v>
      </c>
      <c r="AK24" t="str">
        <f>IFERROR(VLOOKUP($B24, duel!$AP:$AQ, 2, FALSE), 0)</f>
        <v>2</v>
      </c>
      <c r="AL24" t="str">
        <f>IFERROR(VLOOKUP($B24, blitz!$AP:$AQ, 2, FALSE), 0)</f>
        <v>2</v>
      </c>
      <c r="AM24" t="b">
        <f t="shared" si="9"/>
        <v>1</v>
      </c>
      <c r="AN24">
        <f>IFERROR(VLOOKUP($B24, aegis!$AU:$AV, 2, FALSE), 0)</f>
        <v>0</v>
      </c>
      <c r="AO24">
        <f>IFERROR(VLOOKUP($B24, duel!$AU:$AV, 2, FALSE), 0)</f>
        <v>0</v>
      </c>
      <c r="AP24">
        <f>IFERROR(VLOOKUP($B24, blitz!$AU:$AV, 2, FALSE), 0)</f>
        <v>0</v>
      </c>
      <c r="AQ24" t="b">
        <f t="shared" si="10"/>
        <v>1</v>
      </c>
      <c r="AR24" t="str">
        <f>IFERROR(VLOOKUP($B24, aegis!$AZ:$BA, 2, FALSE), 0)</f>
        <v>2</v>
      </c>
      <c r="AS24" t="str">
        <f>IFERROR(VLOOKUP($B24, duel!$AZ:$BA, 2, FALSE), 0)</f>
        <v>2</v>
      </c>
      <c r="AT24" t="str">
        <f>IFERROR(VLOOKUP($B24, blitz!$AZ:$BA, 2, FALSE), 0)</f>
        <v>2</v>
      </c>
      <c r="AU24" t="b">
        <f t="shared" si="11"/>
        <v>1</v>
      </c>
      <c r="AV24" t="str">
        <f>IFERROR(VLOOKUP($B24, aegis!$BE:$BF, 2, FALSE), 0)</f>
        <v>2</v>
      </c>
      <c r="AW24" t="str">
        <f>IFERROR(VLOOKUP($B24, duel!$BE:$BF, 2, FALSE), 0)</f>
        <v>2</v>
      </c>
      <c r="AX24" t="str">
        <f>IFERROR(VLOOKUP($B24, blitz!$BE:$BF, 2, FALSE), 0)</f>
        <v>2</v>
      </c>
      <c r="AY24" t="b">
        <f t="shared" si="12"/>
        <v>1</v>
      </c>
      <c r="AZ24" t="str">
        <f>IFERROR(VLOOKUP($B24, aegis!$BJ:$BK, 2, FALSE), 0)</f>
        <v>1</v>
      </c>
      <c r="BA24" t="str">
        <f>IFERROR(VLOOKUP($B24, duel!$BJ:$BK, 2, FALSE), 0)</f>
        <v>1</v>
      </c>
      <c r="BB24" t="str">
        <f>IFERROR(VLOOKUP($B24, blitz!$BJ:$BK, 2, FALSE), 0)</f>
        <v>1</v>
      </c>
      <c r="BC24" t="b">
        <f t="shared" si="13"/>
        <v>1</v>
      </c>
      <c r="BD24">
        <f>IFERROR(VLOOKUP($B24, aegis!$BO:$BP, 2, FALSE), 0)</f>
        <v>0</v>
      </c>
      <c r="BE24">
        <f>IFERROR(VLOOKUP($B24, duel!$BO:$BP, 2, FALSE), 0)</f>
        <v>0</v>
      </c>
      <c r="BF24">
        <f>IFERROR(VLOOKUP($B24, blitz!$BO:$BP, 2, FALSE), 0)</f>
        <v>0</v>
      </c>
      <c r="BG24" t="b">
        <f t="shared" si="14"/>
        <v>1</v>
      </c>
      <c r="BH24" t="str">
        <f>IFERROR(VLOOKUP($B24, aegis!$BT:$BU, 2, FALSE), 0)</f>
        <v>18</v>
      </c>
      <c r="BI24" t="str">
        <f>IFERROR(VLOOKUP($B24, duel!$BT:$BU, 2, FALSE), 0)</f>
        <v>18</v>
      </c>
      <c r="BJ24" t="str">
        <f>IFERROR(VLOOKUP($B24, blitz!$BT:$BU, 2, FALSE), 0)</f>
        <v>18</v>
      </c>
      <c r="BK24" t="b">
        <f t="shared" si="15"/>
        <v>1</v>
      </c>
      <c r="BL24">
        <f>IFERROR(VLOOKUP($B24, aegis!$BY:$BZ, 2, FALSE), 0)</f>
        <v>0</v>
      </c>
      <c r="BM24">
        <f>IFERROR(VLOOKUP($B24, duel!$BY:$BZ, 2, FALSE), 0)</f>
        <v>0</v>
      </c>
      <c r="BN24">
        <f>IFERROR(VLOOKUP($B24, blitz!$BY:$BZ, 2, FALSE), 0)</f>
        <v>0</v>
      </c>
      <c r="BO24" t="b">
        <f t="shared" si="16"/>
        <v>1</v>
      </c>
      <c r="BP24" t="str">
        <f>IFERROR(VLOOKUP($B24, aegis!$CD:$CE, 2, FALSE), 0)</f>
        <v>5</v>
      </c>
      <c r="BQ24" t="str">
        <f>IFERROR(VLOOKUP($B24, duel!$CD:$CE, 2, FALSE), 0)</f>
        <v>5</v>
      </c>
      <c r="BR24" t="str">
        <f>IFERROR(VLOOKUP($B24, blitz!$CD:$CE, 2, FALSE), 0)</f>
        <v>5</v>
      </c>
      <c r="BS24" t="b">
        <f t="shared" si="17"/>
        <v>1</v>
      </c>
      <c r="BT24">
        <f>IFERROR(VLOOKUP($B24, aegis!$CI:$CJ, 2, FALSE), 0)</f>
        <v>0</v>
      </c>
      <c r="BU24">
        <f>IFERROR(VLOOKUP($B24, duel!$CI:$CJ, 2, FALSE), 0)</f>
        <v>0</v>
      </c>
      <c r="BV24">
        <f>IFERROR(VLOOKUP($B24, blitz!$CI:$CJ, 2, FALSE), 0)</f>
        <v>0</v>
      </c>
      <c r="BW24" t="b">
        <f t="shared" si="18"/>
        <v>1</v>
      </c>
      <c r="BX24">
        <f>IFERROR(VLOOKUP($B24, aegis!$CN:$CO, 2, FALSE), 0)</f>
        <v>0</v>
      </c>
      <c r="BY24">
        <f>IFERROR(VLOOKUP($B24, duel!$CN:$CO, 2, FALSE), 0)</f>
        <v>0</v>
      </c>
      <c r="BZ24">
        <f>IFERROR(VLOOKUP($B24, blitz!$CN:$CO, 2, FALSE), 0)</f>
        <v>0</v>
      </c>
      <c r="CA24" t="b">
        <f t="shared" si="19"/>
        <v>1</v>
      </c>
      <c r="CB24">
        <f>IFERROR(VLOOKUP($B24, aegis!$CS:$CT, 2, FALSE), 0)</f>
        <v>0</v>
      </c>
      <c r="CC24">
        <f>IFERROR(VLOOKUP($B24, duel!$CS:$CT, 2, FALSE), 0)</f>
        <v>0</v>
      </c>
      <c r="CD24">
        <f>IFERROR(VLOOKUP($B24, blitz!$CS:$CT, 2, FALSE), 0)</f>
        <v>0</v>
      </c>
      <c r="CE24" t="b">
        <f t="shared" si="20"/>
        <v>1</v>
      </c>
      <c r="CF24">
        <f>IFERROR(VLOOKUP($B24, aegis!$CX:$CY, 2, FALSE), 0)</f>
        <v>0</v>
      </c>
      <c r="CG24">
        <f>IFERROR(VLOOKUP($B24, duel!$CX:$CY, 2, FALSE), 0)</f>
        <v>0</v>
      </c>
      <c r="CH24">
        <f>IFERROR(VLOOKUP($B24, blitz!$CX:$CY, 2, FALSE), 0)</f>
        <v>0</v>
      </c>
      <c r="CI24" t="b">
        <f t="shared" si="21"/>
        <v>1</v>
      </c>
      <c r="CJ24" t="str">
        <f>IFERROR(VLOOKUP($B24, aegis!$DC:$DD, 2, FALSE), 0)</f>
        <v>1</v>
      </c>
      <c r="CK24" t="str">
        <f>IFERROR(VLOOKUP($B24, duel!$DC:$DD, 2, FALSE), 0)</f>
        <v>1</v>
      </c>
      <c r="CL24" t="str">
        <f>IFERROR(VLOOKUP($B24, blitz!$DC:$DD, 2, FALSE), 0)</f>
        <v>1</v>
      </c>
      <c r="CM24" t="b">
        <f t="shared" si="22"/>
        <v>1</v>
      </c>
      <c r="CN24" t="str">
        <f>IFERROR(VLOOKUP($B24, aegis!$DH:$DI, 2, FALSE), 0)</f>
        <v>2</v>
      </c>
      <c r="CO24" t="str">
        <f>IFERROR(VLOOKUP($B24, duel!$DH:$DI, 2, FALSE), 0)</f>
        <v>2</v>
      </c>
      <c r="CP24" s="13">
        <f>IFERROR(VLOOKUP($B24, blitz!$DH:$DI, 2, FALSE), 0)</f>
        <v>0</v>
      </c>
      <c r="CQ24" t="b">
        <f t="shared" si="23"/>
        <v>1</v>
      </c>
      <c r="CR24" t="str">
        <f>IFERROR(VLOOKUP($B24, aegis!$DM:$DN, 2, FALSE), 0)</f>
        <v>1</v>
      </c>
      <c r="CS24" t="str">
        <f>IFERROR(VLOOKUP($B24, duel!$DM:$DN, 2, FALSE), 0)</f>
        <v>1</v>
      </c>
      <c r="CT24" t="str">
        <f>IFERROR(VLOOKUP($B24, blitz!$DM:$DN, 2, FALSE), 0)</f>
        <v>1</v>
      </c>
      <c r="CU24" t="b">
        <f t="shared" si="24"/>
        <v>1</v>
      </c>
      <c r="CV24" t="str">
        <f>IFERROR(VLOOKUP($B24, aegis!$DR:$DS, 2, FALSE), 0)</f>
        <v>26</v>
      </c>
      <c r="CW24" t="str">
        <f>IFERROR(VLOOKUP($B24, duel!$DR:$DS, 2, FALSE), 0)</f>
        <v>26</v>
      </c>
      <c r="CX24" t="str">
        <f>IFERROR(VLOOKUP($B24, blitz!$DR:$DS, 2, FALSE), 0)</f>
        <v>26</v>
      </c>
      <c r="CY24" t="b">
        <f t="shared" si="25"/>
        <v>1</v>
      </c>
    </row>
    <row r="25" spans="1:103">
      <c r="A25" t="s">
        <v>1733</v>
      </c>
      <c r="B25" s="6" t="s">
        <v>48</v>
      </c>
      <c r="C25" s="5" t="b">
        <f t="shared" si="0"/>
        <v>0</v>
      </c>
      <c r="D25" t="str">
        <f>IFERROR(VLOOKUP($B25, aegis!$B:$C, 2, FALSE), 0)</f>
        <v>60</v>
      </c>
      <c r="E25" t="str">
        <f>IFERROR(VLOOKUP($B25, duel!$B:$C, 2, FALSE), 0)</f>
        <v>60</v>
      </c>
      <c r="F25" t="str">
        <f>IFERROR(VLOOKUP($B25, blitz!$B:$C, 2, FALSE), 0)</f>
        <v>60</v>
      </c>
      <c r="G25" t="b">
        <f t="shared" si="1"/>
        <v>1</v>
      </c>
      <c r="H25" t="str">
        <f>IFERROR(VLOOKUP($B25, aegis!$G:$H, 2, FALSE), 0)</f>
        <v>35</v>
      </c>
      <c r="I25" t="str">
        <f>IFERROR(VLOOKUP($B25, duel!$G:$H, 2, FALSE), 0)</f>
        <v>35</v>
      </c>
      <c r="J25" t="str">
        <f>IFERROR(VLOOKUP($B25, blitz!$G:$H, 2, FALSE), 0)</f>
        <v>35</v>
      </c>
      <c r="K25" t="b">
        <f t="shared" si="2"/>
        <v>1</v>
      </c>
      <c r="L25" t="str">
        <f>IFERROR(VLOOKUP($B25, aegis!$L:$M, 2, FALSE), 0)</f>
        <v>60</v>
      </c>
      <c r="M25" t="str">
        <f>IFERROR(VLOOKUP($B25, duel!$L:$M, 2, FALSE), 0)</f>
        <v>60</v>
      </c>
      <c r="N25" t="str">
        <f>IFERROR(VLOOKUP($B25, blitz!$L:$M, 2, FALSE), 0)</f>
        <v>60</v>
      </c>
      <c r="O25" t="b">
        <f t="shared" si="3"/>
        <v>1</v>
      </c>
      <c r="P25" t="str">
        <f>IFERROR(VLOOKUP($B25, aegis!$Q:$R, 2, FALSE), 0)</f>
        <v>35</v>
      </c>
      <c r="Q25" t="str">
        <f>IFERROR(VLOOKUP($B25, duel!$Q:$R, 2, FALSE), 0)</f>
        <v>35</v>
      </c>
      <c r="R25" t="str">
        <f>IFERROR(VLOOKUP($B25, blitz!$Q:$R, 2, FALSE), 0)</f>
        <v>35</v>
      </c>
      <c r="S25" t="b">
        <f t="shared" si="4"/>
        <v>1</v>
      </c>
      <c r="T25" t="str">
        <f>IFERROR(VLOOKUP($B25, aegis!$V:$W, 2, FALSE), 0)</f>
        <v>572</v>
      </c>
      <c r="U25" t="str">
        <f>IFERROR(VLOOKUP($B25, duel!$V:$W, 2, FALSE), 0)</f>
        <v>572</v>
      </c>
      <c r="V25" t="str">
        <f>IFERROR(VLOOKUP($B25, blitz!$V:$W, 2, FALSE), 0)</f>
        <v>572</v>
      </c>
      <c r="W25" t="b">
        <f t="shared" si="5"/>
        <v>1</v>
      </c>
      <c r="X25" t="str">
        <f>IFERROR(VLOOKUP($B25, aegis!$AA:$AB, 2, FALSE), 0)</f>
        <v>3</v>
      </c>
      <c r="Y25" t="str">
        <f>IFERROR(VLOOKUP($B25, duel!$AA:$AB, 2, FALSE), 0)</f>
        <v>6</v>
      </c>
      <c r="Z25" t="str">
        <f>IFERROR(VLOOKUP($B25, blitz!$AA:$AB, 2, FALSE), 0)</f>
        <v>3</v>
      </c>
      <c r="AA25" t="b">
        <f t="shared" si="6"/>
        <v>0</v>
      </c>
      <c r="AB25" t="str">
        <f>IFERROR(VLOOKUP($B25, aegis!$AF:$AG, 2, FALSE), 0)</f>
        <v>231</v>
      </c>
      <c r="AC25" t="str">
        <f>IFERROR(VLOOKUP($B25, duel!$AF:$AG, 2, FALSE), 0)</f>
        <v>231</v>
      </c>
      <c r="AD25" t="str">
        <f>IFERROR(VLOOKUP($B25, blitz!$AF:$AG, 2, FALSE), 0)</f>
        <v>231</v>
      </c>
      <c r="AE25" t="b">
        <f t="shared" si="7"/>
        <v>1</v>
      </c>
      <c r="AF25" t="str">
        <f>IFERROR(VLOOKUP($B25, aegis!$AK:$AL, 2, FALSE), 0)</f>
        <v>4</v>
      </c>
      <c r="AG25" t="str">
        <f>IFERROR(VLOOKUP($B25, duel!$AK:$AL, 2, FALSE), 0)</f>
        <v>1</v>
      </c>
      <c r="AH25" t="str">
        <f>IFERROR(VLOOKUP($B25, blitz!$AK:$AL, 2, FALSE), 0)</f>
        <v>1</v>
      </c>
      <c r="AI25" t="b">
        <f t="shared" si="8"/>
        <v>0</v>
      </c>
      <c r="AJ25" t="str">
        <f>IFERROR(VLOOKUP($B25, aegis!$AP:$AQ, 2, FALSE), 0)</f>
        <v>3</v>
      </c>
      <c r="AK25" t="str">
        <f>IFERROR(VLOOKUP($B25, duel!$AP:$AQ, 2, FALSE), 0)</f>
        <v>3</v>
      </c>
      <c r="AL25" t="str">
        <f>IFERROR(VLOOKUP($B25, blitz!$AP:$AQ, 2, FALSE), 0)</f>
        <v>3</v>
      </c>
      <c r="AM25" t="b">
        <f t="shared" si="9"/>
        <v>1</v>
      </c>
      <c r="AN25">
        <f>IFERROR(VLOOKUP($B25, aegis!$AU:$AV, 2, FALSE), 0)</f>
        <v>0</v>
      </c>
      <c r="AO25">
        <f>IFERROR(VLOOKUP($B25, duel!$AU:$AV, 2, FALSE), 0)</f>
        <v>0</v>
      </c>
      <c r="AP25">
        <f>IFERROR(VLOOKUP($B25, blitz!$AU:$AV, 2, FALSE), 0)</f>
        <v>0</v>
      </c>
      <c r="AQ25" t="b">
        <f t="shared" si="10"/>
        <v>1</v>
      </c>
      <c r="AR25" t="str">
        <f>IFERROR(VLOOKUP($B25, aegis!$AZ:$BA, 2, FALSE), 0)</f>
        <v>3</v>
      </c>
      <c r="AS25" t="str">
        <f>IFERROR(VLOOKUP($B25, duel!$AZ:$BA, 2, FALSE), 0)</f>
        <v>3</v>
      </c>
      <c r="AT25" t="str">
        <f>IFERROR(VLOOKUP($B25, blitz!$AZ:$BA, 2, FALSE), 0)</f>
        <v>3</v>
      </c>
      <c r="AU25" t="b">
        <f t="shared" si="11"/>
        <v>1</v>
      </c>
      <c r="AV25" t="str">
        <f>IFERROR(VLOOKUP($B25, aegis!$BE:$BF, 2, FALSE), 0)</f>
        <v>3</v>
      </c>
      <c r="AW25" t="str">
        <f>IFERROR(VLOOKUP($B25, duel!$BE:$BF, 2, FALSE), 0)</f>
        <v>3</v>
      </c>
      <c r="AX25" t="str">
        <f>IFERROR(VLOOKUP($B25, blitz!$BE:$BF, 2, FALSE), 0)</f>
        <v>3</v>
      </c>
      <c r="AY25" t="b">
        <f t="shared" si="12"/>
        <v>1</v>
      </c>
      <c r="AZ25" t="str">
        <f>IFERROR(VLOOKUP($B25, aegis!$BJ:$BK, 2, FALSE), 0)</f>
        <v>1</v>
      </c>
      <c r="BA25" t="str">
        <f>IFERROR(VLOOKUP($B25, duel!$BJ:$BK, 2, FALSE), 0)</f>
        <v>1</v>
      </c>
      <c r="BB25" t="str">
        <f>IFERROR(VLOOKUP($B25, blitz!$BJ:$BK, 2, FALSE), 0)</f>
        <v>1</v>
      </c>
      <c r="BC25" t="b">
        <f t="shared" si="13"/>
        <v>1</v>
      </c>
      <c r="BD25">
        <f>IFERROR(VLOOKUP($B25, aegis!$BO:$BP, 2, FALSE), 0)</f>
        <v>0</v>
      </c>
      <c r="BE25">
        <f>IFERROR(VLOOKUP($B25, duel!$BO:$BP, 2, FALSE), 0)</f>
        <v>0</v>
      </c>
      <c r="BF25">
        <f>IFERROR(VLOOKUP($B25, blitz!$BO:$BP, 2, FALSE), 0)</f>
        <v>0</v>
      </c>
      <c r="BG25" t="b">
        <f t="shared" si="14"/>
        <v>1</v>
      </c>
      <c r="BH25" t="str">
        <f>IFERROR(VLOOKUP($B25, aegis!$BT:$BU, 2, FALSE), 0)</f>
        <v>165</v>
      </c>
      <c r="BI25" t="str">
        <f>IFERROR(VLOOKUP($B25, duel!$BT:$BU, 2, FALSE), 0)</f>
        <v>165</v>
      </c>
      <c r="BJ25" t="str">
        <f>IFERROR(VLOOKUP($B25, blitz!$BT:$BU, 2, FALSE), 0)</f>
        <v>165</v>
      </c>
      <c r="BK25" t="b">
        <f t="shared" si="15"/>
        <v>1</v>
      </c>
      <c r="BL25" t="str">
        <f>IFERROR(VLOOKUP($B25, aegis!$BY:$BZ, 2, FALSE), 0)</f>
        <v>2</v>
      </c>
      <c r="BM25" t="str">
        <f>IFERROR(VLOOKUP($B25, duel!$BY:$BZ, 2, FALSE), 0)</f>
        <v>2</v>
      </c>
      <c r="BN25" t="str">
        <f>IFERROR(VLOOKUP($B25, blitz!$BY:$BZ, 2, FALSE), 0)</f>
        <v>2</v>
      </c>
      <c r="BO25" t="b">
        <f t="shared" si="16"/>
        <v>1</v>
      </c>
      <c r="BP25" t="str">
        <f>IFERROR(VLOOKUP($B25, aegis!$CD:$CE, 2, FALSE), 0)</f>
        <v>7</v>
      </c>
      <c r="BQ25" t="str">
        <f>IFERROR(VLOOKUP($B25, duel!$CD:$CE, 2, FALSE), 0)</f>
        <v>7</v>
      </c>
      <c r="BR25" t="str">
        <f>IFERROR(VLOOKUP($B25, blitz!$CD:$CE, 2, FALSE), 0)</f>
        <v>7</v>
      </c>
      <c r="BS25" t="b">
        <f t="shared" si="17"/>
        <v>1</v>
      </c>
      <c r="BT25">
        <f>IFERROR(VLOOKUP($B25, aegis!$CI:$CJ, 2, FALSE), 0)</f>
        <v>0</v>
      </c>
      <c r="BU25">
        <f>IFERROR(VLOOKUP($B25, duel!$CI:$CJ, 2, FALSE), 0)</f>
        <v>0</v>
      </c>
      <c r="BV25">
        <f>IFERROR(VLOOKUP($B25, blitz!$CI:$CJ, 2, FALSE), 0)</f>
        <v>0</v>
      </c>
      <c r="BW25" t="b">
        <f t="shared" si="18"/>
        <v>1</v>
      </c>
      <c r="BX25">
        <f>IFERROR(VLOOKUP($B25, aegis!$CN:$CO, 2, FALSE), 0)</f>
        <v>0</v>
      </c>
      <c r="BY25">
        <f>IFERROR(VLOOKUP($B25, duel!$CN:$CO, 2, FALSE), 0)</f>
        <v>0</v>
      </c>
      <c r="BZ25">
        <f>IFERROR(VLOOKUP($B25, blitz!$CN:$CO, 2, FALSE), 0)</f>
        <v>0</v>
      </c>
      <c r="CA25" t="b">
        <f t="shared" si="19"/>
        <v>1</v>
      </c>
      <c r="CB25">
        <f>IFERROR(VLOOKUP($B25, aegis!$CS:$CT, 2, FALSE), 0)</f>
        <v>0</v>
      </c>
      <c r="CC25">
        <f>IFERROR(VLOOKUP($B25, duel!$CS:$CT, 2, FALSE), 0)</f>
        <v>0</v>
      </c>
      <c r="CD25">
        <f>IFERROR(VLOOKUP($B25, blitz!$CS:$CT, 2, FALSE), 0)</f>
        <v>0</v>
      </c>
      <c r="CE25" t="b">
        <f t="shared" si="20"/>
        <v>1</v>
      </c>
      <c r="CF25" t="str">
        <f>IFERROR(VLOOKUP($B25, aegis!$CX:$CY, 2, FALSE), 0)</f>
        <v>54878</v>
      </c>
      <c r="CG25" t="str">
        <f>IFERROR(VLOOKUP($B25, duel!$CX:$CY, 2, FALSE), 0)</f>
        <v>54864</v>
      </c>
      <c r="CH25" t="str">
        <f>IFERROR(VLOOKUP($B25, blitz!$CX:$CY, 2, FALSE), 0)</f>
        <v>19208</v>
      </c>
      <c r="CI25" t="b">
        <f t="shared" si="21"/>
        <v>0</v>
      </c>
      <c r="CJ25" t="str">
        <f>IFERROR(VLOOKUP($B25, aegis!$DC:$DD, 2, FALSE), 0)</f>
        <v>1</v>
      </c>
      <c r="CK25" t="str">
        <f>IFERROR(VLOOKUP($B25, duel!$DC:$DD, 2, FALSE), 0)</f>
        <v>1</v>
      </c>
      <c r="CL25" t="str">
        <f>IFERROR(VLOOKUP($B25, blitz!$DC:$DD, 2, FALSE), 0)</f>
        <v>1</v>
      </c>
      <c r="CM25" t="b">
        <f t="shared" si="22"/>
        <v>1</v>
      </c>
      <c r="CN25" t="str">
        <f>IFERROR(VLOOKUP($B25, aegis!$DH:$DI, 2, FALSE), 0)</f>
        <v>3</v>
      </c>
      <c r="CO25" t="str">
        <f>IFERROR(VLOOKUP($B25, duel!$DH:$DI, 2, FALSE), 0)</f>
        <v>3</v>
      </c>
      <c r="CP25" s="13">
        <f>IFERROR(VLOOKUP($B25, blitz!$DH:$DI, 2, FALSE), 0)</f>
        <v>0</v>
      </c>
      <c r="CQ25" t="b">
        <f t="shared" si="23"/>
        <v>1</v>
      </c>
      <c r="CR25" t="str">
        <f>IFERROR(VLOOKUP($B25, aegis!$DM:$DN, 2, FALSE), 0)</f>
        <v>2</v>
      </c>
      <c r="CS25" t="str">
        <f>IFERROR(VLOOKUP($B25, duel!$DM:$DN, 2, FALSE), 0)</f>
        <v>2</v>
      </c>
      <c r="CT25" t="str">
        <f>IFERROR(VLOOKUP($B25, blitz!$DM:$DN, 2, FALSE), 0)</f>
        <v>2</v>
      </c>
      <c r="CU25" t="b">
        <f t="shared" si="24"/>
        <v>1</v>
      </c>
      <c r="CV25" t="str">
        <f>IFERROR(VLOOKUP($B25, aegis!$DR:$DS, 2, FALSE), 0)</f>
        <v>231</v>
      </c>
      <c r="CW25" t="str">
        <f>IFERROR(VLOOKUP($B25, duel!$DR:$DS, 2, FALSE), 0)</f>
        <v>231</v>
      </c>
      <c r="CX25" t="str">
        <f>IFERROR(VLOOKUP($B25, blitz!$DR:$DS, 2, FALSE), 0)</f>
        <v>231</v>
      </c>
      <c r="CY25" t="b">
        <f t="shared" si="25"/>
        <v>1</v>
      </c>
    </row>
    <row r="26" spans="1:103">
      <c r="A26" t="s">
        <v>1733</v>
      </c>
      <c r="B26" s="6" t="s">
        <v>50</v>
      </c>
      <c r="C26" s="5" t="b">
        <f t="shared" si="0"/>
        <v>0</v>
      </c>
      <c r="D26" t="str">
        <f>IFERROR(VLOOKUP($B26, aegis!$B:$C, 2, FALSE), 0)</f>
        <v>48</v>
      </c>
      <c r="E26" t="str">
        <f>IFERROR(VLOOKUP($B26, duel!$B:$C, 2, FALSE), 0)</f>
        <v>48</v>
      </c>
      <c r="F26" t="str">
        <f>IFERROR(VLOOKUP($B26, blitz!$B:$C, 2, FALSE), 0)</f>
        <v>48</v>
      </c>
      <c r="G26" t="b">
        <f t="shared" si="1"/>
        <v>1</v>
      </c>
      <c r="H26" t="str">
        <f>IFERROR(VLOOKUP($B26, aegis!$G:$H, 2, FALSE), 0)</f>
        <v>28</v>
      </c>
      <c r="I26" t="str">
        <f>IFERROR(VLOOKUP($B26, duel!$G:$H, 2, FALSE), 0)</f>
        <v>28</v>
      </c>
      <c r="J26" t="str">
        <f>IFERROR(VLOOKUP($B26, blitz!$G:$H, 2, FALSE), 0)</f>
        <v>28</v>
      </c>
      <c r="K26" t="b">
        <f t="shared" si="2"/>
        <v>1</v>
      </c>
      <c r="L26" t="str">
        <f>IFERROR(VLOOKUP($B26, aegis!$L:$M, 2, FALSE), 0)</f>
        <v>48</v>
      </c>
      <c r="M26" t="str">
        <f>IFERROR(VLOOKUP($B26, duel!$L:$M, 2, FALSE), 0)</f>
        <v>48</v>
      </c>
      <c r="N26" t="str">
        <f>IFERROR(VLOOKUP($B26, blitz!$L:$M, 2, FALSE), 0)</f>
        <v>48</v>
      </c>
      <c r="O26" t="b">
        <f t="shared" si="3"/>
        <v>1</v>
      </c>
      <c r="P26" t="str">
        <f>IFERROR(VLOOKUP($B26, aegis!$Q:$R, 2, FALSE), 0)</f>
        <v>28</v>
      </c>
      <c r="Q26" t="str">
        <f>IFERROR(VLOOKUP($B26, duel!$Q:$R, 2, FALSE), 0)</f>
        <v>28</v>
      </c>
      <c r="R26" t="str">
        <f>IFERROR(VLOOKUP($B26, blitz!$Q:$R, 2, FALSE), 0)</f>
        <v>28</v>
      </c>
      <c r="S26" t="b">
        <f t="shared" si="4"/>
        <v>1</v>
      </c>
      <c r="T26" t="str">
        <f>IFERROR(VLOOKUP($B26, aegis!$V:$W, 2, FALSE), 0)</f>
        <v>306</v>
      </c>
      <c r="U26" t="str">
        <f>IFERROR(VLOOKUP($B26, duel!$V:$W, 2, FALSE), 0)</f>
        <v>306</v>
      </c>
      <c r="V26" t="str">
        <f>IFERROR(VLOOKUP($B26, blitz!$V:$W, 2, FALSE), 0)</f>
        <v>306</v>
      </c>
      <c r="W26" t="b">
        <f t="shared" si="5"/>
        <v>1</v>
      </c>
      <c r="X26" t="str">
        <f>IFERROR(VLOOKUP($B26, aegis!$AA:$AB, 2, FALSE), 0)</f>
        <v>2</v>
      </c>
      <c r="Y26" t="str">
        <f>IFERROR(VLOOKUP($B26, duel!$AA:$AB, 2, FALSE), 0)</f>
        <v>4</v>
      </c>
      <c r="Z26" t="str">
        <f>IFERROR(VLOOKUP($B26, blitz!$AA:$AB, 2, FALSE), 0)</f>
        <v>2</v>
      </c>
      <c r="AA26" t="b">
        <f t="shared" si="6"/>
        <v>0</v>
      </c>
      <c r="AB26" t="str">
        <f>IFERROR(VLOOKUP($B26, aegis!$AF:$AG, 2, FALSE), 0)</f>
        <v>109</v>
      </c>
      <c r="AC26" t="str">
        <f>IFERROR(VLOOKUP($B26, duel!$AF:$AG, 2, FALSE), 0)</f>
        <v>109</v>
      </c>
      <c r="AD26" t="str">
        <f>IFERROR(VLOOKUP($B26, blitz!$AF:$AG, 2, FALSE), 0)</f>
        <v>109</v>
      </c>
      <c r="AE26" t="b">
        <f t="shared" si="7"/>
        <v>1</v>
      </c>
      <c r="AF26" t="str">
        <f>IFERROR(VLOOKUP($B26, aegis!$AK:$AL, 2, FALSE), 0)</f>
        <v>3</v>
      </c>
      <c r="AG26" t="str">
        <f>IFERROR(VLOOKUP($B26, duel!$AK:$AL, 2, FALSE), 0)</f>
        <v>1</v>
      </c>
      <c r="AH26" t="str">
        <f>IFERROR(VLOOKUP($B26, blitz!$AK:$AL, 2, FALSE), 0)</f>
        <v>1</v>
      </c>
      <c r="AI26" t="b">
        <f t="shared" si="8"/>
        <v>0</v>
      </c>
      <c r="AJ26" t="str">
        <f>IFERROR(VLOOKUP($B26, aegis!$AP:$AQ, 2, FALSE), 0)</f>
        <v>2</v>
      </c>
      <c r="AK26" t="str">
        <f>IFERROR(VLOOKUP($B26, duel!$AP:$AQ, 2, FALSE), 0)</f>
        <v>2</v>
      </c>
      <c r="AL26" t="str">
        <f>IFERROR(VLOOKUP($B26, blitz!$AP:$AQ, 2, FALSE), 0)</f>
        <v>2</v>
      </c>
      <c r="AM26" t="b">
        <f t="shared" si="9"/>
        <v>1</v>
      </c>
      <c r="AN26">
        <f>IFERROR(VLOOKUP($B26, aegis!$AU:$AV, 2, FALSE), 0)</f>
        <v>0</v>
      </c>
      <c r="AO26">
        <f>IFERROR(VLOOKUP($B26, duel!$AU:$AV, 2, FALSE), 0)</f>
        <v>0</v>
      </c>
      <c r="AP26">
        <f>IFERROR(VLOOKUP($B26, blitz!$AU:$AV, 2, FALSE), 0)</f>
        <v>0</v>
      </c>
      <c r="AQ26" t="b">
        <f t="shared" si="10"/>
        <v>1</v>
      </c>
      <c r="AR26" t="str">
        <f>IFERROR(VLOOKUP($B26, aegis!$AZ:$BA, 2, FALSE), 0)</f>
        <v>2</v>
      </c>
      <c r="AS26" t="str">
        <f>IFERROR(VLOOKUP($B26, duel!$AZ:$BA, 2, FALSE), 0)</f>
        <v>2</v>
      </c>
      <c r="AT26" t="str">
        <f>IFERROR(VLOOKUP($B26, blitz!$AZ:$BA, 2, FALSE), 0)</f>
        <v>2</v>
      </c>
      <c r="AU26" t="b">
        <f t="shared" si="11"/>
        <v>1</v>
      </c>
      <c r="AV26" t="str">
        <f>IFERROR(VLOOKUP($B26, aegis!$BE:$BF, 2, FALSE), 0)</f>
        <v>2</v>
      </c>
      <c r="AW26" t="str">
        <f>IFERROR(VLOOKUP($B26, duel!$BE:$BF, 2, FALSE), 0)</f>
        <v>2</v>
      </c>
      <c r="AX26" t="str">
        <f>IFERROR(VLOOKUP($B26, blitz!$BE:$BF, 2, FALSE), 0)</f>
        <v>2</v>
      </c>
      <c r="AY26" t="b">
        <f t="shared" si="12"/>
        <v>1</v>
      </c>
      <c r="AZ26" t="str">
        <f>IFERROR(VLOOKUP($B26, aegis!$BJ:$BK, 2, FALSE), 0)</f>
        <v>1</v>
      </c>
      <c r="BA26" t="str">
        <f>IFERROR(VLOOKUP($B26, duel!$BJ:$BK, 2, FALSE), 0)</f>
        <v>1</v>
      </c>
      <c r="BB26" t="str">
        <f>IFERROR(VLOOKUP($B26, blitz!$BJ:$BK, 2, FALSE), 0)</f>
        <v>1</v>
      </c>
      <c r="BC26" t="b">
        <f t="shared" si="13"/>
        <v>1</v>
      </c>
      <c r="BD26">
        <f>IFERROR(VLOOKUP($B26, aegis!$BO:$BP, 2, FALSE), 0)</f>
        <v>0</v>
      </c>
      <c r="BE26">
        <f>IFERROR(VLOOKUP($B26, duel!$BO:$BP, 2, FALSE), 0)</f>
        <v>0</v>
      </c>
      <c r="BF26">
        <f>IFERROR(VLOOKUP($B26, blitz!$BO:$BP, 2, FALSE), 0)</f>
        <v>0</v>
      </c>
      <c r="BG26" t="b">
        <f t="shared" si="14"/>
        <v>1</v>
      </c>
      <c r="BH26" t="str">
        <f>IFERROR(VLOOKUP($B26, aegis!$BT:$BU, 2, FALSE), 0)</f>
        <v>47</v>
      </c>
      <c r="BI26" t="str">
        <f>IFERROR(VLOOKUP($B26, duel!$BT:$BU, 2, FALSE), 0)</f>
        <v>47</v>
      </c>
      <c r="BJ26" t="str">
        <f>IFERROR(VLOOKUP($B26, blitz!$BT:$BU, 2, FALSE), 0)</f>
        <v>47</v>
      </c>
      <c r="BK26" t="b">
        <f t="shared" si="15"/>
        <v>1</v>
      </c>
      <c r="BL26" t="str">
        <f>IFERROR(VLOOKUP($B26, aegis!$BY:$BZ, 2, FALSE), 0)</f>
        <v>1</v>
      </c>
      <c r="BM26" t="str">
        <f>IFERROR(VLOOKUP($B26, duel!$BY:$BZ, 2, FALSE), 0)</f>
        <v>1</v>
      </c>
      <c r="BN26" t="str">
        <f>IFERROR(VLOOKUP($B26, blitz!$BY:$BZ, 2, FALSE), 0)</f>
        <v>1</v>
      </c>
      <c r="BO26" t="b">
        <f t="shared" si="16"/>
        <v>1</v>
      </c>
      <c r="BP26" t="str">
        <f>IFERROR(VLOOKUP($B26, aegis!$CD:$CE, 2, FALSE), 0)</f>
        <v>7</v>
      </c>
      <c r="BQ26" t="str">
        <f>IFERROR(VLOOKUP($B26, duel!$CD:$CE, 2, FALSE), 0)</f>
        <v>7</v>
      </c>
      <c r="BR26" t="str">
        <f>IFERROR(VLOOKUP($B26, blitz!$CD:$CE, 2, FALSE), 0)</f>
        <v>7</v>
      </c>
      <c r="BS26" t="b">
        <f t="shared" si="17"/>
        <v>1</v>
      </c>
      <c r="BT26" t="str">
        <f>IFERROR(VLOOKUP($B26, aegis!$CI:$CJ, 2, FALSE), 0)</f>
        <v>7</v>
      </c>
      <c r="BU26" t="str">
        <f>IFERROR(VLOOKUP($B26, duel!$CI:$CJ, 2, FALSE), 0)</f>
        <v>7</v>
      </c>
      <c r="BV26" t="str">
        <f>IFERROR(VLOOKUP($B26, blitz!$CI:$CJ, 2, FALSE), 0)</f>
        <v>7</v>
      </c>
      <c r="BW26" t="b">
        <f t="shared" si="18"/>
        <v>1</v>
      </c>
      <c r="BX26" t="str">
        <f>IFERROR(VLOOKUP($B26, aegis!$CN:$CO, 2, FALSE), 0)</f>
        <v>7</v>
      </c>
      <c r="BY26" t="str">
        <f>IFERROR(VLOOKUP($B26, duel!$CN:$CO, 2, FALSE), 0)</f>
        <v>7</v>
      </c>
      <c r="BZ26" t="str">
        <f>IFERROR(VLOOKUP($B26, blitz!$CN:$CO, 2, FALSE), 0)</f>
        <v>7</v>
      </c>
      <c r="CA26" t="b">
        <f t="shared" si="19"/>
        <v>1</v>
      </c>
      <c r="CB26" t="str">
        <f>IFERROR(VLOOKUP($B26, aegis!$CS:$CT, 2, FALSE), 0)</f>
        <v>30</v>
      </c>
      <c r="CC26" t="str">
        <f>IFERROR(VLOOKUP($B26, duel!$CS:$CT, 2, FALSE), 0)</f>
        <v>30</v>
      </c>
      <c r="CD26" t="str">
        <f>IFERROR(VLOOKUP($B26, blitz!$CS:$CT, 2, FALSE), 0)</f>
        <v>30</v>
      </c>
      <c r="CE26" t="b">
        <f t="shared" si="20"/>
        <v>1</v>
      </c>
      <c r="CF26" t="str">
        <f>IFERROR(VLOOKUP($B26, aegis!$CX:$CY, 2, FALSE), 0)</f>
        <v>25012</v>
      </c>
      <c r="CG26" t="str">
        <f>IFERROR(VLOOKUP($B26, duel!$CX:$CY, 2, FALSE), 0)</f>
        <v>25009</v>
      </c>
      <c r="CH26" t="str">
        <f>IFERROR(VLOOKUP($B26, blitz!$CX:$CY, 2, FALSE), 0)</f>
        <v>4833</v>
      </c>
      <c r="CI26" t="b">
        <f t="shared" si="21"/>
        <v>0</v>
      </c>
      <c r="CJ26" t="str">
        <f>IFERROR(VLOOKUP($B26, aegis!$DC:$DD, 2, FALSE), 0)</f>
        <v>1</v>
      </c>
      <c r="CK26" t="str">
        <f>IFERROR(VLOOKUP($B26, duel!$DC:$DD, 2, FALSE), 0)</f>
        <v>1</v>
      </c>
      <c r="CL26" t="str">
        <f>IFERROR(VLOOKUP($B26, blitz!$DC:$DD, 2, FALSE), 0)</f>
        <v>1</v>
      </c>
      <c r="CM26" t="b">
        <f t="shared" si="22"/>
        <v>1</v>
      </c>
      <c r="CN26" t="str">
        <f>IFERROR(VLOOKUP($B26, aegis!$DH:$DI, 2, FALSE), 0)</f>
        <v>4</v>
      </c>
      <c r="CO26" t="str">
        <f>IFERROR(VLOOKUP($B26, duel!$DH:$DI, 2, FALSE), 0)</f>
        <v>4</v>
      </c>
      <c r="CP26" s="13">
        <f>IFERROR(VLOOKUP($B26, blitz!$DH:$DI, 2, FALSE), 0)</f>
        <v>0</v>
      </c>
      <c r="CQ26" t="b">
        <f t="shared" si="23"/>
        <v>1</v>
      </c>
      <c r="CR26" t="str">
        <f>IFERROR(VLOOKUP($B26, aegis!$DM:$DN, 2, FALSE), 0)</f>
        <v>1</v>
      </c>
      <c r="CS26" t="str">
        <f>IFERROR(VLOOKUP($B26, duel!$DM:$DN, 2, FALSE), 0)</f>
        <v>1</v>
      </c>
      <c r="CT26" t="str">
        <f>IFERROR(VLOOKUP($B26, blitz!$DM:$DN, 2, FALSE), 0)</f>
        <v>1</v>
      </c>
      <c r="CU26" t="b">
        <f t="shared" si="24"/>
        <v>1</v>
      </c>
      <c r="CV26" t="str">
        <f>IFERROR(VLOOKUP($B26, aegis!$DR:$DS, 2, FALSE), 0)</f>
        <v>109</v>
      </c>
      <c r="CW26" t="str">
        <f>IFERROR(VLOOKUP($B26, duel!$DR:$DS, 2, FALSE), 0)</f>
        <v>109</v>
      </c>
      <c r="CX26" t="str">
        <f>IFERROR(VLOOKUP($B26, blitz!$DR:$DS, 2, FALSE), 0)</f>
        <v>109</v>
      </c>
      <c r="CY26" t="b">
        <f t="shared" si="25"/>
        <v>1</v>
      </c>
    </row>
    <row r="27" spans="1:103">
      <c r="B27" s="6" t="s">
        <v>52</v>
      </c>
      <c r="C27" s="5" t="b">
        <f t="shared" si="0"/>
        <v>0</v>
      </c>
      <c r="D27" t="str">
        <f>IFERROR(VLOOKUP($B27, aegis!$B:$C, 2, FALSE), 0)</f>
        <v>24</v>
      </c>
      <c r="E27" t="str">
        <f>IFERROR(VLOOKUP($B27, duel!$B:$C, 2, FALSE), 0)</f>
        <v>24</v>
      </c>
      <c r="F27" t="str">
        <f>IFERROR(VLOOKUP($B27, blitz!$B:$C, 2, FALSE), 0)</f>
        <v>24</v>
      </c>
      <c r="G27" t="b">
        <f t="shared" si="1"/>
        <v>1</v>
      </c>
      <c r="H27" t="str">
        <f>IFERROR(VLOOKUP($B27, aegis!$G:$H, 2, FALSE), 0)</f>
        <v>14</v>
      </c>
      <c r="I27" t="str">
        <f>IFERROR(VLOOKUP($B27, duel!$G:$H, 2, FALSE), 0)</f>
        <v>14</v>
      </c>
      <c r="J27" t="str">
        <f>IFERROR(VLOOKUP($B27, blitz!$G:$H, 2, FALSE), 0)</f>
        <v>14</v>
      </c>
      <c r="K27" t="b">
        <f t="shared" si="2"/>
        <v>1</v>
      </c>
      <c r="L27" t="str">
        <f>IFERROR(VLOOKUP($B27, aegis!$L:$M, 2, FALSE), 0)</f>
        <v>24</v>
      </c>
      <c r="M27" t="str">
        <f>IFERROR(VLOOKUP($B27, duel!$L:$M, 2, FALSE), 0)</f>
        <v>24</v>
      </c>
      <c r="N27" t="str">
        <f>IFERROR(VLOOKUP($B27, blitz!$L:$M, 2, FALSE), 0)</f>
        <v>24</v>
      </c>
      <c r="O27" t="b">
        <f t="shared" si="3"/>
        <v>1</v>
      </c>
      <c r="P27" t="str">
        <f>IFERROR(VLOOKUP($B27, aegis!$Q:$R, 2, FALSE), 0)</f>
        <v>14</v>
      </c>
      <c r="Q27" t="str">
        <f>IFERROR(VLOOKUP($B27, duel!$Q:$R, 2, FALSE), 0)</f>
        <v>14</v>
      </c>
      <c r="R27" t="str">
        <f>IFERROR(VLOOKUP($B27, blitz!$Q:$R, 2, FALSE), 0)</f>
        <v>14</v>
      </c>
      <c r="S27" t="b">
        <f t="shared" si="4"/>
        <v>1</v>
      </c>
      <c r="T27" t="str">
        <f>IFERROR(VLOOKUP($B27, aegis!$V:$W, 2, FALSE), 0)</f>
        <v>4</v>
      </c>
      <c r="U27" t="str">
        <f>IFERROR(VLOOKUP($B27, duel!$V:$W, 2, FALSE), 0)</f>
        <v>4</v>
      </c>
      <c r="V27" t="str">
        <f>IFERROR(VLOOKUP($B27, blitz!$V:$W, 2, FALSE), 0)</f>
        <v>4</v>
      </c>
      <c r="W27" t="b">
        <f t="shared" si="5"/>
        <v>1</v>
      </c>
      <c r="X27" t="str">
        <f>IFERROR(VLOOKUP($B27, aegis!$AA:$AB, 2, FALSE), 0)</f>
        <v>2</v>
      </c>
      <c r="Y27" t="str">
        <f>IFERROR(VLOOKUP($B27, duel!$AA:$AB, 2, FALSE), 0)</f>
        <v>4</v>
      </c>
      <c r="Z27" t="str">
        <f>IFERROR(VLOOKUP($B27, blitz!$AA:$AB, 2, FALSE), 0)</f>
        <v>2</v>
      </c>
      <c r="AA27" t="b">
        <f t="shared" si="6"/>
        <v>0</v>
      </c>
      <c r="AB27" t="str">
        <f>IFERROR(VLOOKUP($B27, aegis!$AF:$AG, 2, FALSE), 0)</f>
        <v>4</v>
      </c>
      <c r="AC27" t="str">
        <f>IFERROR(VLOOKUP($B27, duel!$AF:$AG, 2, FALSE), 0)</f>
        <v>4</v>
      </c>
      <c r="AD27" t="str">
        <f>IFERROR(VLOOKUP($B27, blitz!$AF:$AG, 2, FALSE), 0)</f>
        <v>4</v>
      </c>
      <c r="AE27" t="b">
        <f t="shared" si="7"/>
        <v>1</v>
      </c>
      <c r="AF27" t="str">
        <f>IFERROR(VLOOKUP($B27, aegis!$AK:$AL, 2, FALSE), 0)</f>
        <v>3</v>
      </c>
      <c r="AG27" t="str">
        <f>IFERROR(VLOOKUP($B27, duel!$AK:$AL, 2, FALSE), 0)</f>
        <v>1</v>
      </c>
      <c r="AH27" t="str">
        <f>IFERROR(VLOOKUP($B27, blitz!$AK:$AL, 2, FALSE), 0)</f>
        <v>1</v>
      </c>
      <c r="AI27" t="b">
        <f t="shared" si="8"/>
        <v>0</v>
      </c>
      <c r="AJ27" t="str">
        <f>IFERROR(VLOOKUP($B27, aegis!$AP:$AQ, 2, FALSE), 0)</f>
        <v>2</v>
      </c>
      <c r="AK27" t="str">
        <f>IFERROR(VLOOKUP($B27, duel!$AP:$AQ, 2, FALSE), 0)</f>
        <v>2</v>
      </c>
      <c r="AL27" t="str">
        <f>IFERROR(VLOOKUP($B27, blitz!$AP:$AQ, 2, FALSE), 0)</f>
        <v>2</v>
      </c>
      <c r="AM27" t="b">
        <f t="shared" si="9"/>
        <v>1</v>
      </c>
      <c r="AN27">
        <f>IFERROR(VLOOKUP($B27, aegis!$AU:$AV, 2, FALSE), 0)</f>
        <v>0</v>
      </c>
      <c r="AO27">
        <f>IFERROR(VLOOKUP($B27, duel!$AU:$AV, 2, FALSE), 0)</f>
        <v>0</v>
      </c>
      <c r="AP27">
        <f>IFERROR(VLOOKUP($B27, blitz!$AU:$AV, 2, FALSE), 0)</f>
        <v>0</v>
      </c>
      <c r="AQ27" t="b">
        <f t="shared" si="10"/>
        <v>1</v>
      </c>
      <c r="AR27" t="str">
        <f>IFERROR(VLOOKUP($B27, aegis!$AZ:$BA, 2, FALSE), 0)</f>
        <v>2</v>
      </c>
      <c r="AS27" t="str">
        <f>IFERROR(VLOOKUP($B27, duel!$AZ:$BA, 2, FALSE), 0)</f>
        <v>2</v>
      </c>
      <c r="AT27" t="str">
        <f>IFERROR(VLOOKUP($B27, blitz!$AZ:$BA, 2, FALSE), 0)</f>
        <v>2</v>
      </c>
      <c r="AU27" t="b">
        <f t="shared" si="11"/>
        <v>1</v>
      </c>
      <c r="AV27" t="str">
        <f>IFERROR(VLOOKUP($B27, aegis!$BE:$BF, 2, FALSE), 0)</f>
        <v>2</v>
      </c>
      <c r="AW27" t="str">
        <f>IFERROR(VLOOKUP($B27, duel!$BE:$BF, 2, FALSE), 0)</f>
        <v>2</v>
      </c>
      <c r="AX27" t="str">
        <f>IFERROR(VLOOKUP($B27, blitz!$BE:$BF, 2, FALSE), 0)</f>
        <v>2</v>
      </c>
      <c r="AY27" t="b">
        <f t="shared" si="12"/>
        <v>1</v>
      </c>
      <c r="AZ27" t="str">
        <f>IFERROR(VLOOKUP($B27, aegis!$BJ:$BK, 2, FALSE), 0)</f>
        <v>1</v>
      </c>
      <c r="BA27" t="str">
        <f>IFERROR(VLOOKUP($B27, duel!$BJ:$BK, 2, FALSE), 0)</f>
        <v>1</v>
      </c>
      <c r="BB27" t="str">
        <f>IFERROR(VLOOKUP($B27, blitz!$BJ:$BK, 2, FALSE), 0)</f>
        <v>1</v>
      </c>
      <c r="BC27" t="b">
        <f t="shared" si="13"/>
        <v>1</v>
      </c>
      <c r="BD27">
        <f>IFERROR(VLOOKUP($B27, aegis!$BO:$BP, 2, FALSE), 0)</f>
        <v>0</v>
      </c>
      <c r="BE27">
        <f>IFERROR(VLOOKUP($B27, duel!$BO:$BP, 2, FALSE), 0)</f>
        <v>0</v>
      </c>
      <c r="BF27">
        <f>IFERROR(VLOOKUP($B27, blitz!$BO:$BP, 2, FALSE), 0)</f>
        <v>0</v>
      </c>
      <c r="BG27" t="b">
        <f t="shared" si="14"/>
        <v>1</v>
      </c>
      <c r="BH27">
        <f>IFERROR(VLOOKUP($B27, aegis!$BT:$BU, 2, FALSE), 0)</f>
        <v>0</v>
      </c>
      <c r="BI27">
        <f>IFERROR(VLOOKUP($B27, duel!$BT:$BU, 2, FALSE), 0)</f>
        <v>0</v>
      </c>
      <c r="BJ27">
        <f>IFERROR(VLOOKUP($B27, blitz!$BT:$BU, 2, FALSE), 0)</f>
        <v>0</v>
      </c>
      <c r="BK27" t="b">
        <f t="shared" si="15"/>
        <v>1</v>
      </c>
      <c r="BL27" t="str">
        <f>IFERROR(VLOOKUP($B27, aegis!$BY:$BZ, 2, FALSE), 0)</f>
        <v>1</v>
      </c>
      <c r="BM27" t="str">
        <f>IFERROR(VLOOKUP($B27, duel!$BY:$BZ, 2, FALSE), 0)</f>
        <v>1</v>
      </c>
      <c r="BN27" t="str">
        <f>IFERROR(VLOOKUP($B27, blitz!$BY:$BZ, 2, FALSE), 0)</f>
        <v>1</v>
      </c>
      <c r="BO27" t="b">
        <f t="shared" si="16"/>
        <v>1</v>
      </c>
      <c r="BP27" t="str">
        <f>IFERROR(VLOOKUP($B27, aegis!$CD:$CE, 2, FALSE), 0)</f>
        <v>5</v>
      </c>
      <c r="BQ27" t="str">
        <f>IFERROR(VLOOKUP($B27, duel!$CD:$CE, 2, FALSE), 0)</f>
        <v>5</v>
      </c>
      <c r="BR27" t="str">
        <f>IFERROR(VLOOKUP($B27, blitz!$CD:$CE, 2, FALSE), 0)</f>
        <v>5</v>
      </c>
      <c r="BS27" t="b">
        <f t="shared" si="17"/>
        <v>1</v>
      </c>
      <c r="BT27">
        <f>IFERROR(VLOOKUP($B27, aegis!$CI:$CJ, 2, FALSE), 0)</f>
        <v>0</v>
      </c>
      <c r="BU27">
        <f>IFERROR(VLOOKUP($B27, duel!$CI:$CJ, 2, FALSE), 0)</f>
        <v>0</v>
      </c>
      <c r="BV27">
        <f>IFERROR(VLOOKUP($B27, blitz!$CI:$CJ, 2, FALSE), 0)</f>
        <v>0</v>
      </c>
      <c r="BW27" t="b">
        <f t="shared" si="18"/>
        <v>1</v>
      </c>
      <c r="BX27">
        <f>IFERROR(VLOOKUP($B27, aegis!$CN:$CO, 2, FALSE), 0)</f>
        <v>0</v>
      </c>
      <c r="BY27">
        <f>IFERROR(VLOOKUP($B27, duel!$CN:$CO, 2, FALSE), 0)</f>
        <v>0</v>
      </c>
      <c r="BZ27">
        <f>IFERROR(VLOOKUP($B27, blitz!$CN:$CO, 2, FALSE), 0)</f>
        <v>0</v>
      </c>
      <c r="CA27" t="b">
        <f t="shared" si="19"/>
        <v>1</v>
      </c>
      <c r="CB27">
        <f>IFERROR(VLOOKUP($B27, aegis!$CS:$CT, 2, FALSE), 0)</f>
        <v>0</v>
      </c>
      <c r="CC27">
        <f>IFERROR(VLOOKUP($B27, duel!$CS:$CT, 2, FALSE), 0)</f>
        <v>0</v>
      </c>
      <c r="CD27">
        <f>IFERROR(VLOOKUP($B27, blitz!$CS:$CT, 2, FALSE), 0)</f>
        <v>0</v>
      </c>
      <c r="CE27" t="b">
        <f t="shared" si="20"/>
        <v>1</v>
      </c>
      <c r="CF27">
        <f>IFERROR(VLOOKUP($B27, aegis!$CX:$CY, 2, FALSE), 0)</f>
        <v>0</v>
      </c>
      <c r="CG27">
        <f>IFERROR(VLOOKUP($B27, duel!$CX:$CY, 2, FALSE), 0)</f>
        <v>0</v>
      </c>
      <c r="CH27">
        <f>IFERROR(VLOOKUP($B27, blitz!$CX:$CY, 2, FALSE), 0)</f>
        <v>0</v>
      </c>
      <c r="CI27" t="b">
        <f t="shared" si="21"/>
        <v>1</v>
      </c>
      <c r="CJ27" t="str">
        <f>IFERROR(VLOOKUP($B27, aegis!$DC:$DD, 2, FALSE), 0)</f>
        <v>1</v>
      </c>
      <c r="CK27" t="str">
        <f>IFERROR(VLOOKUP($B27, duel!$DC:$DD, 2, FALSE), 0)</f>
        <v>1</v>
      </c>
      <c r="CL27" t="str">
        <f>IFERROR(VLOOKUP($B27, blitz!$DC:$DD, 2, FALSE), 0)</f>
        <v>1</v>
      </c>
      <c r="CM27" t="b">
        <f t="shared" si="22"/>
        <v>1</v>
      </c>
      <c r="CN27" t="str">
        <f>IFERROR(VLOOKUP($B27, aegis!$DH:$DI, 2, FALSE), 0)</f>
        <v>1</v>
      </c>
      <c r="CO27" t="str">
        <f>IFERROR(VLOOKUP($B27, duel!$DH:$DI, 2, FALSE), 0)</f>
        <v>1</v>
      </c>
      <c r="CP27" s="13">
        <f>IFERROR(VLOOKUP($B27, blitz!$DH:$DI, 2, FALSE), 0)</f>
        <v>0</v>
      </c>
      <c r="CQ27" t="b">
        <f t="shared" si="23"/>
        <v>1</v>
      </c>
      <c r="CR27" t="str">
        <f>IFERROR(VLOOKUP($B27, aegis!$DM:$DN, 2, FALSE), 0)</f>
        <v>1</v>
      </c>
      <c r="CS27" t="str">
        <f>IFERROR(VLOOKUP($B27, duel!$DM:$DN, 2, FALSE), 0)</f>
        <v>1</v>
      </c>
      <c r="CT27" t="str">
        <f>IFERROR(VLOOKUP($B27, blitz!$DM:$DN, 2, FALSE), 0)</f>
        <v>1</v>
      </c>
      <c r="CU27" t="b">
        <f t="shared" si="24"/>
        <v>1</v>
      </c>
      <c r="CV27" t="str">
        <f>IFERROR(VLOOKUP($B27, aegis!$DR:$DS, 2, FALSE), 0)</f>
        <v>4</v>
      </c>
      <c r="CW27" t="str">
        <f>IFERROR(VLOOKUP($B27, duel!$DR:$DS, 2, FALSE), 0)</f>
        <v>4</v>
      </c>
      <c r="CX27" t="str">
        <f>IFERROR(VLOOKUP($B27, blitz!$DR:$DS, 2, FALSE), 0)</f>
        <v>4</v>
      </c>
      <c r="CY27" t="b">
        <f t="shared" si="25"/>
        <v>1</v>
      </c>
    </row>
    <row r="28" spans="1:103">
      <c r="A28" t="s">
        <v>1733</v>
      </c>
      <c r="B28" s="6" t="s">
        <v>53</v>
      </c>
      <c r="C28" s="5" t="b">
        <f t="shared" si="0"/>
        <v>0</v>
      </c>
      <c r="D28" t="str">
        <f>IFERROR(VLOOKUP($B28, aegis!$B:$C, 2, FALSE), 0)</f>
        <v>24</v>
      </c>
      <c r="E28" t="str">
        <f>IFERROR(VLOOKUP($B28, duel!$B:$C, 2, FALSE), 0)</f>
        <v>24</v>
      </c>
      <c r="F28" t="str">
        <f>IFERROR(VLOOKUP($B28, blitz!$B:$C, 2, FALSE), 0)</f>
        <v>24</v>
      </c>
      <c r="G28" t="b">
        <f t="shared" si="1"/>
        <v>1</v>
      </c>
      <c r="H28" t="str">
        <f>IFERROR(VLOOKUP($B28, aegis!$G:$H, 2, FALSE), 0)</f>
        <v>14</v>
      </c>
      <c r="I28" t="str">
        <f>IFERROR(VLOOKUP($B28, duel!$G:$H, 2, FALSE), 0)</f>
        <v>14</v>
      </c>
      <c r="J28" t="str">
        <f>IFERROR(VLOOKUP($B28, blitz!$G:$H, 2, FALSE), 0)</f>
        <v>14</v>
      </c>
      <c r="K28" t="b">
        <f t="shared" si="2"/>
        <v>1</v>
      </c>
      <c r="L28" t="str">
        <f>IFERROR(VLOOKUP($B28, aegis!$L:$M, 2, FALSE), 0)</f>
        <v>24</v>
      </c>
      <c r="M28" t="str">
        <f>IFERROR(VLOOKUP($B28, duel!$L:$M, 2, FALSE), 0)</f>
        <v>24</v>
      </c>
      <c r="N28" t="str">
        <f>IFERROR(VLOOKUP($B28, blitz!$L:$M, 2, FALSE), 0)</f>
        <v>24</v>
      </c>
      <c r="O28" t="b">
        <f t="shared" si="3"/>
        <v>1</v>
      </c>
      <c r="P28" t="str">
        <f>IFERROR(VLOOKUP($B28, aegis!$Q:$R, 2, FALSE), 0)</f>
        <v>14</v>
      </c>
      <c r="Q28" t="str">
        <f>IFERROR(VLOOKUP($B28, duel!$Q:$R, 2, FALSE), 0)</f>
        <v>14</v>
      </c>
      <c r="R28" t="str">
        <f>IFERROR(VLOOKUP($B28, blitz!$Q:$R, 2, FALSE), 0)</f>
        <v>14</v>
      </c>
      <c r="S28" t="b">
        <f t="shared" si="4"/>
        <v>1</v>
      </c>
      <c r="T28" t="str">
        <f>IFERROR(VLOOKUP($B28, aegis!$V:$W, 2, FALSE), 0)</f>
        <v>31</v>
      </c>
      <c r="U28" t="str">
        <f>IFERROR(VLOOKUP($B28, duel!$V:$W, 2, FALSE), 0)</f>
        <v>31</v>
      </c>
      <c r="V28" t="str">
        <f>IFERROR(VLOOKUP($B28, blitz!$V:$W, 2, FALSE), 0)</f>
        <v>31</v>
      </c>
      <c r="W28" t="b">
        <f t="shared" si="5"/>
        <v>1</v>
      </c>
      <c r="X28" t="str">
        <f>IFERROR(VLOOKUP($B28, aegis!$AA:$AB, 2, FALSE), 0)</f>
        <v>2</v>
      </c>
      <c r="Y28" t="str">
        <f>IFERROR(VLOOKUP($B28, duel!$AA:$AB, 2, FALSE), 0)</f>
        <v>4</v>
      </c>
      <c r="Z28" t="str">
        <f>IFERROR(VLOOKUP($B28, blitz!$AA:$AB, 2, FALSE), 0)</f>
        <v>2</v>
      </c>
      <c r="AA28" t="b">
        <f t="shared" si="6"/>
        <v>0</v>
      </c>
      <c r="AB28" t="str">
        <f>IFERROR(VLOOKUP($B28, aegis!$AF:$AG, 2, FALSE), 0)</f>
        <v>34</v>
      </c>
      <c r="AC28" t="str">
        <f>IFERROR(VLOOKUP($B28, duel!$AF:$AG, 2, FALSE), 0)</f>
        <v>34</v>
      </c>
      <c r="AD28" t="str">
        <f>IFERROR(VLOOKUP($B28, blitz!$AF:$AG, 2, FALSE), 0)</f>
        <v>34</v>
      </c>
      <c r="AE28" t="b">
        <f t="shared" si="7"/>
        <v>1</v>
      </c>
      <c r="AF28" t="str">
        <f>IFERROR(VLOOKUP($B28, aegis!$AK:$AL, 2, FALSE), 0)</f>
        <v>3</v>
      </c>
      <c r="AG28" t="str">
        <f>IFERROR(VLOOKUP($B28, duel!$AK:$AL, 2, FALSE), 0)</f>
        <v>1</v>
      </c>
      <c r="AH28" t="str">
        <f>IFERROR(VLOOKUP($B28, blitz!$AK:$AL, 2, FALSE), 0)</f>
        <v>1</v>
      </c>
      <c r="AI28" t="b">
        <f t="shared" si="8"/>
        <v>0</v>
      </c>
      <c r="AJ28" t="str">
        <f>IFERROR(VLOOKUP($B28, aegis!$AP:$AQ, 2, FALSE), 0)</f>
        <v>2</v>
      </c>
      <c r="AK28" t="str">
        <f>IFERROR(VLOOKUP($B28, duel!$AP:$AQ, 2, FALSE), 0)</f>
        <v>2</v>
      </c>
      <c r="AL28" t="str">
        <f>IFERROR(VLOOKUP($B28, blitz!$AP:$AQ, 2, FALSE), 0)</f>
        <v>2</v>
      </c>
      <c r="AM28" t="b">
        <f t="shared" si="9"/>
        <v>1</v>
      </c>
      <c r="AN28">
        <f>IFERROR(VLOOKUP($B28, aegis!$AU:$AV, 2, FALSE), 0)</f>
        <v>0</v>
      </c>
      <c r="AO28">
        <f>IFERROR(VLOOKUP($B28, duel!$AU:$AV, 2, FALSE), 0)</f>
        <v>0</v>
      </c>
      <c r="AP28">
        <f>IFERROR(VLOOKUP($B28, blitz!$AU:$AV, 2, FALSE), 0)</f>
        <v>0</v>
      </c>
      <c r="AQ28" t="b">
        <f t="shared" si="10"/>
        <v>1</v>
      </c>
      <c r="AR28" t="str">
        <f>IFERROR(VLOOKUP($B28, aegis!$AZ:$BA, 2, FALSE), 0)</f>
        <v>2</v>
      </c>
      <c r="AS28" t="str">
        <f>IFERROR(VLOOKUP($B28, duel!$AZ:$BA, 2, FALSE), 0)</f>
        <v>2</v>
      </c>
      <c r="AT28" t="str">
        <f>IFERROR(VLOOKUP($B28, blitz!$AZ:$BA, 2, FALSE), 0)</f>
        <v>2</v>
      </c>
      <c r="AU28" t="b">
        <f t="shared" si="11"/>
        <v>1</v>
      </c>
      <c r="AV28" t="str">
        <f>IFERROR(VLOOKUP($B28, aegis!$BE:$BF, 2, FALSE), 0)</f>
        <v>2</v>
      </c>
      <c r="AW28" t="str">
        <f>IFERROR(VLOOKUP($B28, duel!$BE:$BF, 2, FALSE), 0)</f>
        <v>2</v>
      </c>
      <c r="AX28" t="str">
        <f>IFERROR(VLOOKUP($B28, blitz!$BE:$BF, 2, FALSE), 0)</f>
        <v>2</v>
      </c>
      <c r="AY28" t="b">
        <f t="shared" si="12"/>
        <v>1</v>
      </c>
      <c r="AZ28" t="str">
        <f>IFERROR(VLOOKUP($B28, aegis!$BJ:$BK, 2, FALSE), 0)</f>
        <v>1</v>
      </c>
      <c r="BA28" t="str">
        <f>IFERROR(VLOOKUP($B28, duel!$BJ:$BK, 2, FALSE), 0)</f>
        <v>1</v>
      </c>
      <c r="BB28" t="str">
        <f>IFERROR(VLOOKUP($B28, blitz!$BJ:$BK, 2, FALSE), 0)</f>
        <v>1</v>
      </c>
      <c r="BC28" t="b">
        <f t="shared" si="13"/>
        <v>1</v>
      </c>
      <c r="BD28">
        <f>IFERROR(VLOOKUP($B28, aegis!$BO:$BP, 2, FALSE), 0)</f>
        <v>0</v>
      </c>
      <c r="BE28">
        <f>IFERROR(VLOOKUP($B28, duel!$BO:$BP, 2, FALSE), 0)</f>
        <v>0</v>
      </c>
      <c r="BF28">
        <f>IFERROR(VLOOKUP($B28, blitz!$BO:$BP, 2, FALSE), 0)</f>
        <v>0</v>
      </c>
      <c r="BG28" t="b">
        <f t="shared" si="14"/>
        <v>1</v>
      </c>
      <c r="BH28" t="str">
        <f>IFERROR(VLOOKUP($B28, aegis!$BT:$BU, 2, FALSE), 0)</f>
        <v>16</v>
      </c>
      <c r="BI28" t="str">
        <f>IFERROR(VLOOKUP($B28, duel!$BT:$BU, 2, FALSE), 0)</f>
        <v>16</v>
      </c>
      <c r="BJ28" t="str">
        <f>IFERROR(VLOOKUP($B28, blitz!$BT:$BU, 2, FALSE), 0)</f>
        <v>16</v>
      </c>
      <c r="BK28" t="b">
        <f t="shared" si="15"/>
        <v>1</v>
      </c>
      <c r="BL28">
        <f>IFERROR(VLOOKUP($B28, aegis!$BY:$BZ, 2, FALSE), 0)</f>
        <v>0</v>
      </c>
      <c r="BM28">
        <f>IFERROR(VLOOKUP($B28, duel!$BY:$BZ, 2, FALSE), 0)</f>
        <v>0</v>
      </c>
      <c r="BN28">
        <f>IFERROR(VLOOKUP($B28, blitz!$BY:$BZ, 2, FALSE), 0)</f>
        <v>0</v>
      </c>
      <c r="BO28" t="b">
        <f t="shared" si="16"/>
        <v>1</v>
      </c>
      <c r="BP28" t="str">
        <f>IFERROR(VLOOKUP($B28, aegis!$CD:$CE, 2, FALSE), 0)</f>
        <v>6</v>
      </c>
      <c r="BQ28" t="str">
        <f>IFERROR(VLOOKUP($B28, duel!$CD:$CE, 2, FALSE), 0)</f>
        <v>6</v>
      </c>
      <c r="BR28" t="str">
        <f>IFERROR(VLOOKUP($B28, blitz!$CD:$CE, 2, FALSE), 0)</f>
        <v>6</v>
      </c>
      <c r="BS28" t="b">
        <f t="shared" si="17"/>
        <v>1</v>
      </c>
      <c r="BT28">
        <f>IFERROR(VLOOKUP($B28, aegis!$CI:$CJ, 2, FALSE), 0)</f>
        <v>0</v>
      </c>
      <c r="BU28">
        <f>IFERROR(VLOOKUP($B28, duel!$CI:$CJ, 2, FALSE), 0)</f>
        <v>0</v>
      </c>
      <c r="BV28">
        <f>IFERROR(VLOOKUP($B28, blitz!$CI:$CJ, 2, FALSE), 0)</f>
        <v>0</v>
      </c>
      <c r="BW28" t="b">
        <f t="shared" si="18"/>
        <v>1</v>
      </c>
      <c r="BX28">
        <f>IFERROR(VLOOKUP($B28, aegis!$CN:$CO, 2, FALSE), 0)</f>
        <v>0</v>
      </c>
      <c r="BY28">
        <f>IFERROR(VLOOKUP($B28, duel!$CN:$CO, 2, FALSE), 0)</f>
        <v>0</v>
      </c>
      <c r="BZ28">
        <f>IFERROR(VLOOKUP($B28, blitz!$CN:$CO, 2, FALSE), 0)</f>
        <v>0</v>
      </c>
      <c r="CA28" t="b">
        <f t="shared" si="19"/>
        <v>1</v>
      </c>
      <c r="CB28">
        <f>IFERROR(VLOOKUP($B28, aegis!$CS:$CT, 2, FALSE), 0)</f>
        <v>0</v>
      </c>
      <c r="CC28">
        <f>IFERROR(VLOOKUP($B28, duel!$CS:$CT, 2, FALSE), 0)</f>
        <v>0</v>
      </c>
      <c r="CD28">
        <f>IFERROR(VLOOKUP($B28, blitz!$CS:$CT, 2, FALSE), 0)</f>
        <v>0</v>
      </c>
      <c r="CE28" t="b">
        <f t="shared" si="20"/>
        <v>1</v>
      </c>
      <c r="CF28" t="str">
        <f>IFERROR(VLOOKUP($B28, aegis!$CX:$CY, 2, FALSE), 0)</f>
        <v>5059</v>
      </c>
      <c r="CG28" t="str">
        <f>IFERROR(VLOOKUP($B28, duel!$CX:$CY, 2, FALSE), 0)</f>
        <v>5058</v>
      </c>
      <c r="CH28" t="str">
        <f>IFERROR(VLOOKUP($B28, blitz!$CX:$CY, 2, FALSE), 0)</f>
        <v>1015</v>
      </c>
      <c r="CI28" t="b">
        <f t="shared" si="21"/>
        <v>0</v>
      </c>
      <c r="CJ28" t="str">
        <f>IFERROR(VLOOKUP($B28, aegis!$DC:$DD, 2, FALSE), 0)</f>
        <v>1</v>
      </c>
      <c r="CK28" t="str">
        <f>IFERROR(VLOOKUP($B28, duel!$DC:$DD, 2, FALSE), 0)</f>
        <v>1</v>
      </c>
      <c r="CL28" t="str">
        <f>IFERROR(VLOOKUP($B28, blitz!$DC:$DD, 2, FALSE), 0)</f>
        <v>1</v>
      </c>
      <c r="CM28" t="b">
        <f t="shared" si="22"/>
        <v>1</v>
      </c>
      <c r="CN28" t="str">
        <f>IFERROR(VLOOKUP($B28, aegis!$DH:$DI, 2, FALSE), 0)</f>
        <v>3</v>
      </c>
      <c r="CO28" t="str">
        <f>IFERROR(VLOOKUP($B28, duel!$DH:$DI, 2, FALSE), 0)</f>
        <v>3</v>
      </c>
      <c r="CP28" s="13">
        <f>IFERROR(VLOOKUP($B28, blitz!$DH:$DI, 2, FALSE), 0)</f>
        <v>0</v>
      </c>
      <c r="CQ28" t="b">
        <f t="shared" si="23"/>
        <v>1</v>
      </c>
      <c r="CR28" t="str">
        <f>IFERROR(VLOOKUP($B28, aegis!$DM:$DN, 2, FALSE), 0)</f>
        <v>1</v>
      </c>
      <c r="CS28" t="str">
        <f>IFERROR(VLOOKUP($B28, duel!$DM:$DN, 2, FALSE), 0)</f>
        <v>1</v>
      </c>
      <c r="CT28" t="str">
        <f>IFERROR(VLOOKUP($B28, blitz!$DM:$DN, 2, FALSE), 0)</f>
        <v>1</v>
      </c>
      <c r="CU28" t="b">
        <f t="shared" si="24"/>
        <v>1</v>
      </c>
      <c r="CV28" t="str">
        <f>IFERROR(VLOOKUP($B28, aegis!$DR:$DS, 2, FALSE), 0)</f>
        <v>34</v>
      </c>
      <c r="CW28" t="str">
        <f>IFERROR(VLOOKUP($B28, duel!$DR:$DS, 2, FALSE), 0)</f>
        <v>34</v>
      </c>
      <c r="CX28" t="str">
        <f>IFERROR(VLOOKUP($B28, blitz!$DR:$DS, 2, FALSE), 0)</f>
        <v>34</v>
      </c>
      <c r="CY28" t="b">
        <f t="shared" si="25"/>
        <v>1</v>
      </c>
    </row>
    <row r="29" spans="1:103">
      <c r="A29" t="s">
        <v>1733</v>
      </c>
      <c r="B29" s="6" t="s">
        <v>54</v>
      </c>
      <c r="C29" s="5" t="b">
        <f t="shared" si="0"/>
        <v>0</v>
      </c>
      <c r="D29" t="str">
        <f>IFERROR(VLOOKUP($B29, aegis!$B:$C, 2, FALSE), 0)</f>
        <v>36</v>
      </c>
      <c r="E29" t="str">
        <f>IFERROR(VLOOKUP($B29, duel!$B:$C, 2, FALSE), 0)</f>
        <v>36</v>
      </c>
      <c r="F29" t="str">
        <f>IFERROR(VLOOKUP($B29, blitz!$B:$C, 2, FALSE), 0)</f>
        <v>36</v>
      </c>
      <c r="G29" t="b">
        <f t="shared" si="1"/>
        <v>1</v>
      </c>
      <c r="H29" t="str">
        <f>IFERROR(VLOOKUP($B29, aegis!$G:$H, 2, FALSE), 0)</f>
        <v>21</v>
      </c>
      <c r="I29" t="str">
        <f>IFERROR(VLOOKUP($B29, duel!$G:$H, 2, FALSE), 0)</f>
        <v>21</v>
      </c>
      <c r="J29" t="str">
        <f>IFERROR(VLOOKUP($B29, blitz!$G:$H, 2, FALSE), 0)</f>
        <v>21</v>
      </c>
      <c r="K29" t="b">
        <f t="shared" si="2"/>
        <v>1</v>
      </c>
      <c r="L29" t="str">
        <f>IFERROR(VLOOKUP($B29, aegis!$L:$M, 2, FALSE), 0)</f>
        <v>36</v>
      </c>
      <c r="M29" t="str">
        <f>IFERROR(VLOOKUP($B29, duel!$L:$M, 2, FALSE), 0)</f>
        <v>36</v>
      </c>
      <c r="N29" t="str">
        <f>IFERROR(VLOOKUP($B29, blitz!$L:$M, 2, FALSE), 0)</f>
        <v>36</v>
      </c>
      <c r="O29" t="b">
        <f t="shared" si="3"/>
        <v>1</v>
      </c>
      <c r="P29" t="str">
        <f>IFERROR(VLOOKUP($B29, aegis!$Q:$R, 2, FALSE), 0)</f>
        <v>21</v>
      </c>
      <c r="Q29" t="str">
        <f>IFERROR(VLOOKUP($B29, duel!$Q:$R, 2, FALSE), 0)</f>
        <v>21</v>
      </c>
      <c r="R29" t="str">
        <f>IFERROR(VLOOKUP($B29, blitz!$Q:$R, 2, FALSE), 0)</f>
        <v>21</v>
      </c>
      <c r="S29" t="b">
        <f t="shared" si="4"/>
        <v>1</v>
      </c>
      <c r="T29" t="str">
        <f>IFERROR(VLOOKUP($B29, aegis!$V:$W, 2, FALSE), 0)</f>
        <v>42</v>
      </c>
      <c r="U29" t="str">
        <f>IFERROR(VLOOKUP($B29, duel!$V:$W, 2, FALSE), 0)</f>
        <v>42</v>
      </c>
      <c r="V29" t="str">
        <f>IFERROR(VLOOKUP($B29, blitz!$V:$W, 2, FALSE), 0)</f>
        <v>42</v>
      </c>
      <c r="W29" t="b">
        <f t="shared" si="5"/>
        <v>1</v>
      </c>
      <c r="X29" t="str">
        <f>IFERROR(VLOOKUP($B29, aegis!$AA:$AB, 2, FALSE), 0)</f>
        <v>2</v>
      </c>
      <c r="Y29" t="str">
        <f>IFERROR(VLOOKUP($B29, duel!$AA:$AB, 2, FALSE), 0)</f>
        <v>4</v>
      </c>
      <c r="Z29" t="str">
        <f>IFERROR(VLOOKUP($B29, blitz!$AA:$AB, 2, FALSE), 0)</f>
        <v>2</v>
      </c>
      <c r="AA29" t="b">
        <f t="shared" si="6"/>
        <v>0</v>
      </c>
      <c r="AB29" t="str">
        <f>IFERROR(VLOOKUP($B29, aegis!$AF:$AG, 2, FALSE), 0)</f>
        <v>24</v>
      </c>
      <c r="AC29" t="str">
        <f>IFERROR(VLOOKUP($B29, duel!$AF:$AG, 2, FALSE), 0)</f>
        <v>24</v>
      </c>
      <c r="AD29" t="str">
        <f>IFERROR(VLOOKUP($B29, blitz!$AF:$AG, 2, FALSE), 0)</f>
        <v>24</v>
      </c>
      <c r="AE29" t="b">
        <f t="shared" si="7"/>
        <v>1</v>
      </c>
      <c r="AF29" t="str">
        <f>IFERROR(VLOOKUP($B29, aegis!$AK:$AL, 2, FALSE), 0)</f>
        <v>3</v>
      </c>
      <c r="AG29" t="str">
        <f>IFERROR(VLOOKUP($B29, duel!$AK:$AL, 2, FALSE), 0)</f>
        <v>1</v>
      </c>
      <c r="AH29" t="str">
        <f>IFERROR(VLOOKUP($B29, blitz!$AK:$AL, 2, FALSE), 0)</f>
        <v>1</v>
      </c>
      <c r="AI29" t="b">
        <f t="shared" si="8"/>
        <v>0</v>
      </c>
      <c r="AJ29" t="str">
        <f>IFERROR(VLOOKUP($B29, aegis!$AP:$AQ, 2, FALSE), 0)</f>
        <v>2</v>
      </c>
      <c r="AK29" t="str">
        <f>IFERROR(VLOOKUP($B29, duel!$AP:$AQ, 2, FALSE), 0)</f>
        <v>2</v>
      </c>
      <c r="AL29" t="str">
        <f>IFERROR(VLOOKUP($B29, blitz!$AP:$AQ, 2, FALSE), 0)</f>
        <v>2</v>
      </c>
      <c r="AM29" t="b">
        <f t="shared" si="9"/>
        <v>1</v>
      </c>
      <c r="AN29">
        <f>IFERROR(VLOOKUP($B29, aegis!$AU:$AV, 2, FALSE), 0)</f>
        <v>0</v>
      </c>
      <c r="AO29">
        <f>IFERROR(VLOOKUP($B29, duel!$AU:$AV, 2, FALSE), 0)</f>
        <v>0</v>
      </c>
      <c r="AP29">
        <f>IFERROR(VLOOKUP($B29, blitz!$AU:$AV, 2, FALSE), 0)</f>
        <v>0</v>
      </c>
      <c r="AQ29" t="b">
        <f t="shared" si="10"/>
        <v>1</v>
      </c>
      <c r="AR29" t="str">
        <f>IFERROR(VLOOKUP($B29, aegis!$AZ:$BA, 2, FALSE), 0)</f>
        <v>2</v>
      </c>
      <c r="AS29" t="str">
        <f>IFERROR(VLOOKUP($B29, duel!$AZ:$BA, 2, FALSE), 0)</f>
        <v>2</v>
      </c>
      <c r="AT29" t="str">
        <f>IFERROR(VLOOKUP($B29, blitz!$AZ:$BA, 2, FALSE), 0)</f>
        <v>2</v>
      </c>
      <c r="AU29" t="b">
        <f t="shared" si="11"/>
        <v>1</v>
      </c>
      <c r="AV29" t="str">
        <f>IFERROR(VLOOKUP($B29, aegis!$BE:$BF, 2, FALSE), 0)</f>
        <v>2</v>
      </c>
      <c r="AW29" t="str">
        <f>IFERROR(VLOOKUP($B29, duel!$BE:$BF, 2, FALSE), 0)</f>
        <v>2</v>
      </c>
      <c r="AX29" t="str">
        <f>IFERROR(VLOOKUP($B29, blitz!$BE:$BF, 2, FALSE), 0)</f>
        <v>2</v>
      </c>
      <c r="AY29" t="b">
        <f t="shared" si="12"/>
        <v>1</v>
      </c>
      <c r="AZ29" t="str">
        <f>IFERROR(VLOOKUP($B29, aegis!$BJ:$BK, 2, FALSE), 0)</f>
        <v>1</v>
      </c>
      <c r="BA29" t="str">
        <f>IFERROR(VLOOKUP($B29, duel!$BJ:$BK, 2, FALSE), 0)</f>
        <v>1</v>
      </c>
      <c r="BB29" t="str">
        <f>IFERROR(VLOOKUP($B29, blitz!$BJ:$BK, 2, FALSE), 0)</f>
        <v>1</v>
      </c>
      <c r="BC29" t="b">
        <f t="shared" si="13"/>
        <v>1</v>
      </c>
      <c r="BD29">
        <f>IFERROR(VLOOKUP($B29, aegis!$BO:$BP, 2, FALSE), 0)</f>
        <v>0</v>
      </c>
      <c r="BE29">
        <f>IFERROR(VLOOKUP($B29, duel!$BO:$BP, 2, FALSE), 0)</f>
        <v>0</v>
      </c>
      <c r="BF29">
        <f>IFERROR(VLOOKUP($B29, blitz!$BO:$BP, 2, FALSE), 0)</f>
        <v>0</v>
      </c>
      <c r="BG29" t="b">
        <f t="shared" si="14"/>
        <v>1</v>
      </c>
      <c r="BH29" t="str">
        <f>IFERROR(VLOOKUP($B29, aegis!$BT:$BU, 2, FALSE), 0)</f>
        <v>12</v>
      </c>
      <c r="BI29" t="str">
        <f>IFERROR(VLOOKUP($B29, duel!$BT:$BU, 2, FALSE), 0)</f>
        <v>12</v>
      </c>
      <c r="BJ29" t="str">
        <f>IFERROR(VLOOKUP($B29, blitz!$BT:$BU, 2, FALSE), 0)</f>
        <v>12</v>
      </c>
      <c r="BK29" t="b">
        <f t="shared" si="15"/>
        <v>1</v>
      </c>
      <c r="BL29">
        <f>IFERROR(VLOOKUP($B29, aegis!$BY:$BZ, 2, FALSE), 0)</f>
        <v>0</v>
      </c>
      <c r="BM29">
        <f>IFERROR(VLOOKUP($B29, duel!$BY:$BZ, 2, FALSE), 0)</f>
        <v>0</v>
      </c>
      <c r="BN29">
        <f>IFERROR(VLOOKUP($B29, blitz!$BY:$BZ, 2, FALSE), 0)</f>
        <v>0</v>
      </c>
      <c r="BO29" t="b">
        <f t="shared" si="16"/>
        <v>1</v>
      </c>
      <c r="BP29" t="str">
        <f>IFERROR(VLOOKUP($B29, aegis!$CD:$CE, 2, FALSE), 0)</f>
        <v>5</v>
      </c>
      <c r="BQ29" t="str">
        <f>IFERROR(VLOOKUP($B29, duel!$CD:$CE, 2, FALSE), 0)</f>
        <v>5</v>
      </c>
      <c r="BR29" t="str">
        <f>IFERROR(VLOOKUP($B29, blitz!$CD:$CE, 2, FALSE), 0)</f>
        <v>5</v>
      </c>
      <c r="BS29" t="b">
        <f t="shared" si="17"/>
        <v>1</v>
      </c>
      <c r="BT29">
        <f>IFERROR(VLOOKUP($B29, aegis!$CI:$CJ, 2, FALSE), 0)</f>
        <v>0</v>
      </c>
      <c r="BU29">
        <f>IFERROR(VLOOKUP($B29, duel!$CI:$CJ, 2, FALSE), 0)</f>
        <v>0</v>
      </c>
      <c r="BV29">
        <f>IFERROR(VLOOKUP($B29, blitz!$CI:$CJ, 2, FALSE), 0)</f>
        <v>0</v>
      </c>
      <c r="BW29" t="b">
        <f t="shared" si="18"/>
        <v>1</v>
      </c>
      <c r="BX29">
        <f>IFERROR(VLOOKUP($B29, aegis!$CN:$CO, 2, FALSE), 0)</f>
        <v>0</v>
      </c>
      <c r="BY29">
        <f>IFERROR(VLOOKUP($B29, duel!$CN:$CO, 2, FALSE), 0)</f>
        <v>0</v>
      </c>
      <c r="BZ29">
        <f>IFERROR(VLOOKUP($B29, blitz!$CN:$CO, 2, FALSE), 0)</f>
        <v>0</v>
      </c>
      <c r="CA29" t="b">
        <f t="shared" si="19"/>
        <v>1</v>
      </c>
      <c r="CB29">
        <f>IFERROR(VLOOKUP($B29, aegis!$CS:$CT, 2, FALSE), 0)</f>
        <v>0</v>
      </c>
      <c r="CC29">
        <f>IFERROR(VLOOKUP($B29, duel!$CS:$CT, 2, FALSE), 0)</f>
        <v>0</v>
      </c>
      <c r="CD29">
        <f>IFERROR(VLOOKUP($B29, blitz!$CS:$CT, 2, FALSE), 0)</f>
        <v>0</v>
      </c>
      <c r="CE29" t="b">
        <f t="shared" si="20"/>
        <v>1</v>
      </c>
      <c r="CF29" t="str">
        <f>IFERROR(VLOOKUP($B29, aegis!$CX:$CY, 2, FALSE), 0)</f>
        <v>6956</v>
      </c>
      <c r="CG29" t="str">
        <f>IFERROR(VLOOKUP($B29, duel!$CX:$CY, 2, FALSE), 0)</f>
        <v>6953</v>
      </c>
      <c r="CH29" t="str">
        <f>IFERROR(VLOOKUP($B29, blitz!$CX:$CY, 2, FALSE), 0)</f>
        <v>1758</v>
      </c>
      <c r="CI29" t="b">
        <f t="shared" si="21"/>
        <v>0</v>
      </c>
      <c r="CJ29" t="str">
        <f>IFERROR(VLOOKUP($B29, aegis!$DC:$DD, 2, FALSE), 0)</f>
        <v>1</v>
      </c>
      <c r="CK29" t="str">
        <f>IFERROR(VLOOKUP($B29, duel!$DC:$DD, 2, FALSE), 0)</f>
        <v>1</v>
      </c>
      <c r="CL29" t="str">
        <f>IFERROR(VLOOKUP($B29, blitz!$DC:$DD, 2, FALSE), 0)</f>
        <v>1</v>
      </c>
      <c r="CM29" t="b">
        <f t="shared" si="22"/>
        <v>1</v>
      </c>
      <c r="CN29" t="str">
        <f>IFERROR(VLOOKUP($B29, aegis!$DH:$DI, 2, FALSE), 0)</f>
        <v>2</v>
      </c>
      <c r="CO29" t="str">
        <f>IFERROR(VLOOKUP($B29, duel!$DH:$DI, 2, FALSE), 0)</f>
        <v>2</v>
      </c>
      <c r="CP29" s="13">
        <f>IFERROR(VLOOKUP($B29, blitz!$DH:$DI, 2, FALSE), 0)</f>
        <v>0</v>
      </c>
      <c r="CQ29" t="b">
        <f t="shared" si="23"/>
        <v>1</v>
      </c>
      <c r="CR29" t="str">
        <f>IFERROR(VLOOKUP($B29, aegis!$DM:$DN, 2, FALSE), 0)</f>
        <v>1</v>
      </c>
      <c r="CS29" t="str">
        <f>IFERROR(VLOOKUP($B29, duel!$DM:$DN, 2, FALSE), 0)</f>
        <v>1</v>
      </c>
      <c r="CT29" t="str">
        <f>IFERROR(VLOOKUP($B29, blitz!$DM:$DN, 2, FALSE), 0)</f>
        <v>1</v>
      </c>
      <c r="CU29" t="b">
        <f t="shared" si="24"/>
        <v>1</v>
      </c>
      <c r="CV29" t="str">
        <f>IFERROR(VLOOKUP($B29, aegis!$DR:$DS, 2, FALSE), 0)</f>
        <v>24</v>
      </c>
      <c r="CW29" t="str">
        <f>IFERROR(VLOOKUP($B29, duel!$DR:$DS, 2, FALSE), 0)</f>
        <v>24</v>
      </c>
      <c r="CX29" t="str">
        <f>IFERROR(VLOOKUP($B29, blitz!$DR:$DS, 2, FALSE), 0)</f>
        <v>24</v>
      </c>
      <c r="CY29" t="b">
        <f t="shared" si="25"/>
        <v>1</v>
      </c>
    </row>
    <row r="30" spans="1:103">
      <c r="A30" t="s">
        <v>1733</v>
      </c>
      <c r="B30" s="6" t="s">
        <v>57</v>
      </c>
      <c r="C30" s="5" t="b">
        <f t="shared" si="0"/>
        <v>0</v>
      </c>
      <c r="D30" t="str">
        <f>IFERROR(VLOOKUP($B30, aegis!$B:$C, 2, FALSE), 0)</f>
        <v>60</v>
      </c>
      <c r="E30" t="str">
        <f>IFERROR(VLOOKUP($B30, duel!$B:$C, 2, FALSE), 0)</f>
        <v>60</v>
      </c>
      <c r="F30" t="str">
        <f>IFERROR(VLOOKUP($B30, blitz!$B:$C, 2, FALSE), 0)</f>
        <v>60</v>
      </c>
      <c r="G30" t="b">
        <f t="shared" si="1"/>
        <v>1</v>
      </c>
      <c r="H30" t="str">
        <f>IFERROR(VLOOKUP($B30, aegis!$G:$H, 2, FALSE), 0)</f>
        <v>35</v>
      </c>
      <c r="I30" t="str">
        <f>IFERROR(VLOOKUP($B30, duel!$G:$H, 2, FALSE), 0)</f>
        <v>35</v>
      </c>
      <c r="J30" t="str">
        <f>IFERROR(VLOOKUP($B30, blitz!$G:$H, 2, FALSE), 0)</f>
        <v>35</v>
      </c>
      <c r="K30" t="b">
        <f t="shared" si="2"/>
        <v>1</v>
      </c>
      <c r="L30" t="str">
        <f>IFERROR(VLOOKUP($B30, aegis!$L:$M, 2, FALSE), 0)</f>
        <v>60</v>
      </c>
      <c r="M30" t="str">
        <f>IFERROR(VLOOKUP($B30, duel!$L:$M, 2, FALSE), 0)</f>
        <v>60</v>
      </c>
      <c r="N30" t="str">
        <f>IFERROR(VLOOKUP($B30, blitz!$L:$M, 2, FALSE), 0)</f>
        <v>60</v>
      </c>
      <c r="O30" t="b">
        <f t="shared" si="3"/>
        <v>1</v>
      </c>
      <c r="P30" t="str">
        <f>IFERROR(VLOOKUP($B30, aegis!$Q:$R, 2, FALSE), 0)</f>
        <v>35</v>
      </c>
      <c r="Q30" t="str">
        <f>IFERROR(VLOOKUP($B30, duel!$Q:$R, 2, FALSE), 0)</f>
        <v>35</v>
      </c>
      <c r="R30" t="str">
        <f>IFERROR(VLOOKUP($B30, blitz!$Q:$R, 2, FALSE), 0)</f>
        <v>35</v>
      </c>
      <c r="S30" t="b">
        <f t="shared" si="4"/>
        <v>1</v>
      </c>
      <c r="T30" t="str">
        <f>IFERROR(VLOOKUP($B30, aegis!$V:$W, 2, FALSE), 0)</f>
        <v>40</v>
      </c>
      <c r="U30" t="str">
        <f>IFERROR(VLOOKUP($B30, duel!$V:$W, 2, FALSE), 0)</f>
        <v>40</v>
      </c>
      <c r="V30" t="str">
        <f>IFERROR(VLOOKUP($B30, blitz!$V:$W, 2, FALSE), 0)</f>
        <v>40</v>
      </c>
      <c r="W30" t="b">
        <f t="shared" si="5"/>
        <v>1</v>
      </c>
      <c r="X30" t="str">
        <f>IFERROR(VLOOKUP($B30, aegis!$AA:$AB, 2, FALSE), 0)</f>
        <v>3</v>
      </c>
      <c r="Y30" t="str">
        <f>IFERROR(VLOOKUP($B30, duel!$AA:$AB, 2, FALSE), 0)</f>
        <v>6</v>
      </c>
      <c r="Z30" t="str">
        <f>IFERROR(VLOOKUP($B30, blitz!$AA:$AB, 2, FALSE), 0)</f>
        <v>3</v>
      </c>
      <c r="AA30" t="b">
        <f t="shared" si="6"/>
        <v>0</v>
      </c>
      <c r="AB30" t="str">
        <f>IFERROR(VLOOKUP($B30, aegis!$AF:$AG, 2, FALSE), 0)</f>
        <v>14</v>
      </c>
      <c r="AC30" t="str">
        <f>IFERROR(VLOOKUP($B30, duel!$AF:$AG, 2, FALSE), 0)</f>
        <v>14</v>
      </c>
      <c r="AD30" t="str">
        <f>IFERROR(VLOOKUP($B30, blitz!$AF:$AG, 2, FALSE), 0)</f>
        <v>14</v>
      </c>
      <c r="AE30" t="b">
        <f t="shared" si="7"/>
        <v>1</v>
      </c>
      <c r="AF30" t="str">
        <f>IFERROR(VLOOKUP($B30, aegis!$AK:$AL, 2, FALSE), 0)</f>
        <v>4</v>
      </c>
      <c r="AG30" t="str">
        <f>IFERROR(VLOOKUP($B30, duel!$AK:$AL, 2, FALSE), 0)</f>
        <v>1</v>
      </c>
      <c r="AH30" t="str">
        <f>IFERROR(VLOOKUP($B30, blitz!$AK:$AL, 2, FALSE), 0)</f>
        <v>1</v>
      </c>
      <c r="AI30" t="b">
        <f t="shared" si="8"/>
        <v>0</v>
      </c>
      <c r="AJ30" t="str">
        <f>IFERROR(VLOOKUP($B30, aegis!$AP:$AQ, 2, FALSE), 0)</f>
        <v>3</v>
      </c>
      <c r="AK30" t="str">
        <f>IFERROR(VLOOKUP($B30, duel!$AP:$AQ, 2, FALSE), 0)</f>
        <v>3</v>
      </c>
      <c r="AL30" t="str">
        <f>IFERROR(VLOOKUP($B30, blitz!$AP:$AQ, 2, FALSE), 0)</f>
        <v>3</v>
      </c>
      <c r="AM30" t="b">
        <f t="shared" si="9"/>
        <v>1</v>
      </c>
      <c r="AN30">
        <f>IFERROR(VLOOKUP($B30, aegis!$AU:$AV, 2, FALSE), 0)</f>
        <v>0</v>
      </c>
      <c r="AO30">
        <f>IFERROR(VLOOKUP($B30, duel!$AU:$AV, 2, FALSE), 0)</f>
        <v>0</v>
      </c>
      <c r="AP30">
        <f>IFERROR(VLOOKUP($B30, blitz!$AU:$AV, 2, FALSE), 0)</f>
        <v>0</v>
      </c>
      <c r="AQ30" t="b">
        <f t="shared" si="10"/>
        <v>1</v>
      </c>
      <c r="AR30" t="str">
        <f>IFERROR(VLOOKUP($B30, aegis!$AZ:$BA, 2, FALSE), 0)</f>
        <v>3</v>
      </c>
      <c r="AS30" t="str">
        <f>IFERROR(VLOOKUP($B30, duel!$AZ:$BA, 2, FALSE), 0)</f>
        <v>3</v>
      </c>
      <c r="AT30" t="str">
        <f>IFERROR(VLOOKUP($B30, blitz!$AZ:$BA, 2, FALSE), 0)</f>
        <v>3</v>
      </c>
      <c r="AU30" t="b">
        <f t="shared" si="11"/>
        <v>1</v>
      </c>
      <c r="AV30" t="str">
        <f>IFERROR(VLOOKUP($B30, aegis!$BE:$BF, 2, FALSE), 0)</f>
        <v>3</v>
      </c>
      <c r="AW30" t="str">
        <f>IFERROR(VLOOKUP($B30, duel!$BE:$BF, 2, FALSE), 0)</f>
        <v>3</v>
      </c>
      <c r="AX30" t="str">
        <f>IFERROR(VLOOKUP($B30, blitz!$BE:$BF, 2, FALSE), 0)</f>
        <v>3</v>
      </c>
      <c r="AY30" t="b">
        <f t="shared" si="12"/>
        <v>1</v>
      </c>
      <c r="AZ30" t="str">
        <f>IFERROR(VLOOKUP($B30, aegis!$BJ:$BK, 2, FALSE), 0)</f>
        <v>1</v>
      </c>
      <c r="BA30" t="str">
        <f>IFERROR(VLOOKUP($B30, duel!$BJ:$BK, 2, FALSE), 0)</f>
        <v>1</v>
      </c>
      <c r="BB30" t="str">
        <f>IFERROR(VLOOKUP($B30, blitz!$BJ:$BK, 2, FALSE), 0)</f>
        <v>1</v>
      </c>
      <c r="BC30" t="b">
        <f t="shared" si="13"/>
        <v>1</v>
      </c>
      <c r="BD30">
        <f>IFERROR(VLOOKUP($B30, aegis!$BO:$BP, 2, FALSE), 0)</f>
        <v>0</v>
      </c>
      <c r="BE30">
        <f>IFERROR(VLOOKUP($B30, duel!$BO:$BP, 2, FALSE), 0)</f>
        <v>0</v>
      </c>
      <c r="BF30">
        <f>IFERROR(VLOOKUP($B30, blitz!$BO:$BP, 2, FALSE), 0)</f>
        <v>0</v>
      </c>
      <c r="BG30" t="b">
        <f t="shared" si="14"/>
        <v>1</v>
      </c>
      <c r="BH30" t="str">
        <f>IFERROR(VLOOKUP($B30, aegis!$BT:$BU, 2, FALSE), 0)</f>
        <v>9</v>
      </c>
      <c r="BI30" t="str">
        <f>IFERROR(VLOOKUP($B30, duel!$BT:$BU, 2, FALSE), 0)</f>
        <v>9</v>
      </c>
      <c r="BJ30" t="str">
        <f>IFERROR(VLOOKUP($B30, blitz!$BT:$BU, 2, FALSE), 0)</f>
        <v>9</v>
      </c>
      <c r="BK30" t="b">
        <f t="shared" si="15"/>
        <v>1</v>
      </c>
      <c r="BL30">
        <f>IFERROR(VLOOKUP($B30, aegis!$BY:$BZ, 2, FALSE), 0)</f>
        <v>0</v>
      </c>
      <c r="BM30">
        <f>IFERROR(VLOOKUP($B30, duel!$BY:$BZ, 2, FALSE), 0)</f>
        <v>0</v>
      </c>
      <c r="BN30">
        <f>IFERROR(VLOOKUP($B30, blitz!$BY:$BZ, 2, FALSE), 0)</f>
        <v>0</v>
      </c>
      <c r="BO30" t="b">
        <f t="shared" si="16"/>
        <v>1</v>
      </c>
      <c r="BP30" t="str">
        <f>IFERROR(VLOOKUP($B30, aegis!$CD:$CE, 2, FALSE), 0)</f>
        <v>5</v>
      </c>
      <c r="BQ30" t="str">
        <f>IFERROR(VLOOKUP($B30, duel!$CD:$CE, 2, FALSE), 0)</f>
        <v>5</v>
      </c>
      <c r="BR30" t="str">
        <f>IFERROR(VLOOKUP($B30, blitz!$CD:$CE, 2, FALSE), 0)</f>
        <v>5</v>
      </c>
      <c r="BS30" t="b">
        <f t="shared" si="17"/>
        <v>1</v>
      </c>
      <c r="BT30" t="str">
        <f>IFERROR(VLOOKUP($B30, aegis!$CI:$CJ, 2, FALSE), 0)</f>
        <v>77</v>
      </c>
      <c r="BU30" t="str">
        <f>IFERROR(VLOOKUP($B30, duel!$CI:$CJ, 2, FALSE), 0)</f>
        <v>77</v>
      </c>
      <c r="BV30" t="str">
        <f>IFERROR(VLOOKUP($B30, blitz!$CI:$CJ, 2, FALSE), 0)</f>
        <v>77</v>
      </c>
      <c r="BW30" t="b">
        <f t="shared" si="18"/>
        <v>1</v>
      </c>
      <c r="BX30" t="str">
        <f>IFERROR(VLOOKUP($B30, aegis!$CN:$CO, 2, FALSE), 0)</f>
        <v>77</v>
      </c>
      <c r="BY30" t="str">
        <f>IFERROR(VLOOKUP($B30, duel!$CN:$CO, 2, FALSE), 0)</f>
        <v>77</v>
      </c>
      <c r="BZ30" t="str">
        <f>IFERROR(VLOOKUP($B30, blitz!$CN:$CO, 2, FALSE), 0)</f>
        <v>77</v>
      </c>
      <c r="CA30" t="b">
        <f t="shared" si="19"/>
        <v>1</v>
      </c>
      <c r="CB30" t="str">
        <f>IFERROR(VLOOKUP($B30, aegis!$CS:$CT, 2, FALSE), 0)</f>
        <v>428</v>
      </c>
      <c r="CC30" t="str">
        <f>IFERROR(VLOOKUP($B30, duel!$CS:$CT, 2, FALSE), 0)</f>
        <v>428</v>
      </c>
      <c r="CD30" t="str">
        <f>IFERROR(VLOOKUP($B30, blitz!$CS:$CT, 2, FALSE), 0)</f>
        <v>428</v>
      </c>
      <c r="CE30" t="b">
        <f t="shared" si="20"/>
        <v>1</v>
      </c>
      <c r="CF30" t="str">
        <f>IFERROR(VLOOKUP($B30, aegis!$CX:$CY, 2, FALSE), 0)</f>
        <v>2039</v>
      </c>
      <c r="CG30" t="str">
        <f>IFERROR(VLOOKUP($B30, duel!$CX:$CY, 2, FALSE), 0)</f>
        <v>2039</v>
      </c>
      <c r="CH30" t="str">
        <f>IFERROR(VLOOKUP($B30, blitz!$CX:$CY, 2, FALSE), 0)</f>
        <v>570</v>
      </c>
      <c r="CI30" t="b">
        <f t="shared" si="21"/>
        <v>0</v>
      </c>
      <c r="CJ30" t="str">
        <f>IFERROR(VLOOKUP($B30, aegis!$DC:$DD, 2, FALSE), 0)</f>
        <v>1</v>
      </c>
      <c r="CK30" t="str">
        <f>IFERROR(VLOOKUP($B30, duel!$DC:$DD, 2, FALSE), 0)</f>
        <v>1</v>
      </c>
      <c r="CL30" t="str">
        <f>IFERROR(VLOOKUP($B30, blitz!$DC:$DD, 2, FALSE), 0)</f>
        <v>1</v>
      </c>
      <c r="CM30" t="b">
        <f t="shared" si="22"/>
        <v>1</v>
      </c>
      <c r="CN30" t="str">
        <f>IFERROR(VLOOKUP($B30, aegis!$DH:$DI, 2, FALSE), 0)</f>
        <v>1</v>
      </c>
      <c r="CO30" t="str">
        <f>IFERROR(VLOOKUP($B30, duel!$DH:$DI, 2, FALSE), 0)</f>
        <v>1</v>
      </c>
      <c r="CP30" s="13">
        <f>IFERROR(VLOOKUP($B30, blitz!$DH:$DI, 2, FALSE), 0)</f>
        <v>0</v>
      </c>
      <c r="CQ30" t="b">
        <f t="shared" si="23"/>
        <v>1</v>
      </c>
      <c r="CR30" t="str">
        <f>IFERROR(VLOOKUP($B30, aegis!$DM:$DN, 2, FALSE), 0)</f>
        <v>1</v>
      </c>
      <c r="CS30" t="str">
        <f>IFERROR(VLOOKUP($B30, duel!$DM:$DN, 2, FALSE), 0)</f>
        <v>1</v>
      </c>
      <c r="CT30" t="str">
        <f>IFERROR(VLOOKUP($B30, blitz!$DM:$DN, 2, FALSE), 0)</f>
        <v>1</v>
      </c>
      <c r="CU30" t="b">
        <f t="shared" si="24"/>
        <v>1</v>
      </c>
      <c r="CV30" t="str">
        <f>IFERROR(VLOOKUP($B30, aegis!$DR:$DS, 2, FALSE), 0)</f>
        <v>14</v>
      </c>
      <c r="CW30" t="str">
        <f>IFERROR(VLOOKUP($B30, duel!$DR:$DS, 2, FALSE), 0)</f>
        <v>14</v>
      </c>
      <c r="CX30" t="str">
        <f>IFERROR(VLOOKUP($B30, blitz!$DR:$DS, 2, FALSE), 0)</f>
        <v>14</v>
      </c>
      <c r="CY30" t="b">
        <f t="shared" si="25"/>
        <v>1</v>
      </c>
    </row>
    <row r="31" spans="1:103">
      <c r="B31" s="6" t="s">
        <v>322</v>
      </c>
      <c r="C31" s="5" t="b">
        <f t="shared" si="0"/>
        <v>1</v>
      </c>
      <c r="D31">
        <f>IFERROR(VLOOKUP($B31, aegis!$B:$C, 2, FALSE), 0)</f>
        <v>0</v>
      </c>
      <c r="E31">
        <f>IFERROR(VLOOKUP($B31, duel!$B:$C, 2, FALSE), 0)</f>
        <v>0</v>
      </c>
      <c r="F31">
        <f>IFERROR(VLOOKUP($B31, blitz!$B:$C, 2, FALSE), 0)</f>
        <v>0</v>
      </c>
      <c r="G31" t="b">
        <f t="shared" si="1"/>
        <v>1</v>
      </c>
      <c r="H31">
        <f>IFERROR(VLOOKUP($B31, aegis!$G:$H, 2, FALSE), 0)</f>
        <v>0</v>
      </c>
      <c r="I31">
        <f>IFERROR(VLOOKUP($B31, duel!$G:$H, 2, FALSE), 0)</f>
        <v>0</v>
      </c>
      <c r="J31">
        <f>IFERROR(VLOOKUP($B31, blitz!$G:$H, 2, FALSE), 0)</f>
        <v>0</v>
      </c>
      <c r="K31" t="b">
        <f t="shared" si="2"/>
        <v>1</v>
      </c>
      <c r="L31" t="str">
        <f>IFERROR(VLOOKUP($B31, aegis!$L:$M, 2, FALSE), 0)</f>
        <v>12</v>
      </c>
      <c r="M31" t="str">
        <f>IFERROR(VLOOKUP($B31, duel!$L:$M, 2, FALSE), 0)</f>
        <v>12</v>
      </c>
      <c r="N31" t="str">
        <f>IFERROR(VLOOKUP($B31, blitz!$L:$M, 2, FALSE), 0)</f>
        <v>12</v>
      </c>
      <c r="O31" t="b">
        <f t="shared" si="3"/>
        <v>1</v>
      </c>
      <c r="P31" t="str">
        <f>IFERROR(VLOOKUP($B31, aegis!$Q:$R, 2, FALSE), 0)</f>
        <v>7</v>
      </c>
      <c r="Q31" t="str">
        <f>IFERROR(VLOOKUP($B31, duel!$Q:$R, 2, FALSE), 0)</f>
        <v>7</v>
      </c>
      <c r="R31" t="str">
        <f>IFERROR(VLOOKUP($B31, blitz!$Q:$R, 2, FALSE), 0)</f>
        <v>7</v>
      </c>
      <c r="S31" t="b">
        <f t="shared" si="4"/>
        <v>1</v>
      </c>
      <c r="T31">
        <f>IFERROR(VLOOKUP($B31, aegis!$V:$W, 2, FALSE), 0)</f>
        <v>0</v>
      </c>
      <c r="U31">
        <f>IFERROR(VLOOKUP($B31, duel!$V:$W, 2, FALSE), 0)</f>
        <v>0</v>
      </c>
      <c r="V31">
        <f>IFERROR(VLOOKUP($B31, blitz!$V:$W, 2, FALSE), 0)</f>
        <v>0</v>
      </c>
      <c r="W31" t="b">
        <f t="shared" si="5"/>
        <v>1</v>
      </c>
      <c r="X31" t="str">
        <f>IFERROR(VLOOKUP($B31, aegis!$AA:$AB, 2, FALSE), 0)</f>
        <v>1</v>
      </c>
      <c r="Y31" t="str">
        <f>IFERROR(VLOOKUP($B31, duel!$AA:$AB, 2, FALSE), 0)</f>
        <v>1</v>
      </c>
      <c r="Z31" t="str">
        <f>IFERROR(VLOOKUP($B31, blitz!$AA:$AB, 2, FALSE), 0)</f>
        <v>1</v>
      </c>
      <c r="AA31" t="b">
        <f t="shared" si="6"/>
        <v>1</v>
      </c>
      <c r="AB31">
        <f>IFERROR(VLOOKUP($B31, aegis!$AF:$AG, 2, FALSE), 0)</f>
        <v>0</v>
      </c>
      <c r="AC31">
        <f>IFERROR(VLOOKUP($B31, duel!$AF:$AG, 2, FALSE), 0)</f>
        <v>0</v>
      </c>
      <c r="AD31">
        <f>IFERROR(VLOOKUP($B31, blitz!$AF:$AG, 2, FALSE), 0)</f>
        <v>0</v>
      </c>
      <c r="AE31" t="b">
        <f t="shared" si="7"/>
        <v>1</v>
      </c>
      <c r="AF31">
        <f>IFERROR(VLOOKUP($B31, aegis!$AK:$AL, 2, FALSE), 0)</f>
        <v>0</v>
      </c>
      <c r="AG31">
        <f>IFERROR(VLOOKUP($B31, duel!$AK:$AL, 2, FALSE), 0)</f>
        <v>0</v>
      </c>
      <c r="AH31">
        <f>IFERROR(VLOOKUP($B31, blitz!$AK:$AL, 2, FALSE), 0)</f>
        <v>0</v>
      </c>
      <c r="AI31" t="b">
        <f t="shared" si="8"/>
        <v>1</v>
      </c>
      <c r="AJ31" t="str">
        <f>IFERROR(VLOOKUP($B31, aegis!$AP:$AQ, 2, FALSE), 0)</f>
        <v>1</v>
      </c>
      <c r="AK31" t="str">
        <f>IFERROR(VLOOKUP($B31, duel!$AP:$AQ, 2, FALSE), 0)</f>
        <v>1</v>
      </c>
      <c r="AL31" t="str">
        <f>IFERROR(VLOOKUP($B31, blitz!$AP:$AQ, 2, FALSE), 0)</f>
        <v>1</v>
      </c>
      <c r="AM31" t="b">
        <f t="shared" si="9"/>
        <v>1</v>
      </c>
      <c r="AN31">
        <f>IFERROR(VLOOKUP($B31, aegis!$AU:$AV, 2, FALSE), 0)</f>
        <v>0</v>
      </c>
      <c r="AO31">
        <f>IFERROR(VLOOKUP($B31, duel!$AU:$AV, 2, FALSE), 0)</f>
        <v>0</v>
      </c>
      <c r="AP31">
        <f>IFERROR(VLOOKUP($B31, blitz!$AU:$AV, 2, FALSE), 0)</f>
        <v>0</v>
      </c>
      <c r="AQ31" t="b">
        <f t="shared" si="10"/>
        <v>1</v>
      </c>
      <c r="AR31" t="str">
        <f>IFERROR(VLOOKUP($B31, aegis!$AZ:$BA, 2, FALSE), 0)</f>
        <v>1</v>
      </c>
      <c r="AS31" t="str">
        <f>IFERROR(VLOOKUP($B31, duel!$AZ:$BA, 2, FALSE), 0)</f>
        <v>1</v>
      </c>
      <c r="AT31" t="str">
        <f>IFERROR(VLOOKUP($B31, blitz!$AZ:$BA, 2, FALSE), 0)</f>
        <v>1</v>
      </c>
      <c r="AU31" t="b">
        <f t="shared" si="11"/>
        <v>1</v>
      </c>
      <c r="AV31" t="str">
        <f>IFERROR(VLOOKUP($B31, aegis!$BE:$BF, 2, FALSE), 0)</f>
        <v>1</v>
      </c>
      <c r="AW31" t="str">
        <f>IFERROR(VLOOKUP($B31, duel!$BE:$BF, 2, FALSE), 0)</f>
        <v>1</v>
      </c>
      <c r="AX31" t="str">
        <f>IFERROR(VLOOKUP($B31, blitz!$BE:$BF, 2, FALSE), 0)</f>
        <v>1</v>
      </c>
      <c r="AY31" t="b">
        <f t="shared" si="12"/>
        <v>1</v>
      </c>
      <c r="AZ31">
        <f>IFERROR(VLOOKUP($B31, aegis!$BJ:$BK, 2, FALSE), 0)</f>
        <v>0</v>
      </c>
      <c r="BA31">
        <f>IFERROR(VLOOKUP($B31, duel!$BJ:$BK, 2, FALSE), 0)</f>
        <v>0</v>
      </c>
      <c r="BB31">
        <f>IFERROR(VLOOKUP($B31, blitz!$BJ:$BK, 2, FALSE), 0)</f>
        <v>0</v>
      </c>
      <c r="BC31" t="b">
        <f t="shared" si="13"/>
        <v>1</v>
      </c>
      <c r="BD31">
        <f>IFERROR(VLOOKUP($B31, aegis!$BO:$BP, 2, FALSE), 0)</f>
        <v>0</v>
      </c>
      <c r="BE31">
        <f>IFERROR(VLOOKUP($B31, duel!$BO:$BP, 2, FALSE), 0)</f>
        <v>0</v>
      </c>
      <c r="BF31">
        <f>IFERROR(VLOOKUP($B31, blitz!$BO:$BP, 2, FALSE), 0)</f>
        <v>0</v>
      </c>
      <c r="BG31" t="b">
        <f t="shared" si="14"/>
        <v>1</v>
      </c>
      <c r="BH31">
        <f>IFERROR(VLOOKUP($B31, aegis!$BT:$BU, 2, FALSE), 0)</f>
        <v>0</v>
      </c>
      <c r="BI31">
        <f>IFERROR(VLOOKUP($B31, duel!$BT:$BU, 2, FALSE), 0)</f>
        <v>0</v>
      </c>
      <c r="BJ31">
        <f>IFERROR(VLOOKUP($B31, blitz!$BT:$BU, 2, FALSE), 0)</f>
        <v>0</v>
      </c>
      <c r="BK31" t="b">
        <f t="shared" si="15"/>
        <v>1</v>
      </c>
      <c r="BL31">
        <f>IFERROR(VLOOKUP($B31, aegis!$BY:$BZ, 2, FALSE), 0)</f>
        <v>0</v>
      </c>
      <c r="BM31">
        <f>IFERROR(VLOOKUP($B31, duel!$BY:$BZ, 2, FALSE), 0)</f>
        <v>0</v>
      </c>
      <c r="BN31">
        <f>IFERROR(VLOOKUP($B31, blitz!$BY:$BZ, 2, FALSE), 0)</f>
        <v>0</v>
      </c>
      <c r="BO31" t="b">
        <f t="shared" si="16"/>
        <v>1</v>
      </c>
      <c r="BP31">
        <f>IFERROR(VLOOKUP($B31, aegis!$CD:$CE, 2, FALSE), 0)</f>
        <v>0</v>
      </c>
      <c r="BQ31">
        <f>IFERROR(VLOOKUP($B31, duel!$CD:$CE, 2, FALSE), 0)</f>
        <v>0</v>
      </c>
      <c r="BR31">
        <f>IFERROR(VLOOKUP($B31, blitz!$CD:$CE, 2, FALSE), 0)</f>
        <v>0</v>
      </c>
      <c r="BS31" t="b">
        <f t="shared" si="17"/>
        <v>1</v>
      </c>
      <c r="BT31">
        <f>IFERROR(VLOOKUP($B31, aegis!$CI:$CJ, 2, FALSE), 0)</f>
        <v>0</v>
      </c>
      <c r="BU31">
        <f>IFERROR(VLOOKUP($B31, duel!$CI:$CJ, 2, FALSE), 0)</f>
        <v>0</v>
      </c>
      <c r="BV31">
        <f>IFERROR(VLOOKUP($B31, blitz!$CI:$CJ, 2, FALSE), 0)</f>
        <v>0</v>
      </c>
      <c r="BW31" t="b">
        <f t="shared" si="18"/>
        <v>1</v>
      </c>
      <c r="BX31">
        <f>IFERROR(VLOOKUP($B31, aegis!$CN:$CO, 2, FALSE), 0)</f>
        <v>0</v>
      </c>
      <c r="BY31">
        <f>IFERROR(VLOOKUP($B31, duel!$CN:$CO, 2, FALSE), 0)</f>
        <v>0</v>
      </c>
      <c r="BZ31">
        <f>IFERROR(VLOOKUP($B31, blitz!$CN:$CO, 2, FALSE), 0)</f>
        <v>0</v>
      </c>
      <c r="CA31" t="b">
        <f t="shared" si="19"/>
        <v>1</v>
      </c>
      <c r="CB31">
        <f>IFERROR(VLOOKUP($B31, aegis!$CS:$CT, 2, FALSE), 0)</f>
        <v>0</v>
      </c>
      <c r="CC31">
        <f>IFERROR(VLOOKUP($B31, duel!$CS:$CT, 2, FALSE), 0)</f>
        <v>0</v>
      </c>
      <c r="CD31">
        <f>IFERROR(VLOOKUP($B31, blitz!$CS:$CT, 2, FALSE), 0)</f>
        <v>0</v>
      </c>
      <c r="CE31" t="b">
        <f t="shared" si="20"/>
        <v>1</v>
      </c>
      <c r="CF31">
        <f>IFERROR(VLOOKUP($B31, aegis!$CX:$CY, 2, FALSE), 0)</f>
        <v>0</v>
      </c>
      <c r="CG31">
        <f>IFERROR(VLOOKUP($B31, duel!$CX:$CY, 2, FALSE), 0)</f>
        <v>0</v>
      </c>
      <c r="CH31">
        <f>IFERROR(VLOOKUP($B31, blitz!$CX:$CY, 2, FALSE), 0)</f>
        <v>0</v>
      </c>
      <c r="CI31" t="b">
        <f t="shared" si="21"/>
        <v>1</v>
      </c>
      <c r="CJ31" t="str">
        <f>IFERROR(VLOOKUP($B31, aegis!$DC:$DD, 2, FALSE), 0)</f>
        <v>1</v>
      </c>
      <c r="CK31" t="str">
        <f>IFERROR(VLOOKUP($B31, duel!$DC:$DD, 2, FALSE), 0)</f>
        <v>1</v>
      </c>
      <c r="CL31" t="str">
        <f>IFERROR(VLOOKUP($B31, blitz!$DC:$DD, 2, FALSE), 0)</f>
        <v>1</v>
      </c>
      <c r="CM31" t="b">
        <f t="shared" si="22"/>
        <v>1</v>
      </c>
      <c r="CN31">
        <f>IFERROR(VLOOKUP($B31, aegis!$DH:$DI, 2, FALSE), 0)</f>
        <v>0</v>
      </c>
      <c r="CO31">
        <f>IFERROR(VLOOKUP($B31, duel!$DH:$DI, 2, FALSE), 0)</f>
        <v>0</v>
      </c>
      <c r="CP31" s="13">
        <f>IFERROR(VLOOKUP($B31, blitz!$DH:$DI, 2, FALSE), 0)</f>
        <v>0</v>
      </c>
      <c r="CQ31" t="b">
        <f t="shared" si="23"/>
        <v>1</v>
      </c>
      <c r="CR31">
        <f>IFERROR(VLOOKUP($B31, aegis!$DM:$DN, 2, FALSE), 0)</f>
        <v>0</v>
      </c>
      <c r="CS31">
        <f>IFERROR(VLOOKUP($B31, duel!$DM:$DN, 2, FALSE), 0)</f>
        <v>0</v>
      </c>
      <c r="CT31">
        <f>IFERROR(VLOOKUP($B31, blitz!$DM:$DN, 2, FALSE), 0)</f>
        <v>0</v>
      </c>
      <c r="CU31" t="b">
        <f t="shared" si="24"/>
        <v>1</v>
      </c>
      <c r="CV31">
        <f>IFERROR(VLOOKUP($B31, aegis!$DR:$DS, 2, FALSE), 0)</f>
        <v>0</v>
      </c>
      <c r="CW31">
        <f>IFERROR(VLOOKUP($B31, duel!$DR:$DS, 2, FALSE), 0)</f>
        <v>0</v>
      </c>
      <c r="CX31">
        <f>IFERROR(VLOOKUP($B31, blitz!$DR:$DS, 2, FALSE), 0)</f>
        <v>0</v>
      </c>
      <c r="CY31" t="b">
        <f t="shared" si="25"/>
        <v>1</v>
      </c>
    </row>
    <row r="32" spans="1:103">
      <c r="A32" t="s">
        <v>1733</v>
      </c>
      <c r="B32" s="6" t="s">
        <v>59</v>
      </c>
      <c r="C32" s="5" t="b">
        <f t="shared" si="0"/>
        <v>0</v>
      </c>
      <c r="D32" t="str">
        <f>IFERROR(VLOOKUP($B32, aegis!$B:$C, 2, FALSE), 0)</f>
        <v>60</v>
      </c>
      <c r="E32" t="str">
        <f>IFERROR(VLOOKUP($B32, duel!$B:$C, 2, FALSE), 0)</f>
        <v>60</v>
      </c>
      <c r="F32" t="str">
        <f>IFERROR(VLOOKUP($B32, blitz!$B:$C, 2, FALSE), 0)</f>
        <v>60</v>
      </c>
      <c r="G32" t="b">
        <f t="shared" si="1"/>
        <v>1</v>
      </c>
      <c r="H32" t="str">
        <f>IFERROR(VLOOKUP($B32, aegis!$G:$H, 2, FALSE), 0)</f>
        <v>35</v>
      </c>
      <c r="I32" t="str">
        <f>IFERROR(VLOOKUP($B32, duel!$G:$H, 2, FALSE), 0)</f>
        <v>35</v>
      </c>
      <c r="J32" t="str">
        <f>IFERROR(VLOOKUP($B32, blitz!$G:$H, 2, FALSE), 0)</f>
        <v>35</v>
      </c>
      <c r="K32" t="b">
        <f t="shared" si="2"/>
        <v>1</v>
      </c>
      <c r="L32" t="str">
        <f>IFERROR(VLOOKUP($B32, aegis!$L:$M, 2, FALSE), 0)</f>
        <v>60</v>
      </c>
      <c r="M32" t="str">
        <f>IFERROR(VLOOKUP($B32, duel!$L:$M, 2, FALSE), 0)</f>
        <v>60</v>
      </c>
      <c r="N32" t="str">
        <f>IFERROR(VLOOKUP($B32, blitz!$L:$M, 2, FALSE), 0)</f>
        <v>60</v>
      </c>
      <c r="O32" t="b">
        <f t="shared" si="3"/>
        <v>1</v>
      </c>
      <c r="P32" t="str">
        <f>IFERROR(VLOOKUP($B32, aegis!$Q:$R, 2, FALSE), 0)</f>
        <v>35</v>
      </c>
      <c r="Q32" t="str">
        <f>IFERROR(VLOOKUP($B32, duel!$Q:$R, 2, FALSE), 0)</f>
        <v>35</v>
      </c>
      <c r="R32" t="str">
        <f>IFERROR(VLOOKUP($B32, blitz!$Q:$R, 2, FALSE), 0)</f>
        <v>35</v>
      </c>
      <c r="S32" t="b">
        <f t="shared" si="4"/>
        <v>1</v>
      </c>
      <c r="T32" t="str">
        <f>IFERROR(VLOOKUP($B32, aegis!$V:$W, 2, FALSE), 0)</f>
        <v>205</v>
      </c>
      <c r="U32" t="str">
        <f>IFERROR(VLOOKUP($B32, duel!$V:$W, 2, FALSE), 0)</f>
        <v>205</v>
      </c>
      <c r="V32" t="str">
        <f>IFERROR(VLOOKUP($B32, blitz!$V:$W, 2, FALSE), 0)</f>
        <v>205</v>
      </c>
      <c r="W32" t="b">
        <f t="shared" si="5"/>
        <v>1</v>
      </c>
      <c r="X32" t="str">
        <f>IFERROR(VLOOKUP($B32, aegis!$AA:$AB, 2, FALSE), 0)</f>
        <v>2</v>
      </c>
      <c r="Y32" t="str">
        <f>IFERROR(VLOOKUP($B32, duel!$AA:$AB, 2, FALSE), 0)</f>
        <v>4</v>
      </c>
      <c r="Z32" t="str">
        <f>IFERROR(VLOOKUP($B32, blitz!$AA:$AB, 2, FALSE), 0)</f>
        <v>2</v>
      </c>
      <c r="AA32" t="b">
        <f t="shared" si="6"/>
        <v>0</v>
      </c>
      <c r="AB32" t="str">
        <f>IFERROR(VLOOKUP($B32, aegis!$AF:$AG, 2, FALSE), 0)</f>
        <v>66</v>
      </c>
      <c r="AC32" t="str">
        <f>IFERROR(VLOOKUP($B32, duel!$AF:$AG, 2, FALSE), 0)</f>
        <v>66</v>
      </c>
      <c r="AD32" t="str">
        <f>IFERROR(VLOOKUP($B32, blitz!$AF:$AG, 2, FALSE), 0)</f>
        <v>66</v>
      </c>
      <c r="AE32" t="b">
        <f t="shared" si="7"/>
        <v>1</v>
      </c>
      <c r="AF32" t="str">
        <f>IFERROR(VLOOKUP($B32, aegis!$AK:$AL, 2, FALSE), 0)</f>
        <v>3</v>
      </c>
      <c r="AG32" t="str">
        <f>IFERROR(VLOOKUP($B32, duel!$AK:$AL, 2, FALSE), 0)</f>
        <v>1</v>
      </c>
      <c r="AH32" t="str">
        <f>IFERROR(VLOOKUP($B32, blitz!$AK:$AL, 2, FALSE), 0)</f>
        <v>1</v>
      </c>
      <c r="AI32" t="b">
        <f t="shared" si="8"/>
        <v>0</v>
      </c>
      <c r="AJ32" t="str">
        <f>IFERROR(VLOOKUP($B32, aegis!$AP:$AQ, 2, FALSE), 0)</f>
        <v>2</v>
      </c>
      <c r="AK32" t="str">
        <f>IFERROR(VLOOKUP($B32, duel!$AP:$AQ, 2, FALSE), 0)</f>
        <v>2</v>
      </c>
      <c r="AL32" t="str">
        <f>IFERROR(VLOOKUP($B32, blitz!$AP:$AQ, 2, FALSE), 0)</f>
        <v>2</v>
      </c>
      <c r="AM32" t="b">
        <f t="shared" si="9"/>
        <v>1</v>
      </c>
      <c r="AN32">
        <f>IFERROR(VLOOKUP($B32, aegis!$AU:$AV, 2, FALSE), 0)</f>
        <v>0</v>
      </c>
      <c r="AO32">
        <f>IFERROR(VLOOKUP($B32, duel!$AU:$AV, 2, FALSE), 0)</f>
        <v>0</v>
      </c>
      <c r="AP32">
        <f>IFERROR(VLOOKUP($B32, blitz!$AU:$AV, 2, FALSE), 0)</f>
        <v>0</v>
      </c>
      <c r="AQ32" t="b">
        <f t="shared" si="10"/>
        <v>1</v>
      </c>
      <c r="AR32" t="str">
        <f>IFERROR(VLOOKUP($B32, aegis!$AZ:$BA, 2, FALSE), 0)</f>
        <v>2</v>
      </c>
      <c r="AS32" t="str">
        <f>IFERROR(VLOOKUP($B32, duel!$AZ:$BA, 2, FALSE), 0)</f>
        <v>2</v>
      </c>
      <c r="AT32" t="str">
        <f>IFERROR(VLOOKUP($B32, blitz!$AZ:$BA, 2, FALSE), 0)</f>
        <v>2</v>
      </c>
      <c r="AU32" t="b">
        <f t="shared" si="11"/>
        <v>1</v>
      </c>
      <c r="AV32" t="str">
        <f>IFERROR(VLOOKUP($B32, aegis!$BE:$BF, 2, FALSE), 0)</f>
        <v>2</v>
      </c>
      <c r="AW32" t="str">
        <f>IFERROR(VLOOKUP($B32, duel!$BE:$BF, 2, FALSE), 0)</f>
        <v>2</v>
      </c>
      <c r="AX32" t="str">
        <f>IFERROR(VLOOKUP($B32, blitz!$BE:$BF, 2, FALSE), 0)</f>
        <v>2</v>
      </c>
      <c r="AY32" t="b">
        <f t="shared" si="12"/>
        <v>1</v>
      </c>
      <c r="AZ32" t="str">
        <f>IFERROR(VLOOKUP($B32, aegis!$BJ:$BK, 2, FALSE), 0)</f>
        <v>1</v>
      </c>
      <c r="BA32" t="str">
        <f>IFERROR(VLOOKUP($B32, duel!$BJ:$BK, 2, FALSE), 0)</f>
        <v>1</v>
      </c>
      <c r="BB32" t="str">
        <f>IFERROR(VLOOKUP($B32, blitz!$BJ:$BK, 2, FALSE), 0)</f>
        <v>1</v>
      </c>
      <c r="BC32" t="b">
        <f t="shared" si="13"/>
        <v>1</v>
      </c>
      <c r="BD32">
        <f>IFERROR(VLOOKUP($B32, aegis!$BO:$BP, 2, FALSE), 0)</f>
        <v>0</v>
      </c>
      <c r="BE32">
        <f>IFERROR(VLOOKUP($B32, duel!$BO:$BP, 2, FALSE), 0)</f>
        <v>0</v>
      </c>
      <c r="BF32">
        <f>IFERROR(VLOOKUP($B32, blitz!$BO:$BP, 2, FALSE), 0)</f>
        <v>0</v>
      </c>
      <c r="BG32" t="b">
        <f t="shared" si="14"/>
        <v>1</v>
      </c>
      <c r="BH32" t="str">
        <f>IFERROR(VLOOKUP($B32, aegis!$BT:$BU, 2, FALSE), 0)</f>
        <v>19</v>
      </c>
      <c r="BI32" t="str">
        <f>IFERROR(VLOOKUP($B32, duel!$BT:$BU, 2, FALSE), 0)</f>
        <v>19</v>
      </c>
      <c r="BJ32" t="str">
        <f>IFERROR(VLOOKUP($B32, blitz!$BT:$BU, 2, FALSE), 0)</f>
        <v>19</v>
      </c>
      <c r="BK32" t="b">
        <f t="shared" si="15"/>
        <v>1</v>
      </c>
      <c r="BL32" t="str">
        <f>IFERROR(VLOOKUP($B32, aegis!$BY:$BZ, 2, FALSE), 0)</f>
        <v>1</v>
      </c>
      <c r="BM32" t="str">
        <f>IFERROR(VLOOKUP($B32, duel!$BY:$BZ, 2, FALSE), 0)</f>
        <v>1</v>
      </c>
      <c r="BN32" t="str">
        <f>IFERROR(VLOOKUP($B32, blitz!$BY:$BZ, 2, FALSE), 0)</f>
        <v>1</v>
      </c>
      <c r="BO32" t="b">
        <f t="shared" si="16"/>
        <v>1</v>
      </c>
      <c r="BP32" t="str">
        <f>IFERROR(VLOOKUP($B32, aegis!$CD:$CE, 2, FALSE), 0)</f>
        <v>7</v>
      </c>
      <c r="BQ32" t="str">
        <f>IFERROR(VLOOKUP($B32, duel!$CD:$CE, 2, FALSE), 0)</f>
        <v>7</v>
      </c>
      <c r="BR32" t="str">
        <f>IFERROR(VLOOKUP($B32, blitz!$CD:$CE, 2, FALSE), 0)</f>
        <v>7</v>
      </c>
      <c r="BS32" t="b">
        <f t="shared" si="17"/>
        <v>1</v>
      </c>
      <c r="BT32">
        <f>IFERROR(VLOOKUP($B32, aegis!$CI:$CJ, 2, FALSE), 0)</f>
        <v>0</v>
      </c>
      <c r="BU32">
        <f>IFERROR(VLOOKUP($B32, duel!$CI:$CJ, 2, FALSE), 0)</f>
        <v>0</v>
      </c>
      <c r="BV32">
        <f>IFERROR(VLOOKUP($B32, blitz!$CI:$CJ, 2, FALSE), 0)</f>
        <v>0</v>
      </c>
      <c r="BW32" t="b">
        <f t="shared" si="18"/>
        <v>1</v>
      </c>
      <c r="BX32">
        <f>IFERROR(VLOOKUP($B32, aegis!$CN:$CO, 2, FALSE), 0)</f>
        <v>0</v>
      </c>
      <c r="BY32">
        <f>IFERROR(VLOOKUP($B32, duel!$CN:$CO, 2, FALSE), 0)</f>
        <v>0</v>
      </c>
      <c r="BZ32">
        <f>IFERROR(VLOOKUP($B32, blitz!$CN:$CO, 2, FALSE), 0)</f>
        <v>0</v>
      </c>
      <c r="CA32" t="b">
        <f t="shared" si="19"/>
        <v>1</v>
      </c>
      <c r="CB32">
        <f>IFERROR(VLOOKUP($B32, aegis!$CS:$CT, 2, FALSE), 0)</f>
        <v>0</v>
      </c>
      <c r="CC32">
        <f>IFERROR(VLOOKUP($B32, duel!$CS:$CT, 2, FALSE), 0)</f>
        <v>0</v>
      </c>
      <c r="CD32">
        <f>IFERROR(VLOOKUP($B32, blitz!$CS:$CT, 2, FALSE), 0)</f>
        <v>0</v>
      </c>
      <c r="CE32" t="b">
        <f t="shared" si="20"/>
        <v>1</v>
      </c>
      <c r="CF32" t="str">
        <f>IFERROR(VLOOKUP($B32, aegis!$CX:$CY, 2, FALSE), 0)</f>
        <v>13812</v>
      </c>
      <c r="CG32" t="str">
        <f>IFERROR(VLOOKUP($B32, duel!$CX:$CY, 2, FALSE), 0)</f>
        <v>13789</v>
      </c>
      <c r="CH32" t="str">
        <f>IFERROR(VLOOKUP($B32, blitz!$CX:$CY, 2, FALSE), 0)</f>
        <v>2939</v>
      </c>
      <c r="CI32" t="b">
        <f t="shared" si="21"/>
        <v>0</v>
      </c>
      <c r="CJ32" t="str">
        <f>IFERROR(VLOOKUP($B32, aegis!$DC:$DD, 2, FALSE), 0)</f>
        <v>1</v>
      </c>
      <c r="CK32" t="str">
        <f>IFERROR(VLOOKUP($B32, duel!$DC:$DD, 2, FALSE), 0)</f>
        <v>1</v>
      </c>
      <c r="CL32" t="str">
        <f>IFERROR(VLOOKUP($B32, blitz!$DC:$DD, 2, FALSE), 0)</f>
        <v>1</v>
      </c>
      <c r="CM32" t="b">
        <f t="shared" si="22"/>
        <v>1</v>
      </c>
      <c r="CN32" t="str">
        <f>IFERROR(VLOOKUP($B32, aegis!$DH:$DI, 2, FALSE), 0)</f>
        <v>4</v>
      </c>
      <c r="CO32" t="str">
        <f>IFERROR(VLOOKUP($B32, duel!$DH:$DI, 2, FALSE), 0)</f>
        <v>4</v>
      </c>
      <c r="CP32" s="13">
        <f>IFERROR(VLOOKUP($B32, blitz!$DH:$DI, 2, FALSE), 0)</f>
        <v>0</v>
      </c>
      <c r="CQ32" t="b">
        <f t="shared" si="23"/>
        <v>1</v>
      </c>
      <c r="CR32" t="str">
        <f>IFERROR(VLOOKUP($B32, aegis!$DM:$DN, 2, FALSE), 0)</f>
        <v>1</v>
      </c>
      <c r="CS32" t="str">
        <f>IFERROR(VLOOKUP($B32, duel!$DM:$DN, 2, FALSE), 0)</f>
        <v>1</v>
      </c>
      <c r="CT32" t="str">
        <f>IFERROR(VLOOKUP($B32, blitz!$DM:$DN, 2, FALSE), 0)</f>
        <v>1</v>
      </c>
      <c r="CU32" t="b">
        <f t="shared" si="24"/>
        <v>1</v>
      </c>
      <c r="CV32" t="str">
        <f>IFERROR(VLOOKUP($B32, aegis!$DR:$DS, 2, FALSE), 0)</f>
        <v>65</v>
      </c>
      <c r="CW32" t="str">
        <f>IFERROR(VLOOKUP($B32, duel!$DR:$DS, 2, FALSE), 0)</f>
        <v>65</v>
      </c>
      <c r="CX32" t="str">
        <f>IFERROR(VLOOKUP($B32, blitz!$DR:$DS, 2, FALSE), 0)</f>
        <v>65</v>
      </c>
      <c r="CY32" t="b">
        <f t="shared" si="25"/>
        <v>1</v>
      </c>
    </row>
    <row r="33" spans="1:103">
      <c r="A33" t="s">
        <v>1733</v>
      </c>
      <c r="B33" s="6" t="s">
        <v>61</v>
      </c>
      <c r="C33" s="5" t="b">
        <f t="shared" si="0"/>
        <v>0</v>
      </c>
      <c r="D33" t="str">
        <f>IFERROR(VLOOKUP($B33, aegis!$B:$C, 2, FALSE), 0)</f>
        <v>228</v>
      </c>
      <c r="E33" t="str">
        <f>IFERROR(VLOOKUP($B33, duel!$B:$C, 2, FALSE), 0)</f>
        <v>228</v>
      </c>
      <c r="F33" t="str">
        <f>IFERROR(VLOOKUP($B33, blitz!$B:$C, 2, FALSE), 0)</f>
        <v>228</v>
      </c>
      <c r="G33" t="b">
        <f t="shared" si="1"/>
        <v>1</v>
      </c>
      <c r="H33" t="str">
        <f>IFERROR(VLOOKUP($B33, aegis!$G:$H, 2, FALSE), 0)</f>
        <v>133</v>
      </c>
      <c r="I33" t="str">
        <f>IFERROR(VLOOKUP($B33, duel!$G:$H, 2, FALSE), 0)</f>
        <v>133</v>
      </c>
      <c r="J33" t="str">
        <f>IFERROR(VLOOKUP($B33, blitz!$G:$H, 2, FALSE), 0)</f>
        <v>133</v>
      </c>
      <c r="K33" t="b">
        <f t="shared" si="2"/>
        <v>1</v>
      </c>
      <c r="L33" t="str">
        <f>IFERROR(VLOOKUP($B33, aegis!$L:$M, 2, FALSE), 0)</f>
        <v>240</v>
      </c>
      <c r="M33" t="str">
        <f>IFERROR(VLOOKUP($B33, duel!$L:$M, 2, FALSE), 0)</f>
        <v>240</v>
      </c>
      <c r="N33" t="str">
        <f>IFERROR(VLOOKUP($B33, blitz!$L:$M, 2, FALSE), 0)</f>
        <v>240</v>
      </c>
      <c r="O33" t="b">
        <f t="shared" si="3"/>
        <v>1</v>
      </c>
      <c r="P33" t="str">
        <f>IFERROR(VLOOKUP($B33, aegis!$Q:$R, 2, FALSE), 0)</f>
        <v>140</v>
      </c>
      <c r="Q33" t="str">
        <f>IFERROR(VLOOKUP($B33, duel!$Q:$R, 2, FALSE), 0)</f>
        <v>140</v>
      </c>
      <c r="R33" t="str">
        <f>IFERROR(VLOOKUP($B33, blitz!$Q:$R, 2, FALSE), 0)</f>
        <v>140</v>
      </c>
      <c r="S33" t="b">
        <f t="shared" si="4"/>
        <v>1</v>
      </c>
      <c r="T33" t="str">
        <f>IFERROR(VLOOKUP($B33, aegis!$V:$W, 2, FALSE), 0)</f>
        <v>3909</v>
      </c>
      <c r="U33" t="str">
        <f>IFERROR(VLOOKUP($B33, duel!$V:$W, 2, FALSE), 0)</f>
        <v>3909</v>
      </c>
      <c r="V33" t="str">
        <f>IFERROR(VLOOKUP($B33, blitz!$V:$W, 2, FALSE), 0)</f>
        <v>3909</v>
      </c>
      <c r="W33" t="b">
        <f t="shared" si="5"/>
        <v>1</v>
      </c>
      <c r="X33" t="str">
        <f>IFERROR(VLOOKUP($B33, aegis!$AA:$AB, 2, FALSE), 0)</f>
        <v>5</v>
      </c>
      <c r="Y33" t="str">
        <f>IFERROR(VLOOKUP($B33, duel!$AA:$AB, 2, FALSE), 0)</f>
        <v>10</v>
      </c>
      <c r="Z33" t="str">
        <f>IFERROR(VLOOKUP($B33, blitz!$AA:$AB, 2, FALSE), 0)</f>
        <v>5</v>
      </c>
      <c r="AA33" t="b">
        <f t="shared" si="6"/>
        <v>0</v>
      </c>
      <c r="AB33" t="str">
        <f>IFERROR(VLOOKUP($B33, aegis!$AF:$AG, 2, FALSE), 0)</f>
        <v>924</v>
      </c>
      <c r="AC33" t="str">
        <f>IFERROR(VLOOKUP($B33, duel!$AF:$AG, 2, FALSE), 0)</f>
        <v>924</v>
      </c>
      <c r="AD33" t="str">
        <f>IFERROR(VLOOKUP($B33, blitz!$AF:$AG, 2, FALSE), 0)</f>
        <v>924</v>
      </c>
      <c r="AE33" t="b">
        <f t="shared" si="7"/>
        <v>1</v>
      </c>
      <c r="AF33" t="str">
        <f>IFERROR(VLOOKUP($B33, aegis!$AK:$AL, 2, FALSE), 0)</f>
        <v>6</v>
      </c>
      <c r="AG33" t="str">
        <f>IFERROR(VLOOKUP($B33, duel!$AK:$AL, 2, FALSE), 0)</f>
        <v>1</v>
      </c>
      <c r="AH33" t="str">
        <f>IFERROR(VLOOKUP($B33, blitz!$AK:$AL, 2, FALSE), 0)</f>
        <v>1</v>
      </c>
      <c r="AI33" t="b">
        <f t="shared" si="8"/>
        <v>0</v>
      </c>
      <c r="AJ33" t="str">
        <f>IFERROR(VLOOKUP($B33, aegis!$AP:$AQ, 2, FALSE), 0)</f>
        <v>5</v>
      </c>
      <c r="AK33" t="str">
        <f>IFERROR(VLOOKUP($B33, duel!$AP:$AQ, 2, FALSE), 0)</f>
        <v>5</v>
      </c>
      <c r="AL33" t="str">
        <f>IFERROR(VLOOKUP($B33, blitz!$AP:$AQ, 2, FALSE), 0)</f>
        <v>5</v>
      </c>
      <c r="AM33" t="b">
        <f t="shared" si="9"/>
        <v>1</v>
      </c>
      <c r="AN33">
        <f>IFERROR(VLOOKUP($B33, aegis!$AU:$AV, 2, FALSE), 0)</f>
        <v>0</v>
      </c>
      <c r="AO33">
        <f>IFERROR(VLOOKUP($B33, duel!$AU:$AV, 2, FALSE), 0)</f>
        <v>0</v>
      </c>
      <c r="AP33">
        <f>IFERROR(VLOOKUP($B33, blitz!$AU:$AV, 2, FALSE), 0)</f>
        <v>0</v>
      </c>
      <c r="AQ33" t="b">
        <f t="shared" si="10"/>
        <v>1</v>
      </c>
      <c r="AR33" t="str">
        <f>IFERROR(VLOOKUP($B33, aegis!$AZ:$BA, 2, FALSE), 0)</f>
        <v>5</v>
      </c>
      <c r="AS33" t="str">
        <f>IFERROR(VLOOKUP($B33, duel!$AZ:$BA, 2, FALSE), 0)</f>
        <v>5</v>
      </c>
      <c r="AT33" t="str">
        <f>IFERROR(VLOOKUP($B33, blitz!$AZ:$BA, 2, FALSE), 0)</f>
        <v>5</v>
      </c>
      <c r="AU33" t="b">
        <f t="shared" si="11"/>
        <v>1</v>
      </c>
      <c r="AV33" t="str">
        <f>IFERROR(VLOOKUP($B33, aegis!$BE:$BF, 2, FALSE), 0)</f>
        <v>5</v>
      </c>
      <c r="AW33" t="str">
        <f>IFERROR(VLOOKUP($B33, duel!$BE:$BF, 2, FALSE), 0)</f>
        <v>5</v>
      </c>
      <c r="AX33" t="str">
        <f>IFERROR(VLOOKUP($B33, blitz!$BE:$BF, 2, FALSE), 0)</f>
        <v>5</v>
      </c>
      <c r="AY33" t="b">
        <f t="shared" si="12"/>
        <v>1</v>
      </c>
      <c r="AZ33" t="str">
        <f>IFERROR(VLOOKUP($B33, aegis!$BJ:$BK, 2, FALSE), 0)</f>
        <v>1</v>
      </c>
      <c r="BA33" t="str">
        <f>IFERROR(VLOOKUP($B33, duel!$BJ:$BK, 2, FALSE), 0)</f>
        <v>1</v>
      </c>
      <c r="BB33" t="str">
        <f>IFERROR(VLOOKUP($B33, blitz!$BJ:$BK, 2, FALSE), 0)</f>
        <v>1</v>
      </c>
      <c r="BC33" t="b">
        <f t="shared" si="13"/>
        <v>1</v>
      </c>
      <c r="BD33">
        <f>IFERROR(VLOOKUP($B33, aegis!$BO:$BP, 2, FALSE), 0)</f>
        <v>0</v>
      </c>
      <c r="BE33">
        <f>IFERROR(VLOOKUP($B33, duel!$BO:$BP, 2, FALSE), 0)</f>
        <v>0</v>
      </c>
      <c r="BF33">
        <f>IFERROR(VLOOKUP($B33, blitz!$BO:$BP, 2, FALSE), 0)</f>
        <v>0</v>
      </c>
      <c r="BG33" t="b">
        <f t="shared" si="14"/>
        <v>1</v>
      </c>
      <c r="BH33" t="str">
        <f>IFERROR(VLOOKUP($B33, aegis!$BT:$BU, 2, FALSE), 0)</f>
        <v>277</v>
      </c>
      <c r="BI33" t="str">
        <f>IFERROR(VLOOKUP($B33, duel!$BT:$BU, 2, FALSE), 0)</f>
        <v>277</v>
      </c>
      <c r="BJ33" t="str">
        <f>IFERROR(VLOOKUP($B33, blitz!$BT:$BU, 2, FALSE), 0)</f>
        <v>277</v>
      </c>
      <c r="BK33" t="b">
        <f t="shared" si="15"/>
        <v>1</v>
      </c>
      <c r="BL33" t="str">
        <f>IFERROR(VLOOKUP($B33, aegis!$BY:$BZ, 2, FALSE), 0)</f>
        <v>3</v>
      </c>
      <c r="BM33" t="str">
        <f>IFERROR(VLOOKUP($B33, duel!$BY:$BZ, 2, FALSE), 0)</f>
        <v>3</v>
      </c>
      <c r="BN33" t="str">
        <f>IFERROR(VLOOKUP($B33, blitz!$BY:$BZ, 2, FALSE), 0)</f>
        <v>3</v>
      </c>
      <c r="BO33" t="b">
        <f t="shared" si="16"/>
        <v>1</v>
      </c>
      <c r="BP33" t="str">
        <f>IFERROR(VLOOKUP($B33, aegis!$CD:$CE, 2, FALSE), 0)</f>
        <v>17</v>
      </c>
      <c r="BQ33" t="str">
        <f>IFERROR(VLOOKUP($B33, duel!$CD:$CE, 2, FALSE), 0)</f>
        <v>17</v>
      </c>
      <c r="BR33" t="str">
        <f>IFERROR(VLOOKUP($B33, blitz!$CD:$CE, 2, FALSE), 0)</f>
        <v>17</v>
      </c>
      <c r="BS33" t="b">
        <f t="shared" si="17"/>
        <v>1</v>
      </c>
      <c r="BT33" t="str">
        <f>IFERROR(VLOOKUP($B33, aegis!$CI:$CJ, 2, FALSE), 0)</f>
        <v>4</v>
      </c>
      <c r="BU33" t="str">
        <f>IFERROR(VLOOKUP($B33, duel!$CI:$CJ, 2, FALSE), 0)</f>
        <v>4</v>
      </c>
      <c r="BV33" t="str">
        <f>IFERROR(VLOOKUP($B33, blitz!$CI:$CJ, 2, FALSE), 0)</f>
        <v>4</v>
      </c>
      <c r="BW33" t="b">
        <f t="shared" si="18"/>
        <v>1</v>
      </c>
      <c r="BX33" t="str">
        <f>IFERROR(VLOOKUP($B33, aegis!$CN:$CO, 2, FALSE), 0)</f>
        <v>4</v>
      </c>
      <c r="BY33" t="str">
        <f>IFERROR(VLOOKUP($B33, duel!$CN:$CO, 2, FALSE), 0)</f>
        <v>4</v>
      </c>
      <c r="BZ33" t="str">
        <f>IFERROR(VLOOKUP($B33, blitz!$CN:$CO, 2, FALSE), 0)</f>
        <v>4</v>
      </c>
      <c r="CA33" t="b">
        <f t="shared" si="19"/>
        <v>1</v>
      </c>
      <c r="CB33" t="str">
        <f>IFERROR(VLOOKUP($B33, aegis!$CS:$CT, 2, FALSE), 0)</f>
        <v>22</v>
      </c>
      <c r="CC33" t="str">
        <f>IFERROR(VLOOKUP($B33, duel!$CS:$CT, 2, FALSE), 0)</f>
        <v>22</v>
      </c>
      <c r="CD33" t="str">
        <f>IFERROR(VLOOKUP($B33, blitz!$CS:$CT, 2, FALSE), 0)</f>
        <v>22</v>
      </c>
      <c r="CE33" t="b">
        <f t="shared" si="20"/>
        <v>1</v>
      </c>
      <c r="CF33" t="str">
        <f>IFERROR(VLOOKUP($B33, aegis!$CX:$CY, 2, FALSE), 0)</f>
        <v>147632</v>
      </c>
      <c r="CG33" t="str">
        <f>IFERROR(VLOOKUP($B33, duel!$CX:$CY, 2, FALSE), 0)</f>
        <v>147606</v>
      </c>
      <c r="CH33" t="str">
        <f>IFERROR(VLOOKUP($B33, blitz!$CX:$CY, 2, FALSE), 0)</f>
        <v>28523</v>
      </c>
      <c r="CI33" t="b">
        <f t="shared" si="21"/>
        <v>0</v>
      </c>
      <c r="CJ33" t="str">
        <f>IFERROR(VLOOKUP($B33, aegis!$DC:$DD, 2, FALSE), 0)</f>
        <v>1</v>
      </c>
      <c r="CK33" t="str">
        <f>IFERROR(VLOOKUP($B33, duel!$DC:$DD, 2, FALSE), 0)</f>
        <v>1</v>
      </c>
      <c r="CL33" t="str">
        <f>IFERROR(VLOOKUP($B33, blitz!$DC:$DD, 2, FALSE), 0)</f>
        <v>1</v>
      </c>
      <c r="CM33" t="b">
        <f t="shared" si="22"/>
        <v>1</v>
      </c>
      <c r="CN33" t="str">
        <f>IFERROR(VLOOKUP($B33, aegis!$DH:$DI, 2, FALSE), 0)</f>
        <v>8</v>
      </c>
      <c r="CO33" t="str">
        <f>IFERROR(VLOOKUP($B33, duel!$DH:$DI, 2, FALSE), 0)</f>
        <v>8</v>
      </c>
      <c r="CP33" s="13">
        <f>IFERROR(VLOOKUP($B33, blitz!$DH:$DI, 2, FALSE), 0)</f>
        <v>0</v>
      </c>
      <c r="CQ33" t="b">
        <f t="shared" si="23"/>
        <v>1</v>
      </c>
      <c r="CR33" t="str">
        <f>IFERROR(VLOOKUP($B33, aegis!$DM:$DN, 2, FALSE), 0)</f>
        <v>4</v>
      </c>
      <c r="CS33" t="str">
        <f>IFERROR(VLOOKUP($B33, duel!$DM:$DN, 2, FALSE), 0)</f>
        <v>4</v>
      </c>
      <c r="CT33" t="str">
        <f>IFERROR(VLOOKUP($B33, blitz!$DM:$DN, 2, FALSE), 0)</f>
        <v>4</v>
      </c>
      <c r="CU33" t="b">
        <f t="shared" si="24"/>
        <v>1</v>
      </c>
      <c r="CV33" t="str">
        <f>IFERROR(VLOOKUP($B33, aegis!$DR:$DS, 2, FALSE), 0)</f>
        <v>924</v>
      </c>
      <c r="CW33" t="str">
        <f>IFERROR(VLOOKUP($B33, duel!$DR:$DS, 2, FALSE), 0)</f>
        <v>924</v>
      </c>
      <c r="CX33" t="str">
        <f>IFERROR(VLOOKUP($B33, blitz!$DR:$DS, 2, FALSE), 0)</f>
        <v>924</v>
      </c>
      <c r="CY33" t="b">
        <f t="shared" si="25"/>
        <v>1</v>
      </c>
    </row>
    <row r="34" spans="1:103">
      <c r="A34" t="s">
        <v>1733</v>
      </c>
      <c r="B34" s="6" t="s">
        <v>64</v>
      </c>
      <c r="C34" s="5" t="b">
        <f t="shared" si="0"/>
        <v>0</v>
      </c>
      <c r="D34" t="str">
        <f>IFERROR(VLOOKUP($B34, aegis!$B:$C, 2, FALSE), 0)</f>
        <v>48</v>
      </c>
      <c r="E34" t="str">
        <f>IFERROR(VLOOKUP($B34, duel!$B:$C, 2, FALSE), 0)</f>
        <v>48</v>
      </c>
      <c r="F34" t="str">
        <f>IFERROR(VLOOKUP($B34, blitz!$B:$C, 2, FALSE), 0)</f>
        <v>48</v>
      </c>
      <c r="G34" t="b">
        <f t="shared" si="1"/>
        <v>1</v>
      </c>
      <c r="H34" t="str">
        <f>IFERROR(VLOOKUP($B34, aegis!$G:$H, 2, FALSE), 0)</f>
        <v>28</v>
      </c>
      <c r="I34" t="str">
        <f>IFERROR(VLOOKUP($B34, duel!$G:$H, 2, FALSE), 0)</f>
        <v>28</v>
      </c>
      <c r="J34" t="str">
        <f>IFERROR(VLOOKUP($B34, blitz!$G:$H, 2, FALSE), 0)</f>
        <v>28</v>
      </c>
      <c r="K34" t="b">
        <f t="shared" si="2"/>
        <v>1</v>
      </c>
      <c r="L34" t="str">
        <f>IFERROR(VLOOKUP($B34, aegis!$L:$M, 2, FALSE), 0)</f>
        <v>60</v>
      </c>
      <c r="M34" t="str">
        <f>IFERROR(VLOOKUP($B34, duel!$L:$M, 2, FALSE), 0)</f>
        <v>60</v>
      </c>
      <c r="N34" t="str">
        <f>IFERROR(VLOOKUP($B34, blitz!$L:$M, 2, FALSE), 0)</f>
        <v>60</v>
      </c>
      <c r="O34" t="b">
        <f t="shared" si="3"/>
        <v>1</v>
      </c>
      <c r="P34" t="str">
        <f>IFERROR(VLOOKUP($B34, aegis!$Q:$R, 2, FALSE), 0)</f>
        <v>35</v>
      </c>
      <c r="Q34" t="str">
        <f>IFERROR(VLOOKUP($B34, duel!$Q:$R, 2, FALSE), 0)</f>
        <v>35</v>
      </c>
      <c r="R34" t="str">
        <f>IFERROR(VLOOKUP($B34, blitz!$Q:$R, 2, FALSE), 0)</f>
        <v>35</v>
      </c>
      <c r="S34" t="b">
        <f t="shared" si="4"/>
        <v>1</v>
      </c>
      <c r="T34" t="str">
        <f>IFERROR(VLOOKUP($B34, aegis!$V:$W, 2, FALSE), 0)</f>
        <v>279</v>
      </c>
      <c r="U34" t="str">
        <f>IFERROR(VLOOKUP($B34, duel!$V:$W, 2, FALSE), 0)</f>
        <v>279</v>
      </c>
      <c r="V34" t="str">
        <f>IFERROR(VLOOKUP($B34, blitz!$V:$W, 2, FALSE), 0)</f>
        <v>279</v>
      </c>
      <c r="W34" t="b">
        <f t="shared" si="5"/>
        <v>1</v>
      </c>
      <c r="X34" t="str">
        <f>IFERROR(VLOOKUP($B34, aegis!$AA:$AB, 2, FALSE), 0)</f>
        <v>2</v>
      </c>
      <c r="Y34" t="str">
        <f>IFERROR(VLOOKUP($B34, duel!$AA:$AB, 2, FALSE), 0)</f>
        <v>4</v>
      </c>
      <c r="Z34" t="str">
        <f>IFERROR(VLOOKUP($B34, blitz!$AA:$AB, 2, FALSE), 0)</f>
        <v>2</v>
      </c>
      <c r="AA34" t="b">
        <f t="shared" si="6"/>
        <v>0</v>
      </c>
      <c r="AB34" t="str">
        <f>IFERROR(VLOOKUP($B34, aegis!$AF:$AG, 2, FALSE), 0)</f>
        <v>96</v>
      </c>
      <c r="AC34" t="str">
        <f>IFERROR(VLOOKUP($B34, duel!$AF:$AG, 2, FALSE), 0)</f>
        <v>96</v>
      </c>
      <c r="AD34" t="str">
        <f>IFERROR(VLOOKUP($B34, blitz!$AF:$AG, 2, FALSE), 0)</f>
        <v>96</v>
      </c>
      <c r="AE34" t="b">
        <f t="shared" si="7"/>
        <v>1</v>
      </c>
      <c r="AF34" t="str">
        <f>IFERROR(VLOOKUP($B34, aegis!$AK:$AL, 2, FALSE), 0)</f>
        <v>3</v>
      </c>
      <c r="AG34" t="str">
        <f>IFERROR(VLOOKUP($B34, duel!$AK:$AL, 2, FALSE), 0)</f>
        <v>1</v>
      </c>
      <c r="AH34" t="str">
        <f>IFERROR(VLOOKUP($B34, blitz!$AK:$AL, 2, FALSE), 0)</f>
        <v>1</v>
      </c>
      <c r="AI34" t="b">
        <f t="shared" si="8"/>
        <v>0</v>
      </c>
      <c r="AJ34" t="str">
        <f>IFERROR(VLOOKUP($B34, aegis!$AP:$AQ, 2, FALSE), 0)</f>
        <v>2</v>
      </c>
      <c r="AK34" t="str">
        <f>IFERROR(VLOOKUP($B34, duel!$AP:$AQ, 2, FALSE), 0)</f>
        <v>2</v>
      </c>
      <c r="AL34" t="str">
        <f>IFERROR(VLOOKUP($B34, blitz!$AP:$AQ, 2, FALSE), 0)</f>
        <v>2</v>
      </c>
      <c r="AM34" t="b">
        <f t="shared" si="9"/>
        <v>1</v>
      </c>
      <c r="AN34">
        <f>IFERROR(VLOOKUP($B34, aegis!$AU:$AV, 2, FALSE), 0)</f>
        <v>0</v>
      </c>
      <c r="AO34">
        <f>IFERROR(VLOOKUP($B34, duel!$AU:$AV, 2, FALSE), 0)</f>
        <v>0</v>
      </c>
      <c r="AP34">
        <f>IFERROR(VLOOKUP($B34, blitz!$AU:$AV, 2, FALSE), 0)</f>
        <v>0</v>
      </c>
      <c r="AQ34" t="b">
        <f t="shared" si="10"/>
        <v>1</v>
      </c>
      <c r="AR34" t="str">
        <f>IFERROR(VLOOKUP($B34, aegis!$AZ:$BA, 2, FALSE), 0)</f>
        <v>2</v>
      </c>
      <c r="AS34" t="str">
        <f>IFERROR(VLOOKUP($B34, duel!$AZ:$BA, 2, FALSE), 0)</f>
        <v>2</v>
      </c>
      <c r="AT34" t="str">
        <f>IFERROR(VLOOKUP($B34, blitz!$AZ:$BA, 2, FALSE), 0)</f>
        <v>2</v>
      </c>
      <c r="AU34" t="b">
        <f t="shared" si="11"/>
        <v>1</v>
      </c>
      <c r="AV34" t="str">
        <f>IFERROR(VLOOKUP($B34, aegis!$BE:$BF, 2, FALSE), 0)</f>
        <v>2</v>
      </c>
      <c r="AW34" t="str">
        <f>IFERROR(VLOOKUP($B34, duel!$BE:$BF, 2, FALSE), 0)</f>
        <v>2</v>
      </c>
      <c r="AX34" t="str">
        <f>IFERROR(VLOOKUP($B34, blitz!$BE:$BF, 2, FALSE), 0)</f>
        <v>2</v>
      </c>
      <c r="AY34" t="b">
        <f t="shared" si="12"/>
        <v>1</v>
      </c>
      <c r="AZ34" t="str">
        <f>IFERROR(VLOOKUP($B34, aegis!$BJ:$BK, 2, FALSE), 0)</f>
        <v>1</v>
      </c>
      <c r="BA34" t="str">
        <f>IFERROR(VLOOKUP($B34, duel!$BJ:$BK, 2, FALSE), 0)</f>
        <v>1</v>
      </c>
      <c r="BB34" t="str">
        <f>IFERROR(VLOOKUP($B34, blitz!$BJ:$BK, 2, FALSE), 0)</f>
        <v>1</v>
      </c>
      <c r="BC34" t="b">
        <f t="shared" si="13"/>
        <v>1</v>
      </c>
      <c r="BD34">
        <f>IFERROR(VLOOKUP($B34, aegis!$BO:$BP, 2, FALSE), 0)</f>
        <v>0</v>
      </c>
      <c r="BE34">
        <f>IFERROR(VLOOKUP($B34, duel!$BO:$BP, 2, FALSE), 0)</f>
        <v>0</v>
      </c>
      <c r="BF34">
        <f>IFERROR(VLOOKUP($B34, blitz!$BO:$BP, 2, FALSE), 0)</f>
        <v>0</v>
      </c>
      <c r="BG34" t="b">
        <f t="shared" si="14"/>
        <v>1</v>
      </c>
      <c r="BH34" t="str">
        <f>IFERROR(VLOOKUP($B34, aegis!$BT:$BU, 2, FALSE), 0)</f>
        <v>45</v>
      </c>
      <c r="BI34" t="str">
        <f>IFERROR(VLOOKUP($B34, duel!$BT:$BU, 2, FALSE), 0)</f>
        <v>45</v>
      </c>
      <c r="BJ34" t="str">
        <f>IFERROR(VLOOKUP($B34, blitz!$BT:$BU, 2, FALSE), 0)</f>
        <v>45</v>
      </c>
      <c r="BK34" t="b">
        <f t="shared" si="15"/>
        <v>1</v>
      </c>
      <c r="BL34" t="str">
        <f>IFERROR(VLOOKUP($B34, aegis!$BY:$BZ, 2, FALSE), 0)</f>
        <v>1</v>
      </c>
      <c r="BM34" t="str">
        <f>IFERROR(VLOOKUP($B34, duel!$BY:$BZ, 2, FALSE), 0)</f>
        <v>1</v>
      </c>
      <c r="BN34" t="str">
        <f>IFERROR(VLOOKUP($B34, blitz!$BY:$BZ, 2, FALSE), 0)</f>
        <v>1</v>
      </c>
      <c r="BO34" t="b">
        <f t="shared" si="16"/>
        <v>1</v>
      </c>
      <c r="BP34" t="str">
        <f>IFERROR(VLOOKUP($B34, aegis!$CD:$CE, 2, FALSE), 0)</f>
        <v>5</v>
      </c>
      <c r="BQ34" t="str">
        <f>IFERROR(VLOOKUP($B34, duel!$CD:$CE, 2, FALSE), 0)</f>
        <v>5</v>
      </c>
      <c r="BR34" t="str">
        <f>IFERROR(VLOOKUP($B34, blitz!$CD:$CE, 2, FALSE), 0)</f>
        <v>5</v>
      </c>
      <c r="BS34" t="b">
        <f t="shared" si="17"/>
        <v>1</v>
      </c>
      <c r="BT34" t="str">
        <f>IFERROR(VLOOKUP($B34, aegis!$CI:$CJ, 2, FALSE), 0)</f>
        <v>4</v>
      </c>
      <c r="BU34" t="str">
        <f>IFERROR(VLOOKUP($B34, duel!$CI:$CJ, 2, FALSE), 0)</f>
        <v>4</v>
      </c>
      <c r="BV34" t="str">
        <f>IFERROR(VLOOKUP($B34, blitz!$CI:$CJ, 2, FALSE), 0)</f>
        <v>4</v>
      </c>
      <c r="BW34" t="b">
        <f t="shared" si="18"/>
        <v>1</v>
      </c>
      <c r="BX34" t="str">
        <f>IFERROR(VLOOKUP($B34, aegis!$CN:$CO, 2, FALSE), 0)</f>
        <v>4</v>
      </c>
      <c r="BY34" t="str">
        <f>IFERROR(VLOOKUP($B34, duel!$CN:$CO, 2, FALSE), 0)</f>
        <v>4</v>
      </c>
      <c r="BZ34" t="str">
        <f>IFERROR(VLOOKUP($B34, blitz!$CN:$CO, 2, FALSE), 0)</f>
        <v>4</v>
      </c>
      <c r="CA34" t="b">
        <f t="shared" si="19"/>
        <v>1</v>
      </c>
      <c r="CB34" t="str">
        <f>IFERROR(VLOOKUP($B34, aegis!$CS:$CT, 2, FALSE), 0)</f>
        <v>17</v>
      </c>
      <c r="CC34" t="str">
        <f>IFERROR(VLOOKUP($B34, duel!$CS:$CT, 2, FALSE), 0)</f>
        <v>17</v>
      </c>
      <c r="CD34" t="str">
        <f>IFERROR(VLOOKUP($B34, blitz!$CS:$CT, 2, FALSE), 0)</f>
        <v>17</v>
      </c>
      <c r="CE34" t="b">
        <f t="shared" si="20"/>
        <v>1</v>
      </c>
      <c r="CF34" t="str">
        <f>IFERROR(VLOOKUP($B34, aegis!$CX:$CY, 2, FALSE), 0)</f>
        <v>33694</v>
      </c>
      <c r="CG34" t="str">
        <f>IFERROR(VLOOKUP($B34, duel!$CX:$CY, 2, FALSE), 0)</f>
        <v>33682</v>
      </c>
      <c r="CH34" t="str">
        <f>IFERROR(VLOOKUP($B34, blitz!$CX:$CY, 2, FALSE), 0)</f>
        <v>6309</v>
      </c>
      <c r="CI34" t="b">
        <f t="shared" si="21"/>
        <v>0</v>
      </c>
      <c r="CJ34" t="str">
        <f>IFERROR(VLOOKUP($B34, aegis!$DC:$DD, 2, FALSE), 0)</f>
        <v>1</v>
      </c>
      <c r="CK34" t="str">
        <f>IFERROR(VLOOKUP($B34, duel!$DC:$DD, 2, FALSE), 0)</f>
        <v>1</v>
      </c>
      <c r="CL34" t="str">
        <f>IFERROR(VLOOKUP($B34, blitz!$DC:$DD, 2, FALSE), 0)</f>
        <v>1</v>
      </c>
      <c r="CM34" t="b">
        <f t="shared" si="22"/>
        <v>1</v>
      </c>
      <c r="CN34" t="str">
        <f>IFERROR(VLOOKUP($B34, aegis!$DH:$DI, 2, FALSE), 0)</f>
        <v>4</v>
      </c>
      <c r="CO34" t="str">
        <f>IFERROR(VLOOKUP($B34, duel!$DH:$DI, 2, FALSE), 0)</f>
        <v>4</v>
      </c>
      <c r="CP34" s="13">
        <f>IFERROR(VLOOKUP($B34, blitz!$DH:$DI, 2, FALSE), 0)</f>
        <v>0</v>
      </c>
      <c r="CQ34" t="b">
        <f t="shared" si="23"/>
        <v>1</v>
      </c>
      <c r="CR34" t="str">
        <f>IFERROR(VLOOKUP($B34, aegis!$DM:$DN, 2, FALSE), 0)</f>
        <v>1</v>
      </c>
      <c r="CS34" t="str">
        <f>IFERROR(VLOOKUP($B34, duel!$DM:$DN, 2, FALSE), 0)</f>
        <v>1</v>
      </c>
      <c r="CT34" t="str">
        <f>IFERROR(VLOOKUP($B34, blitz!$DM:$DN, 2, FALSE), 0)</f>
        <v>1</v>
      </c>
      <c r="CU34" t="b">
        <f t="shared" si="24"/>
        <v>1</v>
      </c>
      <c r="CV34" t="str">
        <f>IFERROR(VLOOKUP($B34, aegis!$DR:$DS, 2, FALSE), 0)</f>
        <v>96</v>
      </c>
      <c r="CW34" t="str">
        <f>IFERROR(VLOOKUP($B34, duel!$DR:$DS, 2, FALSE), 0)</f>
        <v>96</v>
      </c>
      <c r="CX34" t="str">
        <f>IFERROR(VLOOKUP($B34, blitz!$DR:$DS, 2, FALSE), 0)</f>
        <v>96</v>
      </c>
      <c r="CY34" t="b">
        <f t="shared" si="25"/>
        <v>1</v>
      </c>
    </row>
    <row r="35" spans="1:103">
      <c r="A35" t="s">
        <v>1733</v>
      </c>
      <c r="B35" s="6" t="s">
        <v>66</v>
      </c>
      <c r="C35" s="5" t="b">
        <f t="shared" si="0"/>
        <v>0</v>
      </c>
      <c r="D35" t="str">
        <f>IFERROR(VLOOKUP($B35, aegis!$B:$C, 2, FALSE), 0)</f>
        <v>60</v>
      </c>
      <c r="E35" t="str">
        <f>IFERROR(VLOOKUP($B35, duel!$B:$C, 2, FALSE), 0)</f>
        <v>60</v>
      </c>
      <c r="F35" t="str">
        <f>IFERROR(VLOOKUP($B35, blitz!$B:$C, 2, FALSE), 0)</f>
        <v>60</v>
      </c>
      <c r="G35" t="b">
        <f t="shared" si="1"/>
        <v>1</v>
      </c>
      <c r="H35" t="str">
        <f>IFERROR(VLOOKUP($B35, aegis!$G:$H, 2, FALSE), 0)</f>
        <v>35</v>
      </c>
      <c r="I35" t="str">
        <f>IFERROR(VLOOKUP($B35, duel!$G:$H, 2, FALSE), 0)</f>
        <v>35</v>
      </c>
      <c r="J35" t="str">
        <f>IFERROR(VLOOKUP($B35, blitz!$G:$H, 2, FALSE), 0)</f>
        <v>35</v>
      </c>
      <c r="K35" t="b">
        <f t="shared" si="2"/>
        <v>1</v>
      </c>
      <c r="L35" t="str">
        <f>IFERROR(VLOOKUP($B35, aegis!$L:$M, 2, FALSE), 0)</f>
        <v>60</v>
      </c>
      <c r="M35" t="str">
        <f>IFERROR(VLOOKUP($B35, duel!$L:$M, 2, FALSE), 0)</f>
        <v>60</v>
      </c>
      <c r="N35" t="str">
        <f>IFERROR(VLOOKUP($B35, blitz!$L:$M, 2, FALSE), 0)</f>
        <v>60</v>
      </c>
      <c r="O35" t="b">
        <f t="shared" si="3"/>
        <v>1</v>
      </c>
      <c r="P35" t="str">
        <f>IFERROR(VLOOKUP($B35, aegis!$Q:$R, 2, FALSE), 0)</f>
        <v>35</v>
      </c>
      <c r="Q35" t="str">
        <f>IFERROR(VLOOKUP($B35, duel!$Q:$R, 2, FALSE), 0)</f>
        <v>35</v>
      </c>
      <c r="R35" t="str">
        <f>IFERROR(VLOOKUP($B35, blitz!$Q:$R, 2, FALSE), 0)</f>
        <v>35</v>
      </c>
      <c r="S35" t="b">
        <f t="shared" si="4"/>
        <v>1</v>
      </c>
      <c r="T35" t="str">
        <f>IFERROR(VLOOKUP($B35, aegis!$V:$W, 2, FALSE), 0)</f>
        <v>297</v>
      </c>
      <c r="U35" t="str">
        <f>IFERROR(VLOOKUP($B35, duel!$V:$W, 2, FALSE), 0)</f>
        <v>297</v>
      </c>
      <c r="V35" t="str">
        <f>IFERROR(VLOOKUP($B35, blitz!$V:$W, 2, FALSE), 0)</f>
        <v>297</v>
      </c>
      <c r="W35" t="b">
        <f t="shared" si="5"/>
        <v>1</v>
      </c>
      <c r="X35" t="str">
        <f>IFERROR(VLOOKUP($B35, aegis!$AA:$AB, 2, FALSE), 0)</f>
        <v>2</v>
      </c>
      <c r="Y35" t="str">
        <f>IFERROR(VLOOKUP($B35, duel!$AA:$AB, 2, FALSE), 0)</f>
        <v>4</v>
      </c>
      <c r="Z35" t="str">
        <f>IFERROR(VLOOKUP($B35, blitz!$AA:$AB, 2, FALSE), 0)</f>
        <v>2</v>
      </c>
      <c r="AA35" t="b">
        <f t="shared" si="6"/>
        <v>0</v>
      </c>
      <c r="AB35" t="str">
        <f>IFERROR(VLOOKUP($B35, aegis!$AF:$AG, 2, FALSE), 0)</f>
        <v>88</v>
      </c>
      <c r="AC35" t="str">
        <f>IFERROR(VLOOKUP($B35, duel!$AF:$AG, 2, FALSE), 0)</f>
        <v>88</v>
      </c>
      <c r="AD35" t="str">
        <f>IFERROR(VLOOKUP($B35, blitz!$AF:$AG, 2, FALSE), 0)</f>
        <v>88</v>
      </c>
      <c r="AE35" t="b">
        <f t="shared" si="7"/>
        <v>1</v>
      </c>
      <c r="AF35" t="str">
        <f>IFERROR(VLOOKUP($B35, aegis!$AK:$AL, 2, FALSE), 0)</f>
        <v>3</v>
      </c>
      <c r="AG35" t="str">
        <f>IFERROR(VLOOKUP($B35, duel!$AK:$AL, 2, FALSE), 0)</f>
        <v>1</v>
      </c>
      <c r="AH35" t="str">
        <f>IFERROR(VLOOKUP($B35, blitz!$AK:$AL, 2, FALSE), 0)</f>
        <v>1</v>
      </c>
      <c r="AI35" t="b">
        <f t="shared" si="8"/>
        <v>0</v>
      </c>
      <c r="AJ35" t="str">
        <f>IFERROR(VLOOKUP($B35, aegis!$AP:$AQ, 2, FALSE), 0)</f>
        <v>2</v>
      </c>
      <c r="AK35" t="str">
        <f>IFERROR(VLOOKUP($B35, duel!$AP:$AQ, 2, FALSE), 0)</f>
        <v>2</v>
      </c>
      <c r="AL35" t="str">
        <f>IFERROR(VLOOKUP($B35, blitz!$AP:$AQ, 2, FALSE), 0)</f>
        <v>2</v>
      </c>
      <c r="AM35" t="b">
        <f t="shared" si="9"/>
        <v>1</v>
      </c>
      <c r="AN35">
        <f>IFERROR(VLOOKUP($B35, aegis!$AU:$AV, 2, FALSE), 0)</f>
        <v>0</v>
      </c>
      <c r="AO35">
        <f>IFERROR(VLOOKUP($B35, duel!$AU:$AV, 2, FALSE), 0)</f>
        <v>0</v>
      </c>
      <c r="AP35">
        <f>IFERROR(VLOOKUP($B35, blitz!$AU:$AV, 2, FALSE), 0)</f>
        <v>0</v>
      </c>
      <c r="AQ35" t="b">
        <f t="shared" si="10"/>
        <v>1</v>
      </c>
      <c r="AR35" t="str">
        <f>IFERROR(VLOOKUP($B35, aegis!$AZ:$BA, 2, FALSE), 0)</f>
        <v>2</v>
      </c>
      <c r="AS35" t="str">
        <f>IFERROR(VLOOKUP($B35, duel!$AZ:$BA, 2, FALSE), 0)</f>
        <v>2</v>
      </c>
      <c r="AT35" t="str">
        <f>IFERROR(VLOOKUP($B35, blitz!$AZ:$BA, 2, FALSE), 0)</f>
        <v>2</v>
      </c>
      <c r="AU35" t="b">
        <f t="shared" si="11"/>
        <v>1</v>
      </c>
      <c r="AV35" t="str">
        <f>IFERROR(VLOOKUP($B35, aegis!$BE:$BF, 2, FALSE), 0)</f>
        <v>3</v>
      </c>
      <c r="AW35" t="str">
        <f>IFERROR(VLOOKUP($B35, duel!$BE:$BF, 2, FALSE), 0)</f>
        <v>3</v>
      </c>
      <c r="AX35" t="str">
        <f>IFERROR(VLOOKUP($B35, blitz!$BE:$BF, 2, FALSE), 0)</f>
        <v>3</v>
      </c>
      <c r="AY35" t="b">
        <f t="shared" si="12"/>
        <v>1</v>
      </c>
      <c r="AZ35" t="str">
        <f>IFERROR(VLOOKUP($B35, aegis!$BJ:$BK, 2, FALSE), 0)</f>
        <v>1</v>
      </c>
      <c r="BA35" t="str">
        <f>IFERROR(VLOOKUP($B35, duel!$BJ:$BK, 2, FALSE), 0)</f>
        <v>1</v>
      </c>
      <c r="BB35" t="str">
        <f>IFERROR(VLOOKUP($B35, blitz!$BJ:$BK, 2, FALSE), 0)</f>
        <v>1</v>
      </c>
      <c r="BC35" t="b">
        <f t="shared" si="13"/>
        <v>1</v>
      </c>
      <c r="BD35">
        <f>IFERROR(VLOOKUP($B35, aegis!$BO:$BP, 2, FALSE), 0)</f>
        <v>0</v>
      </c>
      <c r="BE35">
        <f>IFERROR(VLOOKUP($B35, duel!$BO:$BP, 2, FALSE), 0)</f>
        <v>0</v>
      </c>
      <c r="BF35">
        <f>IFERROR(VLOOKUP($B35, blitz!$BO:$BP, 2, FALSE), 0)</f>
        <v>0</v>
      </c>
      <c r="BG35" t="b">
        <f t="shared" si="14"/>
        <v>1</v>
      </c>
      <c r="BH35" t="str">
        <f>IFERROR(VLOOKUP($B35, aegis!$BT:$BU, 2, FALSE), 0)</f>
        <v>32</v>
      </c>
      <c r="BI35" t="str">
        <f>IFERROR(VLOOKUP($B35, duel!$BT:$BU, 2, FALSE), 0)</f>
        <v>32</v>
      </c>
      <c r="BJ35" t="str">
        <f>IFERROR(VLOOKUP($B35, blitz!$BT:$BU, 2, FALSE), 0)</f>
        <v>32</v>
      </c>
      <c r="BK35" t="b">
        <f t="shared" si="15"/>
        <v>1</v>
      </c>
      <c r="BL35" t="str">
        <f>IFERROR(VLOOKUP($B35, aegis!$BY:$BZ, 2, FALSE), 0)</f>
        <v>1</v>
      </c>
      <c r="BM35" t="str">
        <f>IFERROR(VLOOKUP($B35, duel!$BY:$BZ, 2, FALSE), 0)</f>
        <v>1</v>
      </c>
      <c r="BN35" t="str">
        <f>IFERROR(VLOOKUP($B35, blitz!$BY:$BZ, 2, FALSE), 0)</f>
        <v>1</v>
      </c>
      <c r="BO35" t="b">
        <f t="shared" si="16"/>
        <v>1</v>
      </c>
      <c r="BP35" t="str">
        <f>IFERROR(VLOOKUP($B35, aegis!$CD:$CE, 2, FALSE), 0)</f>
        <v>7</v>
      </c>
      <c r="BQ35" t="str">
        <f>IFERROR(VLOOKUP($B35, duel!$CD:$CE, 2, FALSE), 0)</f>
        <v>7</v>
      </c>
      <c r="BR35" t="str">
        <f>IFERROR(VLOOKUP($B35, blitz!$CD:$CE, 2, FALSE), 0)</f>
        <v>7</v>
      </c>
      <c r="BS35" t="b">
        <f t="shared" si="17"/>
        <v>1</v>
      </c>
      <c r="BT35">
        <f>IFERROR(VLOOKUP($B35, aegis!$CI:$CJ, 2, FALSE), 0)</f>
        <v>0</v>
      </c>
      <c r="BU35">
        <f>IFERROR(VLOOKUP($B35, duel!$CI:$CJ, 2, FALSE), 0)</f>
        <v>0</v>
      </c>
      <c r="BV35">
        <f>IFERROR(VLOOKUP($B35, blitz!$CI:$CJ, 2, FALSE), 0)</f>
        <v>0</v>
      </c>
      <c r="BW35" t="b">
        <f t="shared" si="18"/>
        <v>1</v>
      </c>
      <c r="BX35">
        <f>IFERROR(VLOOKUP($B35, aegis!$CN:$CO, 2, FALSE), 0)</f>
        <v>0</v>
      </c>
      <c r="BY35">
        <f>IFERROR(VLOOKUP($B35, duel!$CN:$CO, 2, FALSE), 0)</f>
        <v>0</v>
      </c>
      <c r="BZ35">
        <f>IFERROR(VLOOKUP($B35, blitz!$CN:$CO, 2, FALSE), 0)</f>
        <v>0</v>
      </c>
      <c r="CA35" t="b">
        <f t="shared" si="19"/>
        <v>1</v>
      </c>
      <c r="CB35">
        <f>IFERROR(VLOOKUP($B35, aegis!$CS:$CT, 2, FALSE), 0)</f>
        <v>0</v>
      </c>
      <c r="CC35">
        <f>IFERROR(VLOOKUP($B35, duel!$CS:$CT, 2, FALSE), 0)</f>
        <v>0</v>
      </c>
      <c r="CD35">
        <f>IFERROR(VLOOKUP($B35, blitz!$CS:$CT, 2, FALSE), 0)</f>
        <v>0</v>
      </c>
      <c r="CE35" t="b">
        <f t="shared" si="20"/>
        <v>1</v>
      </c>
      <c r="CF35" t="str">
        <f>IFERROR(VLOOKUP($B35, aegis!$CX:$CY, 2, FALSE), 0)</f>
        <v>25715</v>
      </c>
      <c r="CG35" t="str">
        <f>IFERROR(VLOOKUP($B35, duel!$CX:$CY, 2, FALSE), 0)</f>
        <v>25709</v>
      </c>
      <c r="CH35" t="str">
        <f>IFERROR(VLOOKUP($B35, blitz!$CX:$CY, 2, FALSE), 0)</f>
        <v>5803</v>
      </c>
      <c r="CI35" t="b">
        <f t="shared" si="21"/>
        <v>0</v>
      </c>
      <c r="CJ35" t="str">
        <f>IFERROR(VLOOKUP($B35, aegis!$DC:$DD, 2, FALSE), 0)</f>
        <v>1</v>
      </c>
      <c r="CK35" t="str">
        <f>IFERROR(VLOOKUP($B35, duel!$DC:$DD, 2, FALSE), 0)</f>
        <v>1</v>
      </c>
      <c r="CL35" t="str">
        <f>IFERROR(VLOOKUP($B35, blitz!$DC:$DD, 2, FALSE), 0)</f>
        <v>1</v>
      </c>
      <c r="CM35" t="b">
        <f t="shared" si="22"/>
        <v>1</v>
      </c>
      <c r="CN35" t="str">
        <f>IFERROR(VLOOKUP($B35, aegis!$DH:$DI, 2, FALSE), 0)</f>
        <v>4</v>
      </c>
      <c r="CO35" t="str">
        <f>IFERROR(VLOOKUP($B35, duel!$DH:$DI, 2, FALSE), 0)</f>
        <v>4</v>
      </c>
      <c r="CP35" s="13">
        <f>IFERROR(VLOOKUP($B35, blitz!$DH:$DI, 2, FALSE), 0)</f>
        <v>0</v>
      </c>
      <c r="CQ35" t="b">
        <f t="shared" si="23"/>
        <v>1</v>
      </c>
      <c r="CR35" t="str">
        <f>IFERROR(VLOOKUP($B35, aegis!$DM:$DN, 2, FALSE), 0)</f>
        <v>2</v>
      </c>
      <c r="CS35" t="str">
        <f>IFERROR(VLOOKUP($B35, duel!$DM:$DN, 2, FALSE), 0)</f>
        <v>2</v>
      </c>
      <c r="CT35" t="str">
        <f>IFERROR(VLOOKUP($B35, blitz!$DM:$DN, 2, FALSE), 0)</f>
        <v>2</v>
      </c>
      <c r="CU35" t="b">
        <f t="shared" si="24"/>
        <v>1</v>
      </c>
      <c r="CV35" t="str">
        <f>IFERROR(VLOOKUP($B35, aegis!$DR:$DS, 2, FALSE), 0)</f>
        <v>88</v>
      </c>
      <c r="CW35" t="str">
        <f>IFERROR(VLOOKUP($B35, duel!$DR:$DS, 2, FALSE), 0)</f>
        <v>88</v>
      </c>
      <c r="CX35" t="str">
        <f>IFERROR(VLOOKUP($B35, blitz!$DR:$DS, 2, FALSE), 0)</f>
        <v>88</v>
      </c>
      <c r="CY35" t="b">
        <f t="shared" si="25"/>
        <v>1</v>
      </c>
    </row>
    <row r="36" spans="1:103">
      <c r="A36" t="s">
        <v>1733</v>
      </c>
      <c r="B36" s="6" t="s">
        <v>68</v>
      </c>
      <c r="C36" s="5" t="b">
        <f t="shared" si="0"/>
        <v>0</v>
      </c>
      <c r="D36" t="str">
        <f>IFERROR(VLOOKUP($B36, aegis!$B:$C, 2, FALSE), 0)</f>
        <v>120</v>
      </c>
      <c r="E36" t="str">
        <f>IFERROR(VLOOKUP($B36, duel!$B:$C, 2, FALSE), 0)</f>
        <v>120</v>
      </c>
      <c r="F36" t="str">
        <f>IFERROR(VLOOKUP($B36, blitz!$B:$C, 2, FALSE), 0)</f>
        <v>120</v>
      </c>
      <c r="G36" t="b">
        <f t="shared" si="1"/>
        <v>1</v>
      </c>
      <c r="H36" t="str">
        <f>IFERROR(VLOOKUP($B36, aegis!$G:$H, 2, FALSE), 0)</f>
        <v>70</v>
      </c>
      <c r="I36" t="str">
        <f>IFERROR(VLOOKUP($B36, duel!$G:$H, 2, FALSE), 0)</f>
        <v>70</v>
      </c>
      <c r="J36" t="str">
        <f>IFERROR(VLOOKUP($B36, blitz!$G:$H, 2, FALSE), 0)</f>
        <v>70</v>
      </c>
      <c r="K36" t="b">
        <f t="shared" si="2"/>
        <v>1</v>
      </c>
      <c r="L36" t="str">
        <f>IFERROR(VLOOKUP($B36, aegis!$L:$M, 2, FALSE), 0)</f>
        <v>120</v>
      </c>
      <c r="M36" t="str">
        <f>IFERROR(VLOOKUP($B36, duel!$L:$M, 2, FALSE), 0)</f>
        <v>120</v>
      </c>
      <c r="N36" t="str">
        <f>IFERROR(VLOOKUP($B36, blitz!$L:$M, 2, FALSE), 0)</f>
        <v>120</v>
      </c>
      <c r="O36" t="b">
        <f t="shared" si="3"/>
        <v>1</v>
      </c>
      <c r="P36" t="str">
        <f>IFERROR(VLOOKUP($B36, aegis!$Q:$R, 2, FALSE), 0)</f>
        <v>70</v>
      </c>
      <c r="Q36" t="str">
        <f>IFERROR(VLOOKUP($B36, duel!$Q:$R, 2, FALSE), 0)</f>
        <v>70</v>
      </c>
      <c r="R36" t="str">
        <f>IFERROR(VLOOKUP($B36, blitz!$Q:$R, 2, FALSE), 0)</f>
        <v>70</v>
      </c>
      <c r="S36" t="b">
        <f t="shared" si="4"/>
        <v>1</v>
      </c>
      <c r="T36" t="str">
        <f>IFERROR(VLOOKUP($B36, aegis!$V:$W, 2, FALSE), 0)</f>
        <v>560</v>
      </c>
      <c r="U36" t="str">
        <f>IFERROR(VLOOKUP($B36, duel!$V:$W, 2, FALSE), 0)</f>
        <v>560</v>
      </c>
      <c r="V36" t="str">
        <f>IFERROR(VLOOKUP($B36, blitz!$V:$W, 2, FALSE), 0)</f>
        <v>560</v>
      </c>
      <c r="W36" t="b">
        <f t="shared" si="5"/>
        <v>1</v>
      </c>
      <c r="X36" t="str">
        <f>IFERROR(VLOOKUP($B36, aegis!$AA:$AB, 2, FALSE), 0)</f>
        <v>4</v>
      </c>
      <c r="Y36" t="str">
        <f>IFERROR(VLOOKUP($B36, duel!$AA:$AB, 2, FALSE), 0)</f>
        <v>7</v>
      </c>
      <c r="Z36" t="str">
        <f>IFERROR(VLOOKUP($B36, blitz!$AA:$AB, 2, FALSE), 0)</f>
        <v>4</v>
      </c>
      <c r="AA36" t="b">
        <f t="shared" si="6"/>
        <v>0</v>
      </c>
      <c r="AB36" t="str">
        <f>IFERROR(VLOOKUP($B36, aegis!$AF:$AG, 2, FALSE), 0)</f>
        <v>204</v>
      </c>
      <c r="AC36" t="str">
        <f>IFERROR(VLOOKUP($B36, duel!$AF:$AG, 2, FALSE), 0)</f>
        <v>204</v>
      </c>
      <c r="AD36" t="str">
        <f>IFERROR(VLOOKUP($B36, blitz!$AF:$AG, 2, FALSE), 0)</f>
        <v>204</v>
      </c>
      <c r="AE36" t="b">
        <f t="shared" si="7"/>
        <v>1</v>
      </c>
      <c r="AF36" t="str">
        <f>IFERROR(VLOOKUP($B36, aegis!$AK:$AL, 2, FALSE), 0)</f>
        <v>5</v>
      </c>
      <c r="AG36" t="str">
        <f>IFERROR(VLOOKUP($B36, duel!$AK:$AL, 2, FALSE), 0)</f>
        <v>1</v>
      </c>
      <c r="AH36" t="str">
        <f>IFERROR(VLOOKUP($B36, blitz!$AK:$AL, 2, FALSE), 0)</f>
        <v>1</v>
      </c>
      <c r="AI36" t="b">
        <f t="shared" si="8"/>
        <v>0</v>
      </c>
      <c r="AJ36" t="str">
        <f>IFERROR(VLOOKUP($B36, aegis!$AP:$AQ, 2, FALSE), 0)</f>
        <v>4</v>
      </c>
      <c r="AK36" t="str">
        <f>IFERROR(VLOOKUP($B36, duel!$AP:$AQ, 2, FALSE), 0)</f>
        <v>4</v>
      </c>
      <c r="AL36" t="str">
        <f>IFERROR(VLOOKUP($B36, blitz!$AP:$AQ, 2, FALSE), 0)</f>
        <v>4</v>
      </c>
      <c r="AM36" t="b">
        <f t="shared" si="9"/>
        <v>1</v>
      </c>
      <c r="AN36">
        <f>IFERROR(VLOOKUP($B36, aegis!$AU:$AV, 2, FALSE), 0)</f>
        <v>0</v>
      </c>
      <c r="AO36">
        <f>IFERROR(VLOOKUP($B36, duel!$AU:$AV, 2, FALSE), 0)</f>
        <v>0</v>
      </c>
      <c r="AP36">
        <f>IFERROR(VLOOKUP($B36, blitz!$AU:$AV, 2, FALSE), 0)</f>
        <v>0</v>
      </c>
      <c r="AQ36" t="b">
        <f t="shared" si="10"/>
        <v>1</v>
      </c>
      <c r="AR36" t="str">
        <f>IFERROR(VLOOKUP($B36, aegis!$AZ:$BA, 2, FALSE), 0)</f>
        <v>4</v>
      </c>
      <c r="AS36" t="str">
        <f>IFERROR(VLOOKUP($B36, duel!$AZ:$BA, 2, FALSE), 0)</f>
        <v>4</v>
      </c>
      <c r="AT36" t="str">
        <f>IFERROR(VLOOKUP($B36, blitz!$AZ:$BA, 2, FALSE), 0)</f>
        <v>4</v>
      </c>
      <c r="AU36" t="b">
        <f t="shared" si="11"/>
        <v>1</v>
      </c>
      <c r="AV36" t="str">
        <f>IFERROR(VLOOKUP($B36, aegis!$BE:$BF, 2, FALSE), 0)</f>
        <v>4</v>
      </c>
      <c r="AW36" t="str">
        <f>IFERROR(VLOOKUP($B36, duel!$BE:$BF, 2, FALSE), 0)</f>
        <v>4</v>
      </c>
      <c r="AX36" t="str">
        <f>IFERROR(VLOOKUP($B36, blitz!$BE:$BF, 2, FALSE), 0)</f>
        <v>4</v>
      </c>
      <c r="AY36" t="b">
        <f t="shared" si="12"/>
        <v>1</v>
      </c>
      <c r="AZ36" t="str">
        <f>IFERROR(VLOOKUP($B36, aegis!$BJ:$BK, 2, FALSE), 0)</f>
        <v>1</v>
      </c>
      <c r="BA36" t="str">
        <f>IFERROR(VLOOKUP($B36, duel!$BJ:$BK, 2, FALSE), 0)</f>
        <v>1</v>
      </c>
      <c r="BB36" t="str">
        <f>IFERROR(VLOOKUP($B36, blitz!$BJ:$BK, 2, FALSE), 0)</f>
        <v>1</v>
      </c>
      <c r="BC36" t="b">
        <f t="shared" si="13"/>
        <v>1</v>
      </c>
      <c r="BD36">
        <f>IFERROR(VLOOKUP($B36, aegis!$BO:$BP, 2, FALSE), 0)</f>
        <v>0</v>
      </c>
      <c r="BE36">
        <f>IFERROR(VLOOKUP($B36, duel!$BO:$BP, 2, FALSE), 0)</f>
        <v>0</v>
      </c>
      <c r="BF36">
        <f>IFERROR(VLOOKUP($B36, blitz!$BO:$BP, 2, FALSE), 0)</f>
        <v>0</v>
      </c>
      <c r="BG36" t="b">
        <f t="shared" si="14"/>
        <v>1</v>
      </c>
      <c r="BH36" t="str">
        <f>IFERROR(VLOOKUP($B36, aegis!$BT:$BU, 2, FALSE), 0)</f>
        <v>107</v>
      </c>
      <c r="BI36" t="str">
        <f>IFERROR(VLOOKUP($B36, duel!$BT:$BU, 2, FALSE), 0)</f>
        <v>107</v>
      </c>
      <c r="BJ36" t="str">
        <f>IFERROR(VLOOKUP($B36, blitz!$BT:$BU, 2, FALSE), 0)</f>
        <v>107</v>
      </c>
      <c r="BK36" t="b">
        <f t="shared" si="15"/>
        <v>1</v>
      </c>
      <c r="BL36" t="str">
        <f>IFERROR(VLOOKUP($B36, aegis!$BY:$BZ, 2, FALSE), 0)</f>
        <v>2</v>
      </c>
      <c r="BM36" t="str">
        <f>IFERROR(VLOOKUP($B36, duel!$BY:$BZ, 2, FALSE), 0)</f>
        <v>2</v>
      </c>
      <c r="BN36" t="str">
        <f>IFERROR(VLOOKUP($B36, blitz!$BY:$BZ, 2, FALSE), 0)</f>
        <v>2</v>
      </c>
      <c r="BO36" t="b">
        <f t="shared" si="16"/>
        <v>1</v>
      </c>
      <c r="BP36" t="str">
        <f>IFERROR(VLOOKUP($B36, aegis!$CD:$CE, 2, FALSE), 0)</f>
        <v>7</v>
      </c>
      <c r="BQ36" t="str">
        <f>IFERROR(VLOOKUP($B36, duel!$CD:$CE, 2, FALSE), 0)</f>
        <v>7</v>
      </c>
      <c r="BR36" t="str">
        <f>IFERROR(VLOOKUP($B36, blitz!$CD:$CE, 2, FALSE), 0)</f>
        <v>7</v>
      </c>
      <c r="BS36" t="b">
        <f t="shared" si="17"/>
        <v>1</v>
      </c>
      <c r="BT36" t="str">
        <f>IFERROR(VLOOKUP($B36, aegis!$CI:$CJ, 2, FALSE), 0)</f>
        <v>4</v>
      </c>
      <c r="BU36" t="str">
        <f>IFERROR(VLOOKUP($B36, duel!$CI:$CJ, 2, FALSE), 0)</f>
        <v>4</v>
      </c>
      <c r="BV36" t="str">
        <f>IFERROR(VLOOKUP($B36, blitz!$CI:$CJ, 2, FALSE), 0)</f>
        <v>4</v>
      </c>
      <c r="BW36" t="b">
        <f t="shared" si="18"/>
        <v>1</v>
      </c>
      <c r="BX36" t="str">
        <f>IFERROR(VLOOKUP($B36, aegis!$CN:$CO, 2, FALSE), 0)</f>
        <v>4</v>
      </c>
      <c r="BY36" t="str">
        <f>IFERROR(VLOOKUP($B36, duel!$CN:$CO, 2, FALSE), 0)</f>
        <v>4</v>
      </c>
      <c r="BZ36" t="str">
        <f>IFERROR(VLOOKUP($B36, blitz!$CN:$CO, 2, FALSE), 0)</f>
        <v>4</v>
      </c>
      <c r="CA36" t="b">
        <f t="shared" si="19"/>
        <v>1</v>
      </c>
      <c r="CB36" t="str">
        <f>IFERROR(VLOOKUP($B36, aegis!$CS:$CT, 2, FALSE), 0)</f>
        <v>21</v>
      </c>
      <c r="CC36" t="str">
        <f>IFERROR(VLOOKUP($B36, duel!$CS:$CT, 2, FALSE), 0)</f>
        <v>21</v>
      </c>
      <c r="CD36" t="str">
        <f>IFERROR(VLOOKUP($B36, blitz!$CS:$CT, 2, FALSE), 0)</f>
        <v>21</v>
      </c>
      <c r="CE36" t="b">
        <f t="shared" si="20"/>
        <v>1</v>
      </c>
      <c r="CF36" t="str">
        <f>IFERROR(VLOOKUP($B36, aegis!$CX:$CY, 2, FALSE), 0)</f>
        <v>33213</v>
      </c>
      <c r="CG36" t="str">
        <f>IFERROR(VLOOKUP($B36, duel!$CX:$CY, 2, FALSE), 0)</f>
        <v>33204</v>
      </c>
      <c r="CH36" t="str">
        <f>IFERROR(VLOOKUP($B36, blitz!$CX:$CY, 2, FALSE), 0)</f>
        <v>8896</v>
      </c>
      <c r="CI36" t="b">
        <f t="shared" si="21"/>
        <v>0</v>
      </c>
      <c r="CJ36" t="str">
        <f>IFERROR(VLOOKUP($B36, aegis!$DC:$DD, 2, FALSE), 0)</f>
        <v>2</v>
      </c>
      <c r="CK36" t="str">
        <f>IFERROR(VLOOKUP($B36, duel!$DC:$DD, 2, FALSE), 0)</f>
        <v>2</v>
      </c>
      <c r="CL36" t="str">
        <f>IFERROR(VLOOKUP($B36, blitz!$DC:$DD, 2, FALSE), 0)</f>
        <v>2</v>
      </c>
      <c r="CM36" t="b">
        <f t="shared" si="22"/>
        <v>1</v>
      </c>
      <c r="CN36" t="str">
        <f>IFERROR(VLOOKUP($B36, aegis!$DH:$DI, 2, FALSE), 0)</f>
        <v>7</v>
      </c>
      <c r="CO36" t="str">
        <f>IFERROR(VLOOKUP($B36, duel!$DH:$DI, 2, FALSE), 0)</f>
        <v>7</v>
      </c>
      <c r="CP36" s="13">
        <f>IFERROR(VLOOKUP($B36, blitz!$DH:$DI, 2, FALSE), 0)</f>
        <v>0</v>
      </c>
      <c r="CQ36" t="b">
        <f t="shared" si="23"/>
        <v>1</v>
      </c>
      <c r="CR36" t="str">
        <f>IFERROR(VLOOKUP($B36, aegis!$DM:$DN, 2, FALSE), 0)</f>
        <v>3</v>
      </c>
      <c r="CS36" t="str">
        <f>IFERROR(VLOOKUP($B36, duel!$DM:$DN, 2, FALSE), 0)</f>
        <v>3</v>
      </c>
      <c r="CT36" t="str">
        <f>IFERROR(VLOOKUP($B36, blitz!$DM:$DN, 2, FALSE), 0)</f>
        <v>3</v>
      </c>
      <c r="CU36" t="b">
        <f t="shared" si="24"/>
        <v>1</v>
      </c>
      <c r="CV36" t="str">
        <f>IFERROR(VLOOKUP($B36, aegis!$DR:$DS, 2, FALSE), 0)</f>
        <v>204</v>
      </c>
      <c r="CW36" t="str">
        <f>IFERROR(VLOOKUP($B36, duel!$DR:$DS, 2, FALSE), 0)</f>
        <v>204</v>
      </c>
      <c r="CX36" t="str">
        <f>IFERROR(VLOOKUP($B36, blitz!$DR:$DS, 2, FALSE), 0)</f>
        <v>204</v>
      </c>
      <c r="CY36" t="b">
        <f t="shared" si="25"/>
        <v>1</v>
      </c>
    </row>
    <row r="37" spans="1:103">
      <c r="A37" t="s">
        <v>1733</v>
      </c>
      <c r="B37" s="6" t="s">
        <v>70</v>
      </c>
      <c r="C37" s="5" t="b">
        <f t="shared" si="0"/>
        <v>0</v>
      </c>
      <c r="D37" t="str">
        <f>IFERROR(VLOOKUP($B37, aegis!$B:$C, 2, FALSE), 0)</f>
        <v>60</v>
      </c>
      <c r="E37" t="str">
        <f>IFERROR(VLOOKUP($B37, duel!$B:$C, 2, FALSE), 0)</f>
        <v>60</v>
      </c>
      <c r="F37" t="str">
        <f>IFERROR(VLOOKUP($B37, blitz!$B:$C, 2, FALSE), 0)</f>
        <v>60</v>
      </c>
      <c r="G37" t="b">
        <f t="shared" si="1"/>
        <v>1</v>
      </c>
      <c r="H37" t="str">
        <f>IFERROR(VLOOKUP($B37, aegis!$G:$H, 2, FALSE), 0)</f>
        <v>35</v>
      </c>
      <c r="I37" t="str">
        <f>IFERROR(VLOOKUP($B37, duel!$G:$H, 2, FALSE), 0)</f>
        <v>35</v>
      </c>
      <c r="J37" t="str">
        <f>IFERROR(VLOOKUP($B37, blitz!$G:$H, 2, FALSE), 0)</f>
        <v>35</v>
      </c>
      <c r="K37" t="b">
        <f t="shared" si="2"/>
        <v>1</v>
      </c>
      <c r="L37" t="str">
        <f>IFERROR(VLOOKUP($B37, aegis!$L:$M, 2, FALSE), 0)</f>
        <v>60</v>
      </c>
      <c r="M37" t="str">
        <f>IFERROR(VLOOKUP($B37, duel!$L:$M, 2, FALSE), 0)</f>
        <v>60</v>
      </c>
      <c r="N37" t="str">
        <f>IFERROR(VLOOKUP($B37, blitz!$L:$M, 2, FALSE), 0)</f>
        <v>60</v>
      </c>
      <c r="O37" t="b">
        <f t="shared" si="3"/>
        <v>1</v>
      </c>
      <c r="P37" t="str">
        <f>IFERROR(VLOOKUP($B37, aegis!$Q:$R, 2, FALSE), 0)</f>
        <v>35</v>
      </c>
      <c r="Q37" t="str">
        <f>IFERROR(VLOOKUP($B37, duel!$Q:$R, 2, FALSE), 0)</f>
        <v>35</v>
      </c>
      <c r="R37" t="str">
        <f>IFERROR(VLOOKUP($B37, blitz!$Q:$R, 2, FALSE), 0)</f>
        <v>35</v>
      </c>
      <c r="S37" t="b">
        <f t="shared" si="4"/>
        <v>1</v>
      </c>
      <c r="T37" t="str">
        <f>IFERROR(VLOOKUP($B37, aegis!$V:$W, 2, FALSE), 0)</f>
        <v>455</v>
      </c>
      <c r="U37" t="str">
        <f>IFERROR(VLOOKUP($B37, duel!$V:$W, 2, FALSE), 0)</f>
        <v>455</v>
      </c>
      <c r="V37" t="str">
        <f>IFERROR(VLOOKUP($B37, blitz!$V:$W, 2, FALSE), 0)</f>
        <v>455</v>
      </c>
      <c r="W37" t="b">
        <f t="shared" si="5"/>
        <v>1</v>
      </c>
      <c r="X37" t="str">
        <f>IFERROR(VLOOKUP($B37, aegis!$AA:$AB, 2, FALSE), 0)</f>
        <v>2</v>
      </c>
      <c r="Y37" t="str">
        <f>IFERROR(VLOOKUP($B37, duel!$AA:$AB, 2, FALSE), 0)</f>
        <v>4</v>
      </c>
      <c r="Z37" t="str">
        <f>IFERROR(VLOOKUP($B37, blitz!$AA:$AB, 2, FALSE), 0)</f>
        <v>2</v>
      </c>
      <c r="AA37" t="b">
        <f t="shared" si="6"/>
        <v>0</v>
      </c>
      <c r="AB37" t="str">
        <f>IFERROR(VLOOKUP($B37, aegis!$AF:$AG, 2, FALSE), 0)</f>
        <v>130</v>
      </c>
      <c r="AC37" t="str">
        <f>IFERROR(VLOOKUP($B37, duel!$AF:$AG, 2, FALSE), 0)</f>
        <v>130</v>
      </c>
      <c r="AD37" t="str">
        <f>IFERROR(VLOOKUP($B37, blitz!$AF:$AG, 2, FALSE), 0)</f>
        <v>130</v>
      </c>
      <c r="AE37" t="b">
        <f t="shared" si="7"/>
        <v>1</v>
      </c>
      <c r="AF37" t="str">
        <f>IFERROR(VLOOKUP($B37, aegis!$AK:$AL, 2, FALSE), 0)</f>
        <v>3</v>
      </c>
      <c r="AG37" t="str">
        <f>IFERROR(VLOOKUP($B37, duel!$AK:$AL, 2, FALSE), 0)</f>
        <v>1</v>
      </c>
      <c r="AH37" t="str">
        <f>IFERROR(VLOOKUP($B37, blitz!$AK:$AL, 2, FALSE), 0)</f>
        <v>1</v>
      </c>
      <c r="AI37" t="b">
        <f t="shared" si="8"/>
        <v>0</v>
      </c>
      <c r="AJ37" t="str">
        <f>IFERROR(VLOOKUP($B37, aegis!$AP:$AQ, 2, FALSE), 0)</f>
        <v>2</v>
      </c>
      <c r="AK37" t="str">
        <f>IFERROR(VLOOKUP($B37, duel!$AP:$AQ, 2, FALSE), 0)</f>
        <v>2</v>
      </c>
      <c r="AL37" t="str">
        <f>IFERROR(VLOOKUP($B37, blitz!$AP:$AQ, 2, FALSE), 0)</f>
        <v>2</v>
      </c>
      <c r="AM37" t="b">
        <f t="shared" si="9"/>
        <v>1</v>
      </c>
      <c r="AN37">
        <f>IFERROR(VLOOKUP($B37, aegis!$AU:$AV, 2, FALSE), 0)</f>
        <v>0</v>
      </c>
      <c r="AO37">
        <f>IFERROR(VLOOKUP($B37, duel!$AU:$AV, 2, FALSE), 0)</f>
        <v>0</v>
      </c>
      <c r="AP37">
        <f>IFERROR(VLOOKUP($B37, blitz!$AU:$AV, 2, FALSE), 0)</f>
        <v>0</v>
      </c>
      <c r="AQ37" t="b">
        <f t="shared" si="10"/>
        <v>1</v>
      </c>
      <c r="AR37" t="str">
        <f>IFERROR(VLOOKUP($B37, aegis!$AZ:$BA, 2, FALSE), 0)</f>
        <v>2</v>
      </c>
      <c r="AS37" t="str">
        <f>IFERROR(VLOOKUP($B37, duel!$AZ:$BA, 2, FALSE), 0)</f>
        <v>2</v>
      </c>
      <c r="AT37" t="str">
        <f>IFERROR(VLOOKUP($B37, blitz!$AZ:$BA, 2, FALSE), 0)</f>
        <v>2</v>
      </c>
      <c r="AU37" t="b">
        <f t="shared" si="11"/>
        <v>1</v>
      </c>
      <c r="AV37" t="str">
        <f>IFERROR(VLOOKUP($B37, aegis!$BE:$BF, 2, FALSE), 0)</f>
        <v>8</v>
      </c>
      <c r="AW37" t="str">
        <f>IFERROR(VLOOKUP($B37, duel!$BE:$BF, 2, FALSE), 0)</f>
        <v>8</v>
      </c>
      <c r="AX37" t="str">
        <f>IFERROR(VLOOKUP($B37, blitz!$BE:$BF, 2, FALSE), 0)</f>
        <v>8</v>
      </c>
      <c r="AY37" t="b">
        <f t="shared" si="12"/>
        <v>1</v>
      </c>
      <c r="AZ37" t="str">
        <f>IFERROR(VLOOKUP($B37, aegis!$BJ:$BK, 2, FALSE), 0)</f>
        <v>1</v>
      </c>
      <c r="BA37" t="str">
        <f>IFERROR(VLOOKUP($B37, duel!$BJ:$BK, 2, FALSE), 0)</f>
        <v>1</v>
      </c>
      <c r="BB37" t="str">
        <f>IFERROR(VLOOKUP($B37, blitz!$BJ:$BK, 2, FALSE), 0)</f>
        <v>1</v>
      </c>
      <c r="BC37" t="b">
        <f t="shared" si="13"/>
        <v>1</v>
      </c>
      <c r="BD37">
        <f>IFERROR(VLOOKUP($B37, aegis!$BO:$BP, 2, FALSE), 0)</f>
        <v>0</v>
      </c>
      <c r="BE37">
        <f>IFERROR(VLOOKUP($B37, duel!$BO:$BP, 2, FALSE), 0)</f>
        <v>0</v>
      </c>
      <c r="BF37">
        <f>IFERROR(VLOOKUP($B37, blitz!$BO:$BP, 2, FALSE), 0)</f>
        <v>0</v>
      </c>
      <c r="BG37" t="b">
        <f t="shared" si="14"/>
        <v>1</v>
      </c>
      <c r="BH37" t="str">
        <f>IFERROR(VLOOKUP($B37, aegis!$BT:$BU, 2, FALSE), 0)</f>
        <v>48</v>
      </c>
      <c r="BI37" t="str">
        <f>IFERROR(VLOOKUP($B37, duel!$BT:$BU, 2, FALSE), 0)</f>
        <v>48</v>
      </c>
      <c r="BJ37" t="str">
        <f>IFERROR(VLOOKUP($B37, blitz!$BT:$BU, 2, FALSE), 0)</f>
        <v>48</v>
      </c>
      <c r="BK37" t="b">
        <f t="shared" si="15"/>
        <v>1</v>
      </c>
      <c r="BL37" t="str">
        <f>IFERROR(VLOOKUP($B37, aegis!$BY:$BZ, 2, FALSE), 0)</f>
        <v>1</v>
      </c>
      <c r="BM37" t="str">
        <f>IFERROR(VLOOKUP($B37, duel!$BY:$BZ, 2, FALSE), 0)</f>
        <v>1</v>
      </c>
      <c r="BN37" t="str">
        <f>IFERROR(VLOOKUP($B37, blitz!$BY:$BZ, 2, FALSE), 0)</f>
        <v>1</v>
      </c>
      <c r="BO37" t="b">
        <f t="shared" si="16"/>
        <v>1</v>
      </c>
      <c r="BP37" t="str">
        <f>IFERROR(VLOOKUP($B37, aegis!$CD:$CE, 2, FALSE), 0)</f>
        <v>7</v>
      </c>
      <c r="BQ37" t="str">
        <f>IFERROR(VLOOKUP($B37, duel!$CD:$CE, 2, FALSE), 0)</f>
        <v>7</v>
      </c>
      <c r="BR37" t="str">
        <f>IFERROR(VLOOKUP($B37, blitz!$CD:$CE, 2, FALSE), 0)</f>
        <v>7</v>
      </c>
      <c r="BS37" t="b">
        <f t="shared" si="17"/>
        <v>1</v>
      </c>
      <c r="BT37">
        <f>IFERROR(VLOOKUP($B37, aegis!$CI:$CJ, 2, FALSE), 0)</f>
        <v>0</v>
      </c>
      <c r="BU37">
        <f>IFERROR(VLOOKUP($B37, duel!$CI:$CJ, 2, FALSE), 0)</f>
        <v>0</v>
      </c>
      <c r="BV37">
        <f>IFERROR(VLOOKUP($B37, blitz!$CI:$CJ, 2, FALSE), 0)</f>
        <v>0</v>
      </c>
      <c r="BW37" t="b">
        <f t="shared" si="18"/>
        <v>1</v>
      </c>
      <c r="BX37">
        <f>IFERROR(VLOOKUP($B37, aegis!$CN:$CO, 2, FALSE), 0)</f>
        <v>0</v>
      </c>
      <c r="BY37">
        <f>IFERROR(VLOOKUP($B37, duel!$CN:$CO, 2, FALSE), 0)</f>
        <v>0</v>
      </c>
      <c r="BZ37">
        <f>IFERROR(VLOOKUP($B37, blitz!$CN:$CO, 2, FALSE), 0)</f>
        <v>0</v>
      </c>
      <c r="CA37" t="b">
        <f t="shared" si="19"/>
        <v>1</v>
      </c>
      <c r="CB37">
        <f>IFERROR(VLOOKUP($B37, aegis!$CS:$CT, 2, FALSE), 0)</f>
        <v>0</v>
      </c>
      <c r="CC37">
        <f>IFERROR(VLOOKUP($B37, duel!$CS:$CT, 2, FALSE), 0)</f>
        <v>0</v>
      </c>
      <c r="CD37">
        <f>IFERROR(VLOOKUP($B37, blitz!$CS:$CT, 2, FALSE), 0)</f>
        <v>0</v>
      </c>
      <c r="CE37" t="b">
        <f t="shared" si="20"/>
        <v>1</v>
      </c>
      <c r="CF37" t="str">
        <f>IFERROR(VLOOKUP($B37, aegis!$CX:$CY, 2, FALSE), 0)</f>
        <v>34973</v>
      </c>
      <c r="CG37" t="str">
        <f>IFERROR(VLOOKUP($B37, duel!$CX:$CY, 2, FALSE), 0)</f>
        <v>34968</v>
      </c>
      <c r="CH37" t="str">
        <f>IFERROR(VLOOKUP($B37, blitz!$CX:$CY, 2, FALSE), 0)</f>
        <v>7251</v>
      </c>
      <c r="CI37" t="b">
        <f t="shared" si="21"/>
        <v>0</v>
      </c>
      <c r="CJ37" t="str">
        <f>IFERROR(VLOOKUP($B37, aegis!$DC:$DD, 2, FALSE), 0)</f>
        <v>1</v>
      </c>
      <c r="CK37" t="str">
        <f>IFERROR(VLOOKUP($B37, duel!$DC:$DD, 2, FALSE), 0)</f>
        <v>1</v>
      </c>
      <c r="CL37" t="str">
        <f>IFERROR(VLOOKUP($B37, blitz!$DC:$DD, 2, FALSE), 0)</f>
        <v>1</v>
      </c>
      <c r="CM37" t="b">
        <f t="shared" si="22"/>
        <v>1</v>
      </c>
      <c r="CN37" t="str">
        <f>IFERROR(VLOOKUP($B37, aegis!$DH:$DI, 2, FALSE), 0)</f>
        <v>6</v>
      </c>
      <c r="CO37" t="str">
        <f>IFERROR(VLOOKUP($B37, duel!$DH:$DI, 2, FALSE), 0)</f>
        <v>6</v>
      </c>
      <c r="CP37" s="13">
        <f>IFERROR(VLOOKUP($B37, blitz!$DH:$DI, 2, FALSE), 0)</f>
        <v>0</v>
      </c>
      <c r="CQ37" t="b">
        <f t="shared" si="23"/>
        <v>1</v>
      </c>
      <c r="CR37" t="str">
        <f>IFERROR(VLOOKUP($B37, aegis!$DM:$DN, 2, FALSE), 0)</f>
        <v>1</v>
      </c>
      <c r="CS37" t="str">
        <f>IFERROR(VLOOKUP($B37, duel!$DM:$DN, 2, FALSE), 0)</f>
        <v>1</v>
      </c>
      <c r="CT37" t="str">
        <f>IFERROR(VLOOKUP($B37, blitz!$DM:$DN, 2, FALSE), 0)</f>
        <v>1</v>
      </c>
      <c r="CU37" t="b">
        <f t="shared" si="24"/>
        <v>1</v>
      </c>
      <c r="CV37" t="str">
        <f>IFERROR(VLOOKUP($B37, aegis!$DR:$DS, 2, FALSE), 0)</f>
        <v>129</v>
      </c>
      <c r="CW37" t="str">
        <f>IFERROR(VLOOKUP($B37, duel!$DR:$DS, 2, FALSE), 0)</f>
        <v>129</v>
      </c>
      <c r="CX37" t="str">
        <f>IFERROR(VLOOKUP($B37, blitz!$DR:$DS, 2, FALSE), 0)</f>
        <v>129</v>
      </c>
      <c r="CY37" t="b">
        <f t="shared" si="25"/>
        <v>1</v>
      </c>
    </row>
    <row r="38" spans="1:103">
      <c r="A38" t="s">
        <v>1733</v>
      </c>
      <c r="B38" s="6" t="s">
        <v>72</v>
      </c>
      <c r="C38" s="5" t="b">
        <f t="shared" si="0"/>
        <v>0</v>
      </c>
      <c r="D38" t="str">
        <f>IFERROR(VLOOKUP($B38, aegis!$B:$C, 2, FALSE), 0)</f>
        <v>24</v>
      </c>
      <c r="E38" t="str">
        <f>IFERROR(VLOOKUP($B38, duel!$B:$C, 2, FALSE), 0)</f>
        <v>24</v>
      </c>
      <c r="F38" t="str">
        <f>IFERROR(VLOOKUP($B38, blitz!$B:$C, 2, FALSE), 0)</f>
        <v>24</v>
      </c>
      <c r="G38" t="b">
        <f t="shared" si="1"/>
        <v>1</v>
      </c>
      <c r="H38" t="str">
        <f>IFERROR(VLOOKUP($B38, aegis!$G:$H, 2, FALSE), 0)</f>
        <v>14</v>
      </c>
      <c r="I38" t="str">
        <f>IFERROR(VLOOKUP($B38, duel!$G:$H, 2, FALSE), 0)</f>
        <v>14</v>
      </c>
      <c r="J38" t="str">
        <f>IFERROR(VLOOKUP($B38, blitz!$G:$H, 2, FALSE), 0)</f>
        <v>14</v>
      </c>
      <c r="K38" t="b">
        <f t="shared" si="2"/>
        <v>1</v>
      </c>
      <c r="L38" t="str">
        <f>IFERROR(VLOOKUP($B38, aegis!$L:$M, 2, FALSE), 0)</f>
        <v>24</v>
      </c>
      <c r="M38" t="str">
        <f>IFERROR(VLOOKUP($B38, duel!$L:$M, 2, FALSE), 0)</f>
        <v>24</v>
      </c>
      <c r="N38" t="str">
        <f>IFERROR(VLOOKUP($B38, blitz!$L:$M, 2, FALSE), 0)</f>
        <v>24</v>
      </c>
      <c r="O38" t="b">
        <f t="shared" si="3"/>
        <v>1</v>
      </c>
      <c r="P38" t="str">
        <f>IFERROR(VLOOKUP($B38, aegis!$Q:$R, 2, FALSE), 0)</f>
        <v>14</v>
      </c>
      <c r="Q38" t="str">
        <f>IFERROR(VLOOKUP($B38, duel!$Q:$R, 2, FALSE), 0)</f>
        <v>14</v>
      </c>
      <c r="R38" t="str">
        <f>IFERROR(VLOOKUP($B38, blitz!$Q:$R, 2, FALSE), 0)</f>
        <v>14</v>
      </c>
      <c r="S38" t="b">
        <f t="shared" si="4"/>
        <v>1</v>
      </c>
      <c r="T38" t="str">
        <f>IFERROR(VLOOKUP($B38, aegis!$V:$W, 2, FALSE), 0)</f>
        <v>90</v>
      </c>
      <c r="U38" t="str">
        <f>IFERROR(VLOOKUP($B38, duel!$V:$W, 2, FALSE), 0)</f>
        <v>90</v>
      </c>
      <c r="V38" t="str">
        <f>IFERROR(VLOOKUP($B38, blitz!$V:$W, 2, FALSE), 0)</f>
        <v>90</v>
      </c>
      <c r="W38" t="b">
        <f t="shared" si="5"/>
        <v>1</v>
      </c>
      <c r="X38" t="str">
        <f>IFERROR(VLOOKUP($B38, aegis!$AA:$AB, 2, FALSE), 0)</f>
        <v>3</v>
      </c>
      <c r="Y38" t="str">
        <f>IFERROR(VLOOKUP($B38, duel!$AA:$AB, 2, FALSE), 0)</f>
        <v>5</v>
      </c>
      <c r="Z38" t="str">
        <f>IFERROR(VLOOKUP($B38, blitz!$AA:$AB, 2, FALSE), 0)</f>
        <v>3</v>
      </c>
      <c r="AA38" t="b">
        <f t="shared" si="6"/>
        <v>0</v>
      </c>
      <c r="AB38" t="str">
        <f>IFERROR(VLOOKUP($B38, aegis!$AF:$AG, 2, FALSE), 0)</f>
        <v>142</v>
      </c>
      <c r="AC38" t="str">
        <f>IFERROR(VLOOKUP($B38, duel!$AF:$AG, 2, FALSE), 0)</f>
        <v>142</v>
      </c>
      <c r="AD38" t="str">
        <f>IFERROR(VLOOKUP($B38, blitz!$AF:$AG, 2, FALSE), 0)</f>
        <v>142</v>
      </c>
      <c r="AE38" t="b">
        <f t="shared" si="7"/>
        <v>1</v>
      </c>
      <c r="AF38" t="str">
        <f>IFERROR(VLOOKUP($B38, aegis!$AK:$AL, 2, FALSE), 0)</f>
        <v>3</v>
      </c>
      <c r="AG38" t="str">
        <f>IFERROR(VLOOKUP($B38, duel!$AK:$AL, 2, FALSE), 0)</f>
        <v>1</v>
      </c>
      <c r="AH38" t="str">
        <f>IFERROR(VLOOKUP($B38, blitz!$AK:$AL, 2, FALSE), 0)</f>
        <v>1</v>
      </c>
      <c r="AI38" t="b">
        <f t="shared" si="8"/>
        <v>0</v>
      </c>
      <c r="AJ38" t="str">
        <f>IFERROR(VLOOKUP($B38, aegis!$AP:$AQ, 2, FALSE), 0)</f>
        <v>3</v>
      </c>
      <c r="AK38" t="str">
        <f>IFERROR(VLOOKUP($B38, duel!$AP:$AQ, 2, FALSE), 0)</f>
        <v>3</v>
      </c>
      <c r="AL38" t="str">
        <f>IFERROR(VLOOKUP($B38, blitz!$AP:$AQ, 2, FALSE), 0)</f>
        <v>3</v>
      </c>
      <c r="AM38" t="b">
        <f t="shared" si="9"/>
        <v>1</v>
      </c>
      <c r="AN38">
        <f>IFERROR(VLOOKUP($B38, aegis!$AU:$AV, 2, FALSE), 0)</f>
        <v>0</v>
      </c>
      <c r="AO38">
        <f>IFERROR(VLOOKUP($B38, duel!$AU:$AV, 2, FALSE), 0)</f>
        <v>0</v>
      </c>
      <c r="AP38">
        <f>IFERROR(VLOOKUP($B38, blitz!$AU:$AV, 2, FALSE), 0)</f>
        <v>0</v>
      </c>
      <c r="AQ38" t="b">
        <f t="shared" si="10"/>
        <v>1</v>
      </c>
      <c r="AR38" t="str">
        <f>IFERROR(VLOOKUP($B38, aegis!$AZ:$BA, 2, FALSE), 0)</f>
        <v>2</v>
      </c>
      <c r="AS38" t="str">
        <f>IFERROR(VLOOKUP($B38, duel!$AZ:$BA, 2, FALSE), 0)</f>
        <v>2</v>
      </c>
      <c r="AT38" t="str">
        <f>IFERROR(VLOOKUP($B38, blitz!$AZ:$BA, 2, FALSE), 0)</f>
        <v>2</v>
      </c>
      <c r="AU38" t="b">
        <f t="shared" si="11"/>
        <v>1</v>
      </c>
      <c r="AV38" t="str">
        <f>IFERROR(VLOOKUP($B38, aegis!$BE:$BF, 2, FALSE), 0)</f>
        <v>2</v>
      </c>
      <c r="AW38" t="str">
        <f>IFERROR(VLOOKUP($B38, duel!$BE:$BF, 2, FALSE), 0)</f>
        <v>2</v>
      </c>
      <c r="AX38" t="str">
        <f>IFERROR(VLOOKUP($B38, blitz!$BE:$BF, 2, FALSE), 0)</f>
        <v>2</v>
      </c>
      <c r="AY38" t="b">
        <f t="shared" si="12"/>
        <v>1</v>
      </c>
      <c r="AZ38" t="str">
        <f>IFERROR(VLOOKUP($B38, aegis!$BJ:$BK, 2, FALSE), 0)</f>
        <v>1</v>
      </c>
      <c r="BA38" t="str">
        <f>IFERROR(VLOOKUP($B38, duel!$BJ:$BK, 2, FALSE), 0)</f>
        <v>1</v>
      </c>
      <c r="BB38" t="str">
        <f>IFERROR(VLOOKUP($B38, blitz!$BJ:$BK, 2, FALSE), 0)</f>
        <v>1</v>
      </c>
      <c r="BC38" t="b">
        <f t="shared" si="13"/>
        <v>1</v>
      </c>
      <c r="BD38">
        <f>IFERROR(VLOOKUP($B38, aegis!$BO:$BP, 2, FALSE), 0)</f>
        <v>0</v>
      </c>
      <c r="BE38">
        <f>IFERROR(VLOOKUP($B38, duel!$BO:$BP, 2, FALSE), 0)</f>
        <v>0</v>
      </c>
      <c r="BF38">
        <f>IFERROR(VLOOKUP($B38, blitz!$BO:$BP, 2, FALSE), 0)</f>
        <v>0</v>
      </c>
      <c r="BG38" t="b">
        <f t="shared" si="14"/>
        <v>1</v>
      </c>
      <c r="BH38" t="str">
        <f>IFERROR(VLOOKUP($B38, aegis!$BT:$BU, 2, FALSE), 0)</f>
        <v>1</v>
      </c>
      <c r="BI38" t="str">
        <f>IFERROR(VLOOKUP($B38, duel!$BT:$BU, 2, FALSE), 0)</f>
        <v>1</v>
      </c>
      <c r="BJ38" t="str">
        <f>IFERROR(VLOOKUP($B38, blitz!$BT:$BU, 2, FALSE), 0)</f>
        <v>1</v>
      </c>
      <c r="BK38" t="b">
        <f t="shared" si="15"/>
        <v>1</v>
      </c>
      <c r="BL38" t="str">
        <f>IFERROR(VLOOKUP($B38, aegis!$BY:$BZ, 2, FALSE), 0)</f>
        <v>1</v>
      </c>
      <c r="BM38" t="str">
        <f>IFERROR(VLOOKUP($B38, duel!$BY:$BZ, 2, FALSE), 0)</f>
        <v>1</v>
      </c>
      <c r="BN38" t="str">
        <f>IFERROR(VLOOKUP($B38, blitz!$BY:$BZ, 2, FALSE), 0)</f>
        <v>1</v>
      </c>
      <c r="BO38" t="b">
        <f t="shared" si="16"/>
        <v>1</v>
      </c>
      <c r="BP38" t="str">
        <f>IFERROR(VLOOKUP($B38, aegis!$CD:$CE, 2, FALSE), 0)</f>
        <v>5</v>
      </c>
      <c r="BQ38" t="str">
        <f>IFERROR(VLOOKUP($B38, duel!$CD:$CE, 2, FALSE), 0)</f>
        <v>5</v>
      </c>
      <c r="BR38" t="str">
        <f>IFERROR(VLOOKUP($B38, blitz!$CD:$CE, 2, FALSE), 0)</f>
        <v>5</v>
      </c>
      <c r="BS38" t="b">
        <f t="shared" si="17"/>
        <v>1</v>
      </c>
      <c r="BT38" t="str">
        <f>IFERROR(VLOOKUP($B38, aegis!$CI:$CJ, 2, FALSE), 0)</f>
        <v>5</v>
      </c>
      <c r="BU38" t="str">
        <f>IFERROR(VLOOKUP($B38, duel!$CI:$CJ, 2, FALSE), 0)</f>
        <v>5</v>
      </c>
      <c r="BV38" t="str">
        <f>IFERROR(VLOOKUP($B38, blitz!$CI:$CJ, 2, FALSE), 0)</f>
        <v>5</v>
      </c>
      <c r="BW38" t="b">
        <f t="shared" si="18"/>
        <v>1</v>
      </c>
      <c r="BX38" t="str">
        <f>IFERROR(VLOOKUP($B38, aegis!$CN:$CO, 2, FALSE), 0)</f>
        <v>5</v>
      </c>
      <c r="BY38" t="str">
        <f>IFERROR(VLOOKUP($B38, duel!$CN:$CO, 2, FALSE), 0)</f>
        <v>5</v>
      </c>
      <c r="BZ38" t="str">
        <f>IFERROR(VLOOKUP($B38, blitz!$CN:$CO, 2, FALSE), 0)</f>
        <v>5</v>
      </c>
      <c r="CA38" t="b">
        <f t="shared" si="19"/>
        <v>1</v>
      </c>
      <c r="CB38" t="str">
        <f>IFERROR(VLOOKUP($B38, aegis!$CS:$CT, 2, FALSE), 0)</f>
        <v>21</v>
      </c>
      <c r="CC38" t="str">
        <f>IFERROR(VLOOKUP($B38, duel!$CS:$CT, 2, FALSE), 0)</f>
        <v>21</v>
      </c>
      <c r="CD38" t="str">
        <f>IFERROR(VLOOKUP($B38, blitz!$CS:$CT, 2, FALSE), 0)</f>
        <v>21</v>
      </c>
      <c r="CE38" t="b">
        <f t="shared" si="20"/>
        <v>1</v>
      </c>
      <c r="CF38" t="str">
        <f>IFERROR(VLOOKUP($B38, aegis!$CX:$CY, 2, FALSE), 0)</f>
        <v>192</v>
      </c>
      <c r="CG38" t="str">
        <f>IFERROR(VLOOKUP($B38, duel!$CX:$CY, 2, FALSE), 0)</f>
        <v>192</v>
      </c>
      <c r="CH38" t="str">
        <f>IFERROR(VLOOKUP($B38, blitz!$CX:$CY, 2, FALSE), 0)</f>
        <v>140</v>
      </c>
      <c r="CI38" t="b">
        <f t="shared" si="21"/>
        <v>0</v>
      </c>
      <c r="CJ38" t="str">
        <f>IFERROR(VLOOKUP($B38, aegis!$DC:$DD, 2, FALSE), 0)</f>
        <v>1</v>
      </c>
      <c r="CK38" t="str">
        <f>IFERROR(VLOOKUP($B38, duel!$DC:$DD, 2, FALSE), 0)</f>
        <v>1</v>
      </c>
      <c r="CL38" t="str">
        <f>IFERROR(VLOOKUP($B38, blitz!$DC:$DD, 2, FALSE), 0)</f>
        <v>1</v>
      </c>
      <c r="CM38" t="b">
        <f t="shared" si="22"/>
        <v>1</v>
      </c>
      <c r="CN38" t="str">
        <f>IFERROR(VLOOKUP($B38, aegis!$DH:$DI, 2, FALSE), 0)</f>
        <v>4</v>
      </c>
      <c r="CO38" t="str">
        <f>IFERROR(VLOOKUP($B38, duel!$DH:$DI, 2, FALSE), 0)</f>
        <v>4</v>
      </c>
      <c r="CP38" s="13">
        <f>IFERROR(VLOOKUP($B38, blitz!$DH:$DI, 2, FALSE), 0)</f>
        <v>0</v>
      </c>
      <c r="CQ38" t="b">
        <f t="shared" si="23"/>
        <v>1</v>
      </c>
      <c r="CR38" t="str">
        <f>IFERROR(VLOOKUP($B38, aegis!$DM:$DN, 2, FALSE), 0)</f>
        <v>1</v>
      </c>
      <c r="CS38" t="str">
        <f>IFERROR(VLOOKUP($B38, duel!$DM:$DN, 2, FALSE), 0)</f>
        <v>1</v>
      </c>
      <c r="CT38" t="str">
        <f>IFERROR(VLOOKUP($B38, blitz!$DM:$DN, 2, FALSE), 0)</f>
        <v>1</v>
      </c>
      <c r="CU38" t="b">
        <f t="shared" si="24"/>
        <v>1</v>
      </c>
      <c r="CV38" t="str">
        <f>IFERROR(VLOOKUP($B38, aegis!$DR:$DS, 2, FALSE), 0)</f>
        <v>142</v>
      </c>
      <c r="CW38" t="str">
        <f>IFERROR(VLOOKUP($B38, duel!$DR:$DS, 2, FALSE), 0)</f>
        <v>142</v>
      </c>
      <c r="CX38" t="str">
        <f>IFERROR(VLOOKUP($B38, blitz!$DR:$DS, 2, FALSE), 0)</f>
        <v>142</v>
      </c>
      <c r="CY38" t="b">
        <f t="shared" si="25"/>
        <v>1</v>
      </c>
    </row>
    <row r="39" spans="1:103">
      <c r="A39" t="s">
        <v>1733</v>
      </c>
      <c r="B39" s="6" t="s">
        <v>73</v>
      </c>
      <c r="C39" s="5" t="b">
        <f t="shared" si="0"/>
        <v>0</v>
      </c>
      <c r="D39" t="str">
        <f>IFERROR(VLOOKUP($B39, aegis!$B:$C, 2, FALSE), 0)</f>
        <v>72</v>
      </c>
      <c r="E39" t="str">
        <f>IFERROR(VLOOKUP($B39, duel!$B:$C, 2, FALSE), 0)</f>
        <v>72</v>
      </c>
      <c r="F39" t="str">
        <f>IFERROR(VLOOKUP($B39, blitz!$B:$C, 2, FALSE), 0)</f>
        <v>72</v>
      </c>
      <c r="G39" t="b">
        <f t="shared" si="1"/>
        <v>1</v>
      </c>
      <c r="H39" t="str">
        <f>IFERROR(VLOOKUP($B39, aegis!$G:$H, 2, FALSE), 0)</f>
        <v>42</v>
      </c>
      <c r="I39" t="str">
        <f>IFERROR(VLOOKUP($B39, duel!$G:$H, 2, FALSE), 0)</f>
        <v>42</v>
      </c>
      <c r="J39" t="str">
        <f>IFERROR(VLOOKUP($B39, blitz!$G:$H, 2, FALSE), 0)</f>
        <v>42</v>
      </c>
      <c r="K39" t="b">
        <f t="shared" si="2"/>
        <v>1</v>
      </c>
      <c r="L39" t="str">
        <f>IFERROR(VLOOKUP($B39, aegis!$L:$M, 2, FALSE), 0)</f>
        <v>72</v>
      </c>
      <c r="M39" t="str">
        <f>IFERROR(VLOOKUP($B39, duel!$L:$M, 2, FALSE), 0)</f>
        <v>72</v>
      </c>
      <c r="N39" t="str">
        <f>IFERROR(VLOOKUP($B39, blitz!$L:$M, 2, FALSE), 0)</f>
        <v>72</v>
      </c>
      <c r="O39" t="b">
        <f t="shared" si="3"/>
        <v>1</v>
      </c>
      <c r="P39" t="str">
        <f>IFERROR(VLOOKUP($B39, aegis!$Q:$R, 2, FALSE), 0)</f>
        <v>42</v>
      </c>
      <c r="Q39" t="str">
        <f>IFERROR(VLOOKUP($B39, duel!$Q:$R, 2, FALSE), 0)</f>
        <v>42</v>
      </c>
      <c r="R39" t="str">
        <f>IFERROR(VLOOKUP($B39, blitz!$Q:$R, 2, FALSE), 0)</f>
        <v>42</v>
      </c>
      <c r="S39" t="b">
        <f t="shared" si="4"/>
        <v>1</v>
      </c>
      <c r="T39" t="str">
        <f>IFERROR(VLOOKUP($B39, aegis!$V:$W, 2, FALSE), 0)</f>
        <v>294</v>
      </c>
      <c r="U39" t="str">
        <f>IFERROR(VLOOKUP($B39, duel!$V:$W, 2, FALSE), 0)</f>
        <v>294</v>
      </c>
      <c r="V39" t="str">
        <f>IFERROR(VLOOKUP($B39, blitz!$V:$W, 2, FALSE), 0)</f>
        <v>294</v>
      </c>
      <c r="W39" t="b">
        <f t="shared" si="5"/>
        <v>1</v>
      </c>
      <c r="X39" t="str">
        <f>IFERROR(VLOOKUP($B39, aegis!$AA:$AB, 2, FALSE), 0)</f>
        <v>3</v>
      </c>
      <c r="Y39" t="str">
        <f>IFERROR(VLOOKUP($B39, duel!$AA:$AB, 2, FALSE), 0)</f>
        <v>6</v>
      </c>
      <c r="Z39" t="str">
        <f>IFERROR(VLOOKUP($B39, blitz!$AA:$AB, 2, FALSE), 0)</f>
        <v>3</v>
      </c>
      <c r="AA39" t="b">
        <f t="shared" si="6"/>
        <v>0</v>
      </c>
      <c r="AB39" t="str">
        <f>IFERROR(VLOOKUP($B39, aegis!$AF:$AG, 2, FALSE), 0)</f>
        <v>124</v>
      </c>
      <c r="AC39" t="str">
        <f>IFERROR(VLOOKUP($B39, duel!$AF:$AG, 2, FALSE), 0)</f>
        <v>124</v>
      </c>
      <c r="AD39" t="str">
        <f>IFERROR(VLOOKUP($B39, blitz!$AF:$AG, 2, FALSE), 0)</f>
        <v>124</v>
      </c>
      <c r="AE39" t="b">
        <f t="shared" si="7"/>
        <v>1</v>
      </c>
      <c r="AF39" t="str">
        <f>IFERROR(VLOOKUP($B39, aegis!$AK:$AL, 2, FALSE), 0)</f>
        <v>4</v>
      </c>
      <c r="AG39" t="str">
        <f>IFERROR(VLOOKUP($B39, duel!$AK:$AL, 2, FALSE), 0)</f>
        <v>1</v>
      </c>
      <c r="AH39" t="str">
        <f>IFERROR(VLOOKUP($B39, blitz!$AK:$AL, 2, FALSE), 0)</f>
        <v>1</v>
      </c>
      <c r="AI39" t="b">
        <f t="shared" si="8"/>
        <v>0</v>
      </c>
      <c r="AJ39" t="str">
        <f>IFERROR(VLOOKUP($B39, aegis!$AP:$AQ, 2, FALSE), 0)</f>
        <v>4</v>
      </c>
      <c r="AK39" t="str">
        <f>IFERROR(VLOOKUP($B39, duel!$AP:$AQ, 2, FALSE), 0)</f>
        <v>4</v>
      </c>
      <c r="AL39" t="str">
        <f>IFERROR(VLOOKUP($B39, blitz!$AP:$AQ, 2, FALSE), 0)</f>
        <v>4</v>
      </c>
      <c r="AM39" t="b">
        <f t="shared" si="9"/>
        <v>1</v>
      </c>
      <c r="AN39">
        <f>IFERROR(VLOOKUP($B39, aegis!$AU:$AV, 2, FALSE), 0)</f>
        <v>0</v>
      </c>
      <c r="AO39">
        <f>IFERROR(VLOOKUP($B39, duel!$AU:$AV, 2, FALSE), 0)</f>
        <v>0</v>
      </c>
      <c r="AP39">
        <f>IFERROR(VLOOKUP($B39, blitz!$AU:$AV, 2, FALSE), 0)</f>
        <v>0</v>
      </c>
      <c r="AQ39" t="b">
        <f t="shared" si="10"/>
        <v>1</v>
      </c>
      <c r="AR39" t="str">
        <f>IFERROR(VLOOKUP($B39, aegis!$AZ:$BA, 2, FALSE), 0)</f>
        <v>3</v>
      </c>
      <c r="AS39" t="str">
        <f>IFERROR(VLOOKUP($B39, duel!$AZ:$BA, 2, FALSE), 0)</f>
        <v>3</v>
      </c>
      <c r="AT39" t="str">
        <f>IFERROR(VLOOKUP($B39, blitz!$AZ:$BA, 2, FALSE), 0)</f>
        <v>3</v>
      </c>
      <c r="AU39" t="b">
        <f t="shared" si="11"/>
        <v>1</v>
      </c>
      <c r="AV39" t="str">
        <f>IFERROR(VLOOKUP($B39, aegis!$BE:$BF, 2, FALSE), 0)</f>
        <v>3</v>
      </c>
      <c r="AW39" t="str">
        <f>IFERROR(VLOOKUP($B39, duel!$BE:$BF, 2, FALSE), 0)</f>
        <v>3</v>
      </c>
      <c r="AX39" t="str">
        <f>IFERROR(VLOOKUP($B39, blitz!$BE:$BF, 2, FALSE), 0)</f>
        <v>3</v>
      </c>
      <c r="AY39" t="b">
        <f t="shared" si="12"/>
        <v>1</v>
      </c>
      <c r="AZ39" t="str">
        <f>IFERROR(VLOOKUP($B39, aegis!$BJ:$BK, 2, FALSE), 0)</f>
        <v>1</v>
      </c>
      <c r="BA39" t="str">
        <f>IFERROR(VLOOKUP($B39, duel!$BJ:$BK, 2, FALSE), 0)</f>
        <v>1</v>
      </c>
      <c r="BB39" t="str">
        <f>IFERROR(VLOOKUP($B39, blitz!$BJ:$BK, 2, FALSE), 0)</f>
        <v>1</v>
      </c>
      <c r="BC39" t="b">
        <f t="shared" si="13"/>
        <v>1</v>
      </c>
      <c r="BD39">
        <f>IFERROR(VLOOKUP($B39, aegis!$BO:$BP, 2, FALSE), 0)</f>
        <v>0</v>
      </c>
      <c r="BE39">
        <f>IFERROR(VLOOKUP($B39, duel!$BO:$BP, 2, FALSE), 0)</f>
        <v>0</v>
      </c>
      <c r="BF39">
        <f>IFERROR(VLOOKUP($B39, blitz!$BO:$BP, 2, FALSE), 0)</f>
        <v>0</v>
      </c>
      <c r="BG39" t="b">
        <f t="shared" si="14"/>
        <v>1</v>
      </c>
      <c r="BH39" t="str">
        <f>IFERROR(VLOOKUP($B39, aegis!$BT:$BU, 2, FALSE), 0)</f>
        <v>93</v>
      </c>
      <c r="BI39" t="str">
        <f>IFERROR(VLOOKUP($B39, duel!$BT:$BU, 2, FALSE), 0)</f>
        <v>93</v>
      </c>
      <c r="BJ39" t="str">
        <f>IFERROR(VLOOKUP($B39, blitz!$BT:$BU, 2, FALSE), 0)</f>
        <v>93</v>
      </c>
      <c r="BK39" t="b">
        <f t="shared" si="15"/>
        <v>1</v>
      </c>
      <c r="BL39">
        <f>IFERROR(VLOOKUP($B39, aegis!$BY:$BZ, 2, FALSE), 0)</f>
        <v>0</v>
      </c>
      <c r="BM39">
        <f>IFERROR(VLOOKUP($B39, duel!$BY:$BZ, 2, FALSE), 0)</f>
        <v>0</v>
      </c>
      <c r="BN39">
        <f>IFERROR(VLOOKUP($B39, blitz!$BY:$BZ, 2, FALSE), 0)</f>
        <v>0</v>
      </c>
      <c r="BO39" t="b">
        <f t="shared" si="16"/>
        <v>1</v>
      </c>
      <c r="BP39" t="str">
        <f>IFERROR(VLOOKUP($B39, aegis!$CD:$CE, 2, FALSE), 0)</f>
        <v>9</v>
      </c>
      <c r="BQ39" t="str">
        <f>IFERROR(VLOOKUP($B39, duel!$CD:$CE, 2, FALSE), 0)</f>
        <v>9</v>
      </c>
      <c r="BR39" t="str">
        <f>IFERROR(VLOOKUP($B39, blitz!$CD:$CE, 2, FALSE), 0)</f>
        <v>9</v>
      </c>
      <c r="BS39" t="b">
        <f t="shared" si="17"/>
        <v>1</v>
      </c>
      <c r="BT39">
        <f>IFERROR(VLOOKUP($B39, aegis!$CI:$CJ, 2, FALSE), 0)</f>
        <v>0</v>
      </c>
      <c r="BU39">
        <f>IFERROR(VLOOKUP($B39, duel!$CI:$CJ, 2, FALSE), 0)</f>
        <v>0</v>
      </c>
      <c r="BV39">
        <f>IFERROR(VLOOKUP($B39, blitz!$CI:$CJ, 2, FALSE), 0)</f>
        <v>0</v>
      </c>
      <c r="BW39" t="b">
        <f t="shared" si="18"/>
        <v>1</v>
      </c>
      <c r="BX39">
        <f>IFERROR(VLOOKUP($B39, aegis!$CN:$CO, 2, FALSE), 0)</f>
        <v>0</v>
      </c>
      <c r="BY39">
        <f>IFERROR(VLOOKUP($B39, duel!$CN:$CO, 2, FALSE), 0)</f>
        <v>0</v>
      </c>
      <c r="BZ39">
        <f>IFERROR(VLOOKUP($B39, blitz!$CN:$CO, 2, FALSE), 0)</f>
        <v>0</v>
      </c>
      <c r="CA39" t="b">
        <f t="shared" si="19"/>
        <v>1</v>
      </c>
      <c r="CB39">
        <f>IFERROR(VLOOKUP($B39, aegis!$CS:$CT, 2, FALSE), 0)</f>
        <v>0</v>
      </c>
      <c r="CC39">
        <f>IFERROR(VLOOKUP($B39, duel!$CS:$CT, 2, FALSE), 0)</f>
        <v>0</v>
      </c>
      <c r="CD39">
        <f>IFERROR(VLOOKUP($B39, blitz!$CS:$CT, 2, FALSE), 0)</f>
        <v>0</v>
      </c>
      <c r="CE39" t="b">
        <f t="shared" si="20"/>
        <v>1</v>
      </c>
      <c r="CF39" t="str">
        <f>IFERROR(VLOOKUP($B39, aegis!$CX:$CY, 2, FALSE), 0)</f>
        <v>18058</v>
      </c>
      <c r="CG39" t="str">
        <f>IFERROR(VLOOKUP($B39, duel!$CX:$CY, 2, FALSE), 0)</f>
        <v>18053</v>
      </c>
      <c r="CH39" t="str">
        <f>IFERROR(VLOOKUP($B39, blitz!$CX:$CY, 2, FALSE), 0)</f>
        <v>3257</v>
      </c>
      <c r="CI39" t="b">
        <f t="shared" si="21"/>
        <v>0</v>
      </c>
      <c r="CJ39" t="str">
        <f>IFERROR(VLOOKUP($B39, aegis!$DC:$DD, 2, FALSE), 0)</f>
        <v>1</v>
      </c>
      <c r="CK39" t="str">
        <f>IFERROR(VLOOKUP($B39, duel!$DC:$DD, 2, FALSE), 0)</f>
        <v>1</v>
      </c>
      <c r="CL39" t="str">
        <f>IFERROR(VLOOKUP($B39, blitz!$DC:$DD, 2, FALSE), 0)</f>
        <v>1</v>
      </c>
      <c r="CM39" t="b">
        <f t="shared" si="22"/>
        <v>1</v>
      </c>
      <c r="CN39" t="str">
        <f>IFERROR(VLOOKUP($B39, aegis!$DH:$DI, 2, FALSE), 0)</f>
        <v>11</v>
      </c>
      <c r="CO39" t="str">
        <f>IFERROR(VLOOKUP($B39, duel!$DH:$DI, 2, FALSE), 0)</f>
        <v>11</v>
      </c>
      <c r="CP39" s="13">
        <f>IFERROR(VLOOKUP($B39, blitz!$DH:$DI, 2, FALSE), 0)</f>
        <v>0</v>
      </c>
      <c r="CQ39" t="b">
        <f t="shared" si="23"/>
        <v>1</v>
      </c>
      <c r="CR39" t="str">
        <f>IFERROR(VLOOKUP($B39, aegis!$DM:$DN, 2, FALSE), 0)</f>
        <v>4</v>
      </c>
      <c r="CS39" t="str">
        <f>IFERROR(VLOOKUP($B39, duel!$DM:$DN, 2, FALSE), 0)</f>
        <v>4</v>
      </c>
      <c r="CT39" t="str">
        <f>IFERROR(VLOOKUP($B39, blitz!$DM:$DN, 2, FALSE), 0)</f>
        <v>4</v>
      </c>
      <c r="CU39" t="b">
        <f t="shared" si="24"/>
        <v>1</v>
      </c>
      <c r="CV39" t="str">
        <f>IFERROR(VLOOKUP($B39, aegis!$DR:$DS, 2, FALSE), 0)</f>
        <v>124</v>
      </c>
      <c r="CW39" t="str">
        <f>IFERROR(VLOOKUP($B39, duel!$DR:$DS, 2, FALSE), 0)</f>
        <v>124</v>
      </c>
      <c r="CX39" t="str">
        <f>IFERROR(VLOOKUP($B39, blitz!$DR:$DS, 2, FALSE), 0)</f>
        <v>124</v>
      </c>
      <c r="CY39" t="b">
        <f t="shared" si="25"/>
        <v>1</v>
      </c>
    </row>
    <row r="40" spans="1:103">
      <c r="B40" s="6" t="s">
        <v>75</v>
      </c>
      <c r="C40" s="5" t="b">
        <f t="shared" si="0"/>
        <v>0</v>
      </c>
      <c r="D40" t="str">
        <f>IFERROR(VLOOKUP($B40, aegis!$B:$C, 2, FALSE), 0)</f>
        <v>24</v>
      </c>
      <c r="E40" t="str">
        <f>IFERROR(VLOOKUP($B40, duel!$B:$C, 2, FALSE), 0)</f>
        <v>24</v>
      </c>
      <c r="F40" t="str">
        <f>IFERROR(VLOOKUP($B40, blitz!$B:$C, 2, FALSE), 0)</f>
        <v>24</v>
      </c>
      <c r="G40" t="b">
        <f t="shared" si="1"/>
        <v>1</v>
      </c>
      <c r="H40" t="str">
        <f>IFERROR(VLOOKUP($B40, aegis!$G:$H, 2, FALSE), 0)</f>
        <v>14</v>
      </c>
      <c r="I40" t="str">
        <f>IFERROR(VLOOKUP($B40, duel!$G:$H, 2, FALSE), 0)</f>
        <v>14</v>
      </c>
      <c r="J40" t="str">
        <f>IFERROR(VLOOKUP($B40, blitz!$G:$H, 2, FALSE), 0)</f>
        <v>14</v>
      </c>
      <c r="K40" t="b">
        <f t="shared" si="2"/>
        <v>1</v>
      </c>
      <c r="L40" t="str">
        <f>IFERROR(VLOOKUP($B40, aegis!$L:$M, 2, FALSE), 0)</f>
        <v>24</v>
      </c>
      <c r="M40" t="str">
        <f>IFERROR(VLOOKUP($B40, duel!$L:$M, 2, FALSE), 0)</f>
        <v>24</v>
      </c>
      <c r="N40" t="str">
        <f>IFERROR(VLOOKUP($B40, blitz!$L:$M, 2, FALSE), 0)</f>
        <v>24</v>
      </c>
      <c r="O40" t="b">
        <f t="shared" si="3"/>
        <v>1</v>
      </c>
      <c r="P40" t="str">
        <f>IFERROR(VLOOKUP($B40, aegis!$Q:$R, 2, FALSE), 0)</f>
        <v>14</v>
      </c>
      <c r="Q40" t="str">
        <f>IFERROR(VLOOKUP($B40, duel!$Q:$R, 2, FALSE), 0)</f>
        <v>14</v>
      </c>
      <c r="R40" t="str">
        <f>IFERROR(VLOOKUP($B40, blitz!$Q:$R, 2, FALSE), 0)</f>
        <v>14</v>
      </c>
      <c r="S40" t="b">
        <f t="shared" si="4"/>
        <v>1</v>
      </c>
      <c r="T40" t="str">
        <f>IFERROR(VLOOKUP($B40, aegis!$V:$W, 2, FALSE), 0)</f>
        <v>3</v>
      </c>
      <c r="U40" t="str">
        <f>IFERROR(VLOOKUP($B40, duel!$V:$W, 2, FALSE), 0)</f>
        <v>3</v>
      </c>
      <c r="V40" t="str">
        <f>IFERROR(VLOOKUP($B40, blitz!$V:$W, 2, FALSE), 0)</f>
        <v>3</v>
      </c>
      <c r="W40" t="b">
        <f t="shared" si="5"/>
        <v>1</v>
      </c>
      <c r="X40" t="str">
        <f>IFERROR(VLOOKUP($B40, aegis!$AA:$AB, 2, FALSE), 0)</f>
        <v>2</v>
      </c>
      <c r="Y40" t="str">
        <f>IFERROR(VLOOKUP($B40, duel!$AA:$AB, 2, FALSE), 0)</f>
        <v>4</v>
      </c>
      <c r="Z40" t="str">
        <f>IFERROR(VLOOKUP($B40, blitz!$AA:$AB, 2, FALSE), 0)</f>
        <v>2</v>
      </c>
      <c r="AA40" t="b">
        <f t="shared" si="6"/>
        <v>0</v>
      </c>
      <c r="AB40" t="str">
        <f>IFERROR(VLOOKUP($B40, aegis!$AF:$AG, 2, FALSE), 0)</f>
        <v>3</v>
      </c>
      <c r="AC40" t="str">
        <f>IFERROR(VLOOKUP($B40, duel!$AF:$AG, 2, FALSE), 0)</f>
        <v>3</v>
      </c>
      <c r="AD40" t="str">
        <f>IFERROR(VLOOKUP($B40, blitz!$AF:$AG, 2, FALSE), 0)</f>
        <v>3</v>
      </c>
      <c r="AE40" t="b">
        <f t="shared" si="7"/>
        <v>1</v>
      </c>
      <c r="AF40" t="str">
        <f>IFERROR(VLOOKUP($B40, aegis!$AK:$AL, 2, FALSE), 0)</f>
        <v>3</v>
      </c>
      <c r="AG40" t="str">
        <f>IFERROR(VLOOKUP($B40, duel!$AK:$AL, 2, FALSE), 0)</f>
        <v>1</v>
      </c>
      <c r="AH40" t="str">
        <f>IFERROR(VLOOKUP($B40, blitz!$AK:$AL, 2, FALSE), 0)</f>
        <v>1</v>
      </c>
      <c r="AI40" t="b">
        <f t="shared" si="8"/>
        <v>0</v>
      </c>
      <c r="AJ40" t="str">
        <f>IFERROR(VLOOKUP($B40, aegis!$AP:$AQ, 2, FALSE), 0)</f>
        <v>2</v>
      </c>
      <c r="AK40" t="str">
        <f>IFERROR(VLOOKUP($B40, duel!$AP:$AQ, 2, FALSE), 0)</f>
        <v>2</v>
      </c>
      <c r="AL40" t="str">
        <f>IFERROR(VLOOKUP($B40, blitz!$AP:$AQ, 2, FALSE), 0)</f>
        <v>2</v>
      </c>
      <c r="AM40" t="b">
        <f t="shared" si="9"/>
        <v>1</v>
      </c>
      <c r="AN40">
        <f>IFERROR(VLOOKUP($B40, aegis!$AU:$AV, 2, FALSE), 0)</f>
        <v>0</v>
      </c>
      <c r="AO40">
        <f>IFERROR(VLOOKUP($B40, duel!$AU:$AV, 2, FALSE), 0)</f>
        <v>0</v>
      </c>
      <c r="AP40">
        <f>IFERROR(VLOOKUP($B40, blitz!$AU:$AV, 2, FALSE), 0)</f>
        <v>0</v>
      </c>
      <c r="AQ40" t="b">
        <f t="shared" si="10"/>
        <v>1</v>
      </c>
      <c r="AR40" t="str">
        <f>IFERROR(VLOOKUP($B40, aegis!$AZ:$BA, 2, FALSE), 0)</f>
        <v>2</v>
      </c>
      <c r="AS40" t="str">
        <f>IFERROR(VLOOKUP($B40, duel!$AZ:$BA, 2, FALSE), 0)</f>
        <v>2</v>
      </c>
      <c r="AT40" t="str">
        <f>IFERROR(VLOOKUP($B40, blitz!$AZ:$BA, 2, FALSE), 0)</f>
        <v>2</v>
      </c>
      <c r="AU40" t="b">
        <f t="shared" si="11"/>
        <v>1</v>
      </c>
      <c r="AV40" t="str">
        <f>IFERROR(VLOOKUP($B40, aegis!$BE:$BF, 2, FALSE), 0)</f>
        <v>2</v>
      </c>
      <c r="AW40" t="str">
        <f>IFERROR(VLOOKUP($B40, duel!$BE:$BF, 2, FALSE), 0)</f>
        <v>2</v>
      </c>
      <c r="AX40" t="str">
        <f>IFERROR(VLOOKUP($B40, blitz!$BE:$BF, 2, FALSE), 0)</f>
        <v>2</v>
      </c>
      <c r="AY40" t="b">
        <f t="shared" si="12"/>
        <v>1</v>
      </c>
      <c r="AZ40" t="str">
        <f>IFERROR(VLOOKUP($B40, aegis!$BJ:$BK, 2, FALSE), 0)</f>
        <v>1</v>
      </c>
      <c r="BA40" t="str">
        <f>IFERROR(VLOOKUP($B40, duel!$BJ:$BK, 2, FALSE), 0)</f>
        <v>1</v>
      </c>
      <c r="BB40" t="str">
        <f>IFERROR(VLOOKUP($B40, blitz!$BJ:$BK, 2, FALSE), 0)</f>
        <v>1</v>
      </c>
      <c r="BC40" t="b">
        <f t="shared" si="13"/>
        <v>1</v>
      </c>
      <c r="BD40">
        <f>IFERROR(VLOOKUP($B40, aegis!$BO:$BP, 2, FALSE), 0)</f>
        <v>0</v>
      </c>
      <c r="BE40">
        <f>IFERROR(VLOOKUP($B40, duel!$BO:$BP, 2, FALSE), 0)</f>
        <v>0</v>
      </c>
      <c r="BF40">
        <f>IFERROR(VLOOKUP($B40, blitz!$BO:$BP, 2, FALSE), 0)</f>
        <v>0</v>
      </c>
      <c r="BG40" t="b">
        <f t="shared" si="14"/>
        <v>1</v>
      </c>
      <c r="BH40" t="str">
        <f>IFERROR(VLOOKUP($B40, aegis!$BT:$BU, 2, FALSE), 0)</f>
        <v>1</v>
      </c>
      <c r="BI40" t="str">
        <f>IFERROR(VLOOKUP($B40, duel!$BT:$BU, 2, FALSE), 0)</f>
        <v>1</v>
      </c>
      <c r="BJ40" t="str">
        <f>IFERROR(VLOOKUP($B40, blitz!$BT:$BU, 2, FALSE), 0)</f>
        <v>1</v>
      </c>
      <c r="BK40" t="b">
        <f t="shared" si="15"/>
        <v>1</v>
      </c>
      <c r="BL40">
        <f>IFERROR(VLOOKUP($B40, aegis!$BY:$BZ, 2, FALSE), 0)</f>
        <v>0</v>
      </c>
      <c r="BM40">
        <f>IFERROR(VLOOKUP($B40, duel!$BY:$BZ, 2, FALSE), 0)</f>
        <v>0</v>
      </c>
      <c r="BN40">
        <f>IFERROR(VLOOKUP($B40, blitz!$BY:$BZ, 2, FALSE), 0)</f>
        <v>0</v>
      </c>
      <c r="BO40" t="b">
        <f t="shared" si="16"/>
        <v>1</v>
      </c>
      <c r="BP40" t="str">
        <f>IFERROR(VLOOKUP($B40, aegis!$CD:$CE, 2, FALSE), 0)</f>
        <v>5</v>
      </c>
      <c r="BQ40" t="str">
        <f>IFERROR(VLOOKUP($B40, duel!$CD:$CE, 2, FALSE), 0)</f>
        <v>5</v>
      </c>
      <c r="BR40" t="str">
        <f>IFERROR(VLOOKUP($B40, blitz!$CD:$CE, 2, FALSE), 0)</f>
        <v>5</v>
      </c>
      <c r="BS40" t="b">
        <f t="shared" si="17"/>
        <v>1</v>
      </c>
      <c r="BT40">
        <f>IFERROR(VLOOKUP($B40, aegis!$CI:$CJ, 2, FALSE), 0)</f>
        <v>0</v>
      </c>
      <c r="BU40">
        <f>IFERROR(VLOOKUP($B40, duel!$CI:$CJ, 2, FALSE), 0)</f>
        <v>0</v>
      </c>
      <c r="BV40">
        <f>IFERROR(VLOOKUP($B40, blitz!$CI:$CJ, 2, FALSE), 0)</f>
        <v>0</v>
      </c>
      <c r="BW40" t="b">
        <f t="shared" si="18"/>
        <v>1</v>
      </c>
      <c r="BX40">
        <f>IFERROR(VLOOKUP($B40, aegis!$CN:$CO, 2, FALSE), 0)</f>
        <v>0</v>
      </c>
      <c r="BY40">
        <f>IFERROR(VLOOKUP($B40, duel!$CN:$CO, 2, FALSE), 0)</f>
        <v>0</v>
      </c>
      <c r="BZ40">
        <f>IFERROR(VLOOKUP($B40, blitz!$CN:$CO, 2, FALSE), 0)</f>
        <v>0</v>
      </c>
      <c r="CA40" t="b">
        <f t="shared" si="19"/>
        <v>1</v>
      </c>
      <c r="CB40">
        <f>IFERROR(VLOOKUP($B40, aegis!$CS:$CT, 2, FALSE), 0)</f>
        <v>0</v>
      </c>
      <c r="CC40">
        <f>IFERROR(VLOOKUP($B40, duel!$CS:$CT, 2, FALSE), 0)</f>
        <v>0</v>
      </c>
      <c r="CD40">
        <f>IFERROR(VLOOKUP($B40, blitz!$CS:$CT, 2, FALSE), 0)</f>
        <v>0</v>
      </c>
      <c r="CE40" t="b">
        <f t="shared" si="20"/>
        <v>1</v>
      </c>
      <c r="CF40">
        <f>IFERROR(VLOOKUP($B40, aegis!$CX:$CY, 2, FALSE), 0)</f>
        <v>0</v>
      </c>
      <c r="CG40">
        <f>IFERROR(VLOOKUP($B40, duel!$CX:$CY, 2, FALSE), 0)</f>
        <v>0</v>
      </c>
      <c r="CH40">
        <f>IFERROR(VLOOKUP($B40, blitz!$CX:$CY, 2, FALSE), 0)</f>
        <v>0</v>
      </c>
      <c r="CI40" t="b">
        <f t="shared" si="21"/>
        <v>1</v>
      </c>
      <c r="CJ40" t="str">
        <f>IFERROR(VLOOKUP($B40, aegis!$DC:$DD, 2, FALSE), 0)</f>
        <v>1</v>
      </c>
      <c r="CK40" t="str">
        <f>IFERROR(VLOOKUP($B40, duel!$DC:$DD, 2, FALSE), 0)</f>
        <v>1</v>
      </c>
      <c r="CL40" t="str">
        <f>IFERROR(VLOOKUP($B40, blitz!$DC:$DD, 2, FALSE), 0)</f>
        <v>1</v>
      </c>
      <c r="CM40" t="b">
        <f t="shared" si="22"/>
        <v>1</v>
      </c>
      <c r="CN40" t="str">
        <f>IFERROR(VLOOKUP($B40, aegis!$DH:$DI, 2, FALSE), 0)</f>
        <v>1</v>
      </c>
      <c r="CO40" t="str">
        <f>IFERROR(VLOOKUP($B40, duel!$DH:$DI, 2, FALSE), 0)</f>
        <v>1</v>
      </c>
      <c r="CP40" s="13">
        <f>IFERROR(VLOOKUP($B40, blitz!$DH:$DI, 2, FALSE), 0)</f>
        <v>0</v>
      </c>
      <c r="CQ40" t="b">
        <f t="shared" si="23"/>
        <v>1</v>
      </c>
      <c r="CR40" t="str">
        <f>IFERROR(VLOOKUP($B40, aegis!$DM:$DN, 2, FALSE), 0)</f>
        <v>1</v>
      </c>
      <c r="CS40" t="str">
        <f>IFERROR(VLOOKUP($B40, duel!$DM:$DN, 2, FALSE), 0)</f>
        <v>1</v>
      </c>
      <c r="CT40" t="str">
        <f>IFERROR(VLOOKUP($B40, blitz!$DM:$DN, 2, FALSE), 0)</f>
        <v>1</v>
      </c>
      <c r="CU40" t="b">
        <f t="shared" si="24"/>
        <v>1</v>
      </c>
      <c r="CV40" t="str">
        <f>IFERROR(VLOOKUP($B40, aegis!$DR:$DS, 2, FALSE), 0)</f>
        <v>3</v>
      </c>
      <c r="CW40" t="str">
        <f>IFERROR(VLOOKUP($B40, duel!$DR:$DS, 2, FALSE), 0)</f>
        <v>3</v>
      </c>
      <c r="CX40" t="str">
        <f>IFERROR(VLOOKUP($B40, blitz!$DR:$DS, 2, FALSE), 0)</f>
        <v>3</v>
      </c>
      <c r="CY40" t="b">
        <f t="shared" si="25"/>
        <v>1</v>
      </c>
    </row>
    <row r="41" spans="1:103">
      <c r="A41" t="s">
        <v>1733</v>
      </c>
      <c r="B41" s="6" t="s">
        <v>76</v>
      </c>
      <c r="C41" s="5" t="b">
        <f t="shared" si="0"/>
        <v>0</v>
      </c>
      <c r="D41" t="str">
        <f>IFERROR(VLOOKUP($B41, aegis!$B:$C, 2, FALSE), 0)</f>
        <v>84</v>
      </c>
      <c r="E41" t="str">
        <f>IFERROR(VLOOKUP($B41, duel!$B:$C, 2, FALSE), 0)</f>
        <v>84</v>
      </c>
      <c r="F41" t="str">
        <f>IFERROR(VLOOKUP($B41, blitz!$B:$C, 2, FALSE), 0)</f>
        <v>84</v>
      </c>
      <c r="G41" t="b">
        <f t="shared" si="1"/>
        <v>1</v>
      </c>
      <c r="H41" t="str">
        <f>IFERROR(VLOOKUP($B41, aegis!$G:$H, 2, FALSE), 0)</f>
        <v>49</v>
      </c>
      <c r="I41" t="str">
        <f>IFERROR(VLOOKUP($B41, duel!$G:$H, 2, FALSE), 0)</f>
        <v>49</v>
      </c>
      <c r="J41" t="str">
        <f>IFERROR(VLOOKUP($B41, blitz!$G:$H, 2, FALSE), 0)</f>
        <v>49</v>
      </c>
      <c r="K41" t="b">
        <f t="shared" si="2"/>
        <v>1</v>
      </c>
      <c r="L41" t="str">
        <f>IFERROR(VLOOKUP($B41, aegis!$L:$M, 2, FALSE), 0)</f>
        <v>84</v>
      </c>
      <c r="M41" t="str">
        <f>IFERROR(VLOOKUP($B41, duel!$L:$M, 2, FALSE), 0)</f>
        <v>84</v>
      </c>
      <c r="N41" t="str">
        <f>IFERROR(VLOOKUP($B41, blitz!$L:$M, 2, FALSE), 0)</f>
        <v>84</v>
      </c>
      <c r="O41" t="b">
        <f t="shared" si="3"/>
        <v>1</v>
      </c>
      <c r="P41" t="str">
        <f>IFERROR(VLOOKUP($B41, aegis!$Q:$R, 2, FALSE), 0)</f>
        <v>49</v>
      </c>
      <c r="Q41" t="str">
        <f>IFERROR(VLOOKUP($B41, duel!$Q:$R, 2, FALSE), 0)</f>
        <v>49</v>
      </c>
      <c r="R41" t="str">
        <f>IFERROR(VLOOKUP($B41, blitz!$Q:$R, 2, FALSE), 0)</f>
        <v>49</v>
      </c>
      <c r="S41" t="b">
        <f t="shared" si="4"/>
        <v>1</v>
      </c>
      <c r="T41" t="str">
        <f>IFERROR(VLOOKUP($B41, aegis!$V:$W, 2, FALSE), 0)</f>
        <v>551</v>
      </c>
      <c r="U41" t="str">
        <f>IFERROR(VLOOKUP($B41, duel!$V:$W, 2, FALSE), 0)</f>
        <v>551</v>
      </c>
      <c r="V41" t="str">
        <f>IFERROR(VLOOKUP($B41, blitz!$V:$W, 2, FALSE), 0)</f>
        <v>551</v>
      </c>
      <c r="W41" t="b">
        <f t="shared" si="5"/>
        <v>1</v>
      </c>
      <c r="X41" t="str">
        <f>IFERROR(VLOOKUP($B41, aegis!$AA:$AB, 2, FALSE), 0)</f>
        <v>2</v>
      </c>
      <c r="Y41" t="str">
        <f>IFERROR(VLOOKUP($B41, duel!$AA:$AB, 2, FALSE), 0)</f>
        <v>4</v>
      </c>
      <c r="Z41" t="str">
        <f>IFERROR(VLOOKUP($B41, blitz!$AA:$AB, 2, FALSE), 0)</f>
        <v>2</v>
      </c>
      <c r="AA41" t="b">
        <f t="shared" si="6"/>
        <v>0</v>
      </c>
      <c r="AB41" t="str">
        <f>IFERROR(VLOOKUP($B41, aegis!$AF:$AG, 2, FALSE), 0)</f>
        <v>115</v>
      </c>
      <c r="AC41" t="str">
        <f>IFERROR(VLOOKUP($B41, duel!$AF:$AG, 2, FALSE), 0)</f>
        <v>115</v>
      </c>
      <c r="AD41" t="str">
        <f>IFERROR(VLOOKUP($B41, blitz!$AF:$AG, 2, FALSE), 0)</f>
        <v>115</v>
      </c>
      <c r="AE41" t="b">
        <f t="shared" si="7"/>
        <v>1</v>
      </c>
      <c r="AF41" t="str">
        <f>IFERROR(VLOOKUP($B41, aegis!$AK:$AL, 2, FALSE), 0)</f>
        <v>3</v>
      </c>
      <c r="AG41" t="str">
        <f>IFERROR(VLOOKUP($B41, duel!$AK:$AL, 2, FALSE), 0)</f>
        <v>1</v>
      </c>
      <c r="AH41" t="str">
        <f>IFERROR(VLOOKUP($B41, blitz!$AK:$AL, 2, FALSE), 0)</f>
        <v>1</v>
      </c>
      <c r="AI41" t="b">
        <f t="shared" si="8"/>
        <v>0</v>
      </c>
      <c r="AJ41" t="str">
        <f>IFERROR(VLOOKUP($B41, aegis!$AP:$AQ, 2, FALSE), 0)</f>
        <v>2</v>
      </c>
      <c r="AK41" t="str">
        <f>IFERROR(VLOOKUP($B41, duel!$AP:$AQ, 2, FALSE), 0)</f>
        <v>2</v>
      </c>
      <c r="AL41" t="str">
        <f>IFERROR(VLOOKUP($B41, blitz!$AP:$AQ, 2, FALSE), 0)</f>
        <v>2</v>
      </c>
      <c r="AM41" t="b">
        <f t="shared" si="9"/>
        <v>1</v>
      </c>
      <c r="AN41">
        <f>IFERROR(VLOOKUP($B41, aegis!$AU:$AV, 2, FALSE), 0)</f>
        <v>0</v>
      </c>
      <c r="AO41">
        <f>IFERROR(VLOOKUP($B41, duel!$AU:$AV, 2, FALSE), 0)</f>
        <v>0</v>
      </c>
      <c r="AP41">
        <f>IFERROR(VLOOKUP($B41, blitz!$AU:$AV, 2, FALSE), 0)</f>
        <v>0</v>
      </c>
      <c r="AQ41" t="b">
        <f t="shared" si="10"/>
        <v>1</v>
      </c>
      <c r="AR41" t="str">
        <f>IFERROR(VLOOKUP($B41, aegis!$AZ:$BA, 2, FALSE), 0)</f>
        <v>2</v>
      </c>
      <c r="AS41" t="str">
        <f>IFERROR(VLOOKUP($B41, duel!$AZ:$BA, 2, FALSE), 0)</f>
        <v>2</v>
      </c>
      <c r="AT41" t="str">
        <f>IFERROR(VLOOKUP($B41, blitz!$AZ:$BA, 2, FALSE), 0)</f>
        <v>2</v>
      </c>
      <c r="AU41" t="b">
        <f t="shared" si="11"/>
        <v>1</v>
      </c>
      <c r="AV41" t="str">
        <f>IFERROR(VLOOKUP($B41, aegis!$BE:$BF, 2, FALSE), 0)</f>
        <v>7</v>
      </c>
      <c r="AW41" t="str">
        <f>IFERROR(VLOOKUP($B41, duel!$BE:$BF, 2, FALSE), 0)</f>
        <v>7</v>
      </c>
      <c r="AX41" t="str">
        <f>IFERROR(VLOOKUP($B41, blitz!$BE:$BF, 2, FALSE), 0)</f>
        <v>7</v>
      </c>
      <c r="AY41" t="b">
        <f t="shared" si="12"/>
        <v>1</v>
      </c>
      <c r="AZ41" t="str">
        <f>IFERROR(VLOOKUP($B41, aegis!$BJ:$BK, 2, FALSE), 0)</f>
        <v>1</v>
      </c>
      <c r="BA41" t="str">
        <f>IFERROR(VLOOKUP($B41, duel!$BJ:$BK, 2, FALSE), 0)</f>
        <v>1</v>
      </c>
      <c r="BB41" t="str">
        <f>IFERROR(VLOOKUP($B41, blitz!$BJ:$BK, 2, FALSE), 0)</f>
        <v>1</v>
      </c>
      <c r="BC41" t="b">
        <f t="shared" si="13"/>
        <v>1</v>
      </c>
      <c r="BD41">
        <f>IFERROR(VLOOKUP($B41, aegis!$BO:$BP, 2, FALSE), 0)</f>
        <v>0</v>
      </c>
      <c r="BE41">
        <f>IFERROR(VLOOKUP($B41, duel!$BO:$BP, 2, FALSE), 0)</f>
        <v>0</v>
      </c>
      <c r="BF41">
        <f>IFERROR(VLOOKUP($B41, blitz!$BO:$BP, 2, FALSE), 0)</f>
        <v>0</v>
      </c>
      <c r="BG41" t="b">
        <f t="shared" si="14"/>
        <v>1</v>
      </c>
      <c r="BH41" t="str">
        <f>IFERROR(VLOOKUP($B41, aegis!$BT:$BU, 2, FALSE), 0)</f>
        <v>41</v>
      </c>
      <c r="BI41" t="str">
        <f>IFERROR(VLOOKUP($B41, duel!$BT:$BU, 2, FALSE), 0)</f>
        <v>41</v>
      </c>
      <c r="BJ41" t="str">
        <f>IFERROR(VLOOKUP($B41, blitz!$BT:$BU, 2, FALSE), 0)</f>
        <v>41</v>
      </c>
      <c r="BK41" t="b">
        <f t="shared" si="15"/>
        <v>1</v>
      </c>
      <c r="BL41" t="str">
        <f>IFERROR(VLOOKUP($B41, aegis!$BY:$BZ, 2, FALSE), 0)</f>
        <v>1</v>
      </c>
      <c r="BM41" t="str">
        <f>IFERROR(VLOOKUP($B41, duel!$BY:$BZ, 2, FALSE), 0)</f>
        <v>1</v>
      </c>
      <c r="BN41" t="str">
        <f>IFERROR(VLOOKUP($B41, blitz!$BY:$BZ, 2, FALSE), 0)</f>
        <v>1</v>
      </c>
      <c r="BO41" t="b">
        <f t="shared" si="16"/>
        <v>1</v>
      </c>
      <c r="BP41" t="str">
        <f>IFERROR(VLOOKUP($B41, aegis!$CD:$CE, 2, FALSE), 0)</f>
        <v>7</v>
      </c>
      <c r="BQ41" t="str">
        <f>IFERROR(VLOOKUP($B41, duel!$CD:$CE, 2, FALSE), 0)</f>
        <v>7</v>
      </c>
      <c r="BR41" t="str">
        <f>IFERROR(VLOOKUP($B41, blitz!$CD:$CE, 2, FALSE), 0)</f>
        <v>7</v>
      </c>
      <c r="BS41" t="b">
        <f t="shared" si="17"/>
        <v>1</v>
      </c>
      <c r="BT41">
        <f>IFERROR(VLOOKUP($B41, aegis!$CI:$CJ, 2, FALSE), 0)</f>
        <v>0</v>
      </c>
      <c r="BU41">
        <f>IFERROR(VLOOKUP($B41, duel!$CI:$CJ, 2, FALSE), 0)</f>
        <v>0</v>
      </c>
      <c r="BV41">
        <f>IFERROR(VLOOKUP($B41, blitz!$CI:$CJ, 2, FALSE), 0)</f>
        <v>0</v>
      </c>
      <c r="BW41" t="b">
        <f t="shared" si="18"/>
        <v>1</v>
      </c>
      <c r="BX41">
        <f>IFERROR(VLOOKUP($B41, aegis!$CN:$CO, 2, FALSE), 0)</f>
        <v>0</v>
      </c>
      <c r="BY41">
        <f>IFERROR(VLOOKUP($B41, duel!$CN:$CO, 2, FALSE), 0)</f>
        <v>0</v>
      </c>
      <c r="BZ41">
        <f>IFERROR(VLOOKUP($B41, blitz!$CN:$CO, 2, FALSE), 0)</f>
        <v>0</v>
      </c>
      <c r="CA41" t="b">
        <f t="shared" si="19"/>
        <v>1</v>
      </c>
      <c r="CB41">
        <f>IFERROR(VLOOKUP($B41, aegis!$CS:$CT, 2, FALSE), 0)</f>
        <v>0</v>
      </c>
      <c r="CC41">
        <f>IFERROR(VLOOKUP($B41, duel!$CS:$CT, 2, FALSE), 0)</f>
        <v>0</v>
      </c>
      <c r="CD41">
        <f>IFERROR(VLOOKUP($B41, blitz!$CS:$CT, 2, FALSE), 0)</f>
        <v>0</v>
      </c>
      <c r="CE41" t="b">
        <f t="shared" si="20"/>
        <v>1</v>
      </c>
      <c r="CF41" t="str">
        <f>IFERROR(VLOOKUP($B41, aegis!$CX:$CY, 2, FALSE), 0)</f>
        <v>27551</v>
      </c>
      <c r="CG41" t="str">
        <f>IFERROR(VLOOKUP($B41, duel!$CX:$CY, 2, FALSE), 0)</f>
        <v>27547</v>
      </c>
      <c r="CH41" t="str">
        <f>IFERROR(VLOOKUP($B41, blitz!$CX:$CY, 2, FALSE), 0)</f>
        <v>5765</v>
      </c>
      <c r="CI41" t="b">
        <f t="shared" si="21"/>
        <v>0</v>
      </c>
      <c r="CJ41" t="str">
        <f>IFERROR(VLOOKUP($B41, aegis!$DC:$DD, 2, FALSE), 0)</f>
        <v>1</v>
      </c>
      <c r="CK41" t="str">
        <f>IFERROR(VLOOKUP($B41, duel!$DC:$DD, 2, FALSE), 0)</f>
        <v>1</v>
      </c>
      <c r="CL41" t="str">
        <f>IFERROR(VLOOKUP($B41, blitz!$DC:$DD, 2, FALSE), 0)</f>
        <v>1</v>
      </c>
      <c r="CM41" t="b">
        <f t="shared" si="22"/>
        <v>1</v>
      </c>
      <c r="CN41" t="str">
        <f>IFERROR(VLOOKUP($B41, aegis!$DH:$DI, 2, FALSE), 0)</f>
        <v>4</v>
      </c>
      <c r="CO41" t="str">
        <f>IFERROR(VLOOKUP($B41, duel!$DH:$DI, 2, FALSE), 0)</f>
        <v>4</v>
      </c>
      <c r="CP41" s="13">
        <f>IFERROR(VLOOKUP($B41, blitz!$DH:$DI, 2, FALSE), 0)</f>
        <v>0</v>
      </c>
      <c r="CQ41" t="b">
        <f t="shared" si="23"/>
        <v>1</v>
      </c>
      <c r="CR41" t="str">
        <f>IFERROR(VLOOKUP($B41, aegis!$DM:$DN, 2, FALSE), 0)</f>
        <v>1</v>
      </c>
      <c r="CS41" t="str">
        <f>IFERROR(VLOOKUP($B41, duel!$DM:$DN, 2, FALSE), 0)</f>
        <v>1</v>
      </c>
      <c r="CT41" t="str">
        <f>IFERROR(VLOOKUP($B41, blitz!$DM:$DN, 2, FALSE), 0)</f>
        <v>1</v>
      </c>
      <c r="CU41" t="b">
        <f t="shared" si="24"/>
        <v>1</v>
      </c>
      <c r="CV41" t="str">
        <f>IFERROR(VLOOKUP($B41, aegis!$DR:$DS, 2, FALSE), 0)</f>
        <v>114</v>
      </c>
      <c r="CW41" t="str">
        <f>IFERROR(VLOOKUP($B41, duel!$DR:$DS, 2, FALSE), 0)</f>
        <v>114</v>
      </c>
      <c r="CX41" t="str">
        <f>IFERROR(VLOOKUP($B41, blitz!$DR:$DS, 2, FALSE), 0)</f>
        <v>114</v>
      </c>
      <c r="CY41" t="b">
        <f t="shared" si="25"/>
        <v>1</v>
      </c>
    </row>
    <row r="42" spans="1:103">
      <c r="A42" t="s">
        <v>1733</v>
      </c>
      <c r="B42" s="6" t="s">
        <v>79</v>
      </c>
      <c r="C42" s="5" t="b">
        <f t="shared" si="0"/>
        <v>0</v>
      </c>
      <c r="D42" t="str">
        <f>IFERROR(VLOOKUP($B42, aegis!$B:$C, 2, FALSE), 0)</f>
        <v>60</v>
      </c>
      <c r="E42" t="str">
        <f>IFERROR(VLOOKUP($B42, duel!$B:$C, 2, FALSE), 0)</f>
        <v>60</v>
      </c>
      <c r="F42" t="str">
        <f>IFERROR(VLOOKUP($B42, blitz!$B:$C, 2, FALSE), 0)</f>
        <v>60</v>
      </c>
      <c r="G42" t="b">
        <f t="shared" si="1"/>
        <v>1</v>
      </c>
      <c r="H42" t="str">
        <f>IFERROR(VLOOKUP($B42, aegis!$G:$H, 2, FALSE), 0)</f>
        <v>35</v>
      </c>
      <c r="I42" t="str">
        <f>IFERROR(VLOOKUP($B42, duel!$G:$H, 2, FALSE), 0)</f>
        <v>35</v>
      </c>
      <c r="J42" t="str">
        <f>IFERROR(VLOOKUP($B42, blitz!$G:$H, 2, FALSE), 0)</f>
        <v>35</v>
      </c>
      <c r="K42" t="b">
        <f t="shared" si="2"/>
        <v>1</v>
      </c>
      <c r="L42" t="str">
        <f>IFERROR(VLOOKUP($B42, aegis!$L:$M, 2, FALSE), 0)</f>
        <v>60</v>
      </c>
      <c r="M42" t="str">
        <f>IFERROR(VLOOKUP($B42, duel!$L:$M, 2, FALSE), 0)</f>
        <v>60</v>
      </c>
      <c r="N42" t="str">
        <f>IFERROR(VLOOKUP($B42, blitz!$L:$M, 2, FALSE), 0)</f>
        <v>60</v>
      </c>
      <c r="O42" t="b">
        <f t="shared" si="3"/>
        <v>1</v>
      </c>
      <c r="P42" t="str">
        <f>IFERROR(VLOOKUP($B42, aegis!$Q:$R, 2, FALSE), 0)</f>
        <v>35</v>
      </c>
      <c r="Q42" t="str">
        <f>IFERROR(VLOOKUP($B42, duel!$Q:$R, 2, FALSE), 0)</f>
        <v>35</v>
      </c>
      <c r="R42" t="str">
        <f>IFERROR(VLOOKUP($B42, blitz!$Q:$R, 2, FALSE), 0)</f>
        <v>35</v>
      </c>
      <c r="S42" t="b">
        <f t="shared" si="4"/>
        <v>1</v>
      </c>
      <c r="T42" t="str">
        <f>IFERROR(VLOOKUP($B42, aegis!$V:$W, 2, FALSE), 0)</f>
        <v>107</v>
      </c>
      <c r="U42" t="str">
        <f>IFERROR(VLOOKUP($B42, duel!$V:$W, 2, FALSE), 0)</f>
        <v>107</v>
      </c>
      <c r="V42" t="str">
        <f>IFERROR(VLOOKUP($B42, blitz!$V:$W, 2, FALSE), 0)</f>
        <v>107</v>
      </c>
      <c r="W42" t="b">
        <f t="shared" si="5"/>
        <v>1</v>
      </c>
      <c r="X42" t="str">
        <f>IFERROR(VLOOKUP($B42, aegis!$AA:$AB, 2, FALSE), 0)</f>
        <v>2</v>
      </c>
      <c r="Y42" t="str">
        <f>IFERROR(VLOOKUP($B42, duel!$AA:$AB, 2, FALSE), 0)</f>
        <v>4</v>
      </c>
      <c r="Z42" t="str">
        <f>IFERROR(VLOOKUP($B42, blitz!$AA:$AB, 2, FALSE), 0)</f>
        <v>2</v>
      </c>
      <c r="AA42" t="b">
        <f t="shared" si="6"/>
        <v>0</v>
      </c>
      <c r="AB42" t="str">
        <f>IFERROR(VLOOKUP($B42, aegis!$AF:$AG, 2, FALSE), 0)</f>
        <v>32</v>
      </c>
      <c r="AC42" t="str">
        <f>IFERROR(VLOOKUP($B42, duel!$AF:$AG, 2, FALSE), 0)</f>
        <v>32</v>
      </c>
      <c r="AD42" t="str">
        <f>IFERROR(VLOOKUP($B42, blitz!$AF:$AG, 2, FALSE), 0)</f>
        <v>32</v>
      </c>
      <c r="AE42" t="b">
        <f t="shared" si="7"/>
        <v>1</v>
      </c>
      <c r="AF42" t="str">
        <f>IFERROR(VLOOKUP($B42, aegis!$AK:$AL, 2, FALSE), 0)</f>
        <v>3</v>
      </c>
      <c r="AG42" t="str">
        <f>IFERROR(VLOOKUP($B42, duel!$AK:$AL, 2, FALSE), 0)</f>
        <v>1</v>
      </c>
      <c r="AH42" t="str">
        <f>IFERROR(VLOOKUP($B42, blitz!$AK:$AL, 2, FALSE), 0)</f>
        <v>1</v>
      </c>
      <c r="AI42" t="b">
        <f t="shared" si="8"/>
        <v>0</v>
      </c>
      <c r="AJ42" t="str">
        <f>IFERROR(VLOOKUP($B42, aegis!$AP:$AQ, 2, FALSE), 0)</f>
        <v>2</v>
      </c>
      <c r="AK42" t="str">
        <f>IFERROR(VLOOKUP($B42, duel!$AP:$AQ, 2, FALSE), 0)</f>
        <v>2</v>
      </c>
      <c r="AL42" t="str">
        <f>IFERROR(VLOOKUP($B42, blitz!$AP:$AQ, 2, FALSE), 0)</f>
        <v>2</v>
      </c>
      <c r="AM42" t="b">
        <f t="shared" si="9"/>
        <v>1</v>
      </c>
      <c r="AN42">
        <f>IFERROR(VLOOKUP($B42, aegis!$AU:$AV, 2, FALSE), 0)</f>
        <v>0</v>
      </c>
      <c r="AO42">
        <f>IFERROR(VLOOKUP($B42, duel!$AU:$AV, 2, FALSE), 0)</f>
        <v>0</v>
      </c>
      <c r="AP42">
        <f>IFERROR(VLOOKUP($B42, blitz!$AU:$AV, 2, FALSE), 0)</f>
        <v>0</v>
      </c>
      <c r="AQ42" t="b">
        <f t="shared" si="10"/>
        <v>1</v>
      </c>
      <c r="AR42" t="str">
        <f>IFERROR(VLOOKUP($B42, aegis!$AZ:$BA, 2, FALSE), 0)</f>
        <v>2</v>
      </c>
      <c r="AS42" t="str">
        <f>IFERROR(VLOOKUP($B42, duel!$AZ:$BA, 2, FALSE), 0)</f>
        <v>2</v>
      </c>
      <c r="AT42" t="str">
        <f>IFERROR(VLOOKUP($B42, blitz!$AZ:$BA, 2, FALSE), 0)</f>
        <v>2</v>
      </c>
      <c r="AU42" t="b">
        <f t="shared" si="11"/>
        <v>1</v>
      </c>
      <c r="AV42" t="str">
        <f>IFERROR(VLOOKUP($B42, aegis!$BE:$BF, 2, FALSE), 0)</f>
        <v>2</v>
      </c>
      <c r="AW42" t="str">
        <f>IFERROR(VLOOKUP($B42, duel!$BE:$BF, 2, FALSE), 0)</f>
        <v>2</v>
      </c>
      <c r="AX42" t="str">
        <f>IFERROR(VLOOKUP($B42, blitz!$BE:$BF, 2, FALSE), 0)</f>
        <v>2</v>
      </c>
      <c r="AY42" t="b">
        <f t="shared" si="12"/>
        <v>1</v>
      </c>
      <c r="AZ42" t="str">
        <f>IFERROR(VLOOKUP($B42, aegis!$BJ:$BK, 2, FALSE), 0)</f>
        <v>1</v>
      </c>
      <c r="BA42" t="str">
        <f>IFERROR(VLOOKUP($B42, duel!$BJ:$BK, 2, FALSE), 0)</f>
        <v>1</v>
      </c>
      <c r="BB42" t="str">
        <f>IFERROR(VLOOKUP($B42, blitz!$BJ:$BK, 2, FALSE), 0)</f>
        <v>1</v>
      </c>
      <c r="BC42" t="b">
        <f t="shared" si="13"/>
        <v>1</v>
      </c>
      <c r="BD42">
        <f>IFERROR(VLOOKUP($B42, aegis!$BO:$BP, 2, FALSE), 0)</f>
        <v>0</v>
      </c>
      <c r="BE42">
        <f>IFERROR(VLOOKUP($B42, duel!$BO:$BP, 2, FALSE), 0)</f>
        <v>0</v>
      </c>
      <c r="BF42">
        <f>IFERROR(VLOOKUP($B42, blitz!$BO:$BP, 2, FALSE), 0)</f>
        <v>0</v>
      </c>
      <c r="BG42" t="b">
        <f t="shared" si="14"/>
        <v>1</v>
      </c>
      <c r="BH42" t="str">
        <f>IFERROR(VLOOKUP($B42, aegis!$BT:$BU, 2, FALSE), 0)</f>
        <v>33</v>
      </c>
      <c r="BI42" t="str">
        <f>IFERROR(VLOOKUP($B42, duel!$BT:$BU, 2, FALSE), 0)</f>
        <v>33</v>
      </c>
      <c r="BJ42" t="str">
        <f>IFERROR(VLOOKUP($B42, blitz!$BT:$BU, 2, FALSE), 0)</f>
        <v>33</v>
      </c>
      <c r="BK42" t="b">
        <f t="shared" si="15"/>
        <v>1</v>
      </c>
      <c r="BL42" t="str">
        <f>IFERROR(VLOOKUP($B42, aegis!$BY:$BZ, 2, FALSE), 0)</f>
        <v>1</v>
      </c>
      <c r="BM42" t="str">
        <f>IFERROR(VLOOKUP($B42, duel!$BY:$BZ, 2, FALSE), 0)</f>
        <v>1</v>
      </c>
      <c r="BN42" t="str">
        <f>IFERROR(VLOOKUP($B42, blitz!$BY:$BZ, 2, FALSE), 0)</f>
        <v>1</v>
      </c>
      <c r="BO42" t="b">
        <f t="shared" si="16"/>
        <v>1</v>
      </c>
      <c r="BP42" t="str">
        <f>IFERROR(VLOOKUP($B42, aegis!$CD:$CE, 2, FALSE), 0)</f>
        <v>7</v>
      </c>
      <c r="BQ42" t="str">
        <f>IFERROR(VLOOKUP($B42, duel!$CD:$CE, 2, FALSE), 0)</f>
        <v>7</v>
      </c>
      <c r="BR42" t="str">
        <f>IFERROR(VLOOKUP($B42, blitz!$CD:$CE, 2, FALSE), 0)</f>
        <v>7</v>
      </c>
      <c r="BS42" t="b">
        <f t="shared" si="17"/>
        <v>1</v>
      </c>
      <c r="BT42">
        <f>IFERROR(VLOOKUP($B42, aegis!$CI:$CJ, 2, FALSE), 0)</f>
        <v>0</v>
      </c>
      <c r="BU42">
        <f>IFERROR(VLOOKUP($B42, duel!$CI:$CJ, 2, FALSE), 0)</f>
        <v>0</v>
      </c>
      <c r="BV42">
        <f>IFERROR(VLOOKUP($B42, blitz!$CI:$CJ, 2, FALSE), 0)</f>
        <v>0</v>
      </c>
      <c r="BW42" t="b">
        <f t="shared" si="18"/>
        <v>1</v>
      </c>
      <c r="BX42">
        <f>IFERROR(VLOOKUP($B42, aegis!$CN:$CO, 2, FALSE), 0)</f>
        <v>0</v>
      </c>
      <c r="BY42">
        <f>IFERROR(VLOOKUP($B42, duel!$CN:$CO, 2, FALSE), 0)</f>
        <v>0</v>
      </c>
      <c r="BZ42">
        <f>IFERROR(VLOOKUP($B42, blitz!$CN:$CO, 2, FALSE), 0)</f>
        <v>0</v>
      </c>
      <c r="CA42" t="b">
        <f t="shared" si="19"/>
        <v>1</v>
      </c>
      <c r="CB42">
        <f>IFERROR(VLOOKUP($B42, aegis!$CS:$CT, 2, FALSE), 0)</f>
        <v>0</v>
      </c>
      <c r="CC42">
        <f>IFERROR(VLOOKUP($B42, duel!$CS:$CT, 2, FALSE), 0)</f>
        <v>0</v>
      </c>
      <c r="CD42">
        <f>IFERROR(VLOOKUP($B42, blitz!$CS:$CT, 2, FALSE), 0)</f>
        <v>0</v>
      </c>
      <c r="CE42" t="b">
        <f t="shared" si="20"/>
        <v>1</v>
      </c>
      <c r="CF42" t="str">
        <f>IFERROR(VLOOKUP($B42, aegis!$CX:$CY, 2, FALSE), 0)</f>
        <v>10302</v>
      </c>
      <c r="CG42" t="str">
        <f>IFERROR(VLOOKUP($B42, duel!$CX:$CY, 2, FALSE), 0)</f>
        <v>10297</v>
      </c>
      <c r="CH42" t="str">
        <f>IFERROR(VLOOKUP($B42, blitz!$CX:$CY, 2, FALSE), 0)</f>
        <v>2559</v>
      </c>
      <c r="CI42" t="b">
        <f t="shared" si="21"/>
        <v>0</v>
      </c>
      <c r="CJ42" t="str">
        <f>IFERROR(VLOOKUP($B42, aegis!$DC:$DD, 2, FALSE), 0)</f>
        <v>1</v>
      </c>
      <c r="CK42" t="str">
        <f>IFERROR(VLOOKUP($B42, duel!$DC:$DD, 2, FALSE), 0)</f>
        <v>1</v>
      </c>
      <c r="CL42" t="str">
        <f>IFERROR(VLOOKUP($B42, blitz!$DC:$DD, 2, FALSE), 0)</f>
        <v>1</v>
      </c>
      <c r="CM42" t="b">
        <f t="shared" si="22"/>
        <v>1</v>
      </c>
      <c r="CN42" t="str">
        <f>IFERROR(VLOOKUP($B42, aegis!$DH:$DI, 2, FALSE), 0)</f>
        <v>4</v>
      </c>
      <c r="CO42" t="str">
        <f>IFERROR(VLOOKUP($B42, duel!$DH:$DI, 2, FALSE), 0)</f>
        <v>4</v>
      </c>
      <c r="CP42" s="13">
        <f>IFERROR(VLOOKUP($B42, blitz!$DH:$DI, 2, FALSE), 0)</f>
        <v>0</v>
      </c>
      <c r="CQ42" t="b">
        <f t="shared" si="23"/>
        <v>1</v>
      </c>
      <c r="CR42" t="str">
        <f>IFERROR(VLOOKUP($B42, aegis!$DM:$DN, 2, FALSE), 0)</f>
        <v>1</v>
      </c>
      <c r="CS42" t="str">
        <f>IFERROR(VLOOKUP($B42, duel!$DM:$DN, 2, FALSE), 0)</f>
        <v>1</v>
      </c>
      <c r="CT42" t="str">
        <f>IFERROR(VLOOKUP($B42, blitz!$DM:$DN, 2, FALSE), 0)</f>
        <v>1</v>
      </c>
      <c r="CU42" t="b">
        <f t="shared" si="24"/>
        <v>1</v>
      </c>
      <c r="CV42" t="str">
        <f>IFERROR(VLOOKUP($B42, aegis!$DR:$DS, 2, FALSE), 0)</f>
        <v>32</v>
      </c>
      <c r="CW42" t="str">
        <f>IFERROR(VLOOKUP($B42, duel!$DR:$DS, 2, FALSE), 0)</f>
        <v>32</v>
      </c>
      <c r="CX42" t="str">
        <f>IFERROR(VLOOKUP($B42, blitz!$DR:$DS, 2, FALSE), 0)</f>
        <v>32</v>
      </c>
      <c r="CY42" t="b">
        <f t="shared" si="25"/>
        <v>1</v>
      </c>
    </row>
    <row r="43" spans="1:103">
      <c r="A43" t="s">
        <v>1733</v>
      </c>
      <c r="B43" s="6" t="s">
        <v>81</v>
      </c>
      <c r="C43" s="5" t="b">
        <f t="shared" si="0"/>
        <v>0</v>
      </c>
      <c r="D43" t="str">
        <f>IFERROR(VLOOKUP($B43, aegis!$B:$C, 2, FALSE), 0)</f>
        <v>24</v>
      </c>
      <c r="E43" t="str">
        <f>IFERROR(VLOOKUP($B43, duel!$B:$C, 2, FALSE), 0)</f>
        <v>24</v>
      </c>
      <c r="F43" t="str">
        <f>IFERROR(VLOOKUP($B43, blitz!$B:$C, 2, FALSE), 0)</f>
        <v>24</v>
      </c>
      <c r="G43" t="b">
        <f t="shared" si="1"/>
        <v>1</v>
      </c>
      <c r="H43" t="str">
        <f>IFERROR(VLOOKUP($B43, aegis!$G:$H, 2, FALSE), 0)</f>
        <v>14</v>
      </c>
      <c r="I43" t="str">
        <f>IFERROR(VLOOKUP($B43, duel!$G:$H, 2, FALSE), 0)</f>
        <v>14</v>
      </c>
      <c r="J43" t="str">
        <f>IFERROR(VLOOKUP($B43, blitz!$G:$H, 2, FALSE), 0)</f>
        <v>14</v>
      </c>
      <c r="K43" t="b">
        <f t="shared" si="2"/>
        <v>1</v>
      </c>
      <c r="L43" t="str">
        <f>IFERROR(VLOOKUP($B43, aegis!$L:$M, 2, FALSE), 0)</f>
        <v>24</v>
      </c>
      <c r="M43" t="str">
        <f>IFERROR(VLOOKUP($B43, duel!$L:$M, 2, FALSE), 0)</f>
        <v>24</v>
      </c>
      <c r="N43" t="str">
        <f>IFERROR(VLOOKUP($B43, blitz!$L:$M, 2, FALSE), 0)</f>
        <v>24</v>
      </c>
      <c r="O43" t="b">
        <f t="shared" si="3"/>
        <v>1</v>
      </c>
      <c r="P43" t="str">
        <f>IFERROR(VLOOKUP($B43, aegis!$Q:$R, 2, FALSE), 0)</f>
        <v>14</v>
      </c>
      <c r="Q43" t="str">
        <f>IFERROR(VLOOKUP($B43, duel!$Q:$R, 2, FALSE), 0)</f>
        <v>14</v>
      </c>
      <c r="R43" t="str">
        <f>IFERROR(VLOOKUP($B43, blitz!$Q:$R, 2, FALSE), 0)</f>
        <v>14</v>
      </c>
      <c r="S43" t="b">
        <f t="shared" si="4"/>
        <v>1</v>
      </c>
      <c r="T43" t="str">
        <f>IFERROR(VLOOKUP($B43, aegis!$V:$W, 2, FALSE), 0)</f>
        <v>17</v>
      </c>
      <c r="U43" t="str">
        <f>IFERROR(VLOOKUP($B43, duel!$V:$W, 2, FALSE), 0)</f>
        <v>17</v>
      </c>
      <c r="V43" t="str">
        <f>IFERROR(VLOOKUP($B43, blitz!$V:$W, 2, FALSE), 0)</f>
        <v>17</v>
      </c>
      <c r="W43" t="b">
        <f t="shared" si="5"/>
        <v>1</v>
      </c>
      <c r="X43" t="str">
        <f>IFERROR(VLOOKUP($B43, aegis!$AA:$AB, 2, FALSE), 0)</f>
        <v>2</v>
      </c>
      <c r="Y43" t="str">
        <f>IFERROR(VLOOKUP($B43, duel!$AA:$AB, 2, FALSE), 0)</f>
        <v>4</v>
      </c>
      <c r="Z43" t="str">
        <f>IFERROR(VLOOKUP($B43, blitz!$AA:$AB, 2, FALSE), 0)</f>
        <v>2</v>
      </c>
      <c r="AA43" t="b">
        <f t="shared" si="6"/>
        <v>0</v>
      </c>
      <c r="AB43" t="str">
        <f>IFERROR(VLOOKUP($B43, aegis!$AF:$AG, 2, FALSE), 0)</f>
        <v>17</v>
      </c>
      <c r="AC43" t="str">
        <f>IFERROR(VLOOKUP($B43, duel!$AF:$AG, 2, FALSE), 0)</f>
        <v>17</v>
      </c>
      <c r="AD43" t="str">
        <f>IFERROR(VLOOKUP($B43, blitz!$AF:$AG, 2, FALSE), 0)</f>
        <v>17</v>
      </c>
      <c r="AE43" t="b">
        <f t="shared" si="7"/>
        <v>1</v>
      </c>
      <c r="AF43" t="str">
        <f>IFERROR(VLOOKUP($B43, aegis!$AK:$AL, 2, FALSE), 0)</f>
        <v>3</v>
      </c>
      <c r="AG43" t="str">
        <f>IFERROR(VLOOKUP($B43, duel!$AK:$AL, 2, FALSE), 0)</f>
        <v>1</v>
      </c>
      <c r="AH43" t="str">
        <f>IFERROR(VLOOKUP($B43, blitz!$AK:$AL, 2, FALSE), 0)</f>
        <v>1</v>
      </c>
      <c r="AI43" t="b">
        <f t="shared" si="8"/>
        <v>0</v>
      </c>
      <c r="AJ43" t="str">
        <f>IFERROR(VLOOKUP($B43, aegis!$AP:$AQ, 2, FALSE), 0)</f>
        <v>2</v>
      </c>
      <c r="AK43" t="str">
        <f>IFERROR(VLOOKUP($B43, duel!$AP:$AQ, 2, FALSE), 0)</f>
        <v>2</v>
      </c>
      <c r="AL43" t="str">
        <f>IFERROR(VLOOKUP($B43, blitz!$AP:$AQ, 2, FALSE), 0)</f>
        <v>2</v>
      </c>
      <c r="AM43" t="b">
        <f t="shared" si="9"/>
        <v>1</v>
      </c>
      <c r="AN43">
        <f>IFERROR(VLOOKUP($B43, aegis!$AU:$AV, 2, FALSE), 0)</f>
        <v>0</v>
      </c>
      <c r="AO43">
        <f>IFERROR(VLOOKUP($B43, duel!$AU:$AV, 2, FALSE), 0)</f>
        <v>0</v>
      </c>
      <c r="AP43">
        <f>IFERROR(VLOOKUP($B43, blitz!$AU:$AV, 2, FALSE), 0)</f>
        <v>0</v>
      </c>
      <c r="AQ43" t="b">
        <f t="shared" si="10"/>
        <v>1</v>
      </c>
      <c r="AR43" t="str">
        <f>IFERROR(VLOOKUP($B43, aegis!$AZ:$BA, 2, FALSE), 0)</f>
        <v>2</v>
      </c>
      <c r="AS43" t="str">
        <f>IFERROR(VLOOKUP($B43, duel!$AZ:$BA, 2, FALSE), 0)</f>
        <v>2</v>
      </c>
      <c r="AT43" t="str">
        <f>IFERROR(VLOOKUP($B43, blitz!$AZ:$BA, 2, FALSE), 0)</f>
        <v>2</v>
      </c>
      <c r="AU43" t="b">
        <f t="shared" si="11"/>
        <v>1</v>
      </c>
      <c r="AV43" t="str">
        <f>IFERROR(VLOOKUP($B43, aegis!$BE:$BF, 2, FALSE), 0)</f>
        <v>2</v>
      </c>
      <c r="AW43" t="str">
        <f>IFERROR(VLOOKUP($B43, duel!$BE:$BF, 2, FALSE), 0)</f>
        <v>2</v>
      </c>
      <c r="AX43" t="str">
        <f>IFERROR(VLOOKUP($B43, blitz!$BE:$BF, 2, FALSE), 0)</f>
        <v>2</v>
      </c>
      <c r="AY43" t="b">
        <f t="shared" si="12"/>
        <v>1</v>
      </c>
      <c r="AZ43" t="str">
        <f>IFERROR(VLOOKUP($B43, aegis!$BJ:$BK, 2, FALSE), 0)</f>
        <v>1</v>
      </c>
      <c r="BA43" t="str">
        <f>IFERROR(VLOOKUP($B43, duel!$BJ:$BK, 2, FALSE), 0)</f>
        <v>1</v>
      </c>
      <c r="BB43" t="str">
        <f>IFERROR(VLOOKUP($B43, blitz!$BJ:$BK, 2, FALSE), 0)</f>
        <v>1</v>
      </c>
      <c r="BC43" t="b">
        <f t="shared" si="13"/>
        <v>1</v>
      </c>
      <c r="BD43">
        <f>IFERROR(VLOOKUP($B43, aegis!$BO:$BP, 2, FALSE), 0)</f>
        <v>0</v>
      </c>
      <c r="BE43">
        <f>IFERROR(VLOOKUP($B43, duel!$BO:$BP, 2, FALSE), 0)</f>
        <v>0</v>
      </c>
      <c r="BF43">
        <f>IFERROR(VLOOKUP($B43, blitz!$BO:$BP, 2, FALSE), 0)</f>
        <v>0</v>
      </c>
      <c r="BG43" t="b">
        <f t="shared" si="14"/>
        <v>1</v>
      </c>
      <c r="BH43" t="str">
        <f>IFERROR(VLOOKUP($B43, aegis!$BT:$BU, 2, FALSE), 0)</f>
        <v>11</v>
      </c>
      <c r="BI43" t="str">
        <f>IFERROR(VLOOKUP($B43, duel!$BT:$BU, 2, FALSE), 0)</f>
        <v>11</v>
      </c>
      <c r="BJ43" t="str">
        <f>IFERROR(VLOOKUP($B43, blitz!$BT:$BU, 2, FALSE), 0)</f>
        <v>11</v>
      </c>
      <c r="BK43" t="b">
        <f t="shared" si="15"/>
        <v>1</v>
      </c>
      <c r="BL43" t="str">
        <f>IFERROR(VLOOKUP($B43, aegis!$BY:$BZ, 2, FALSE), 0)</f>
        <v>1</v>
      </c>
      <c r="BM43" t="str">
        <f>IFERROR(VLOOKUP($B43, duel!$BY:$BZ, 2, FALSE), 0)</f>
        <v>1</v>
      </c>
      <c r="BN43" t="str">
        <f>IFERROR(VLOOKUP($B43, blitz!$BY:$BZ, 2, FALSE), 0)</f>
        <v>1</v>
      </c>
      <c r="BO43" t="b">
        <f t="shared" si="16"/>
        <v>1</v>
      </c>
      <c r="BP43" t="str">
        <f>IFERROR(VLOOKUP($B43, aegis!$CD:$CE, 2, FALSE), 0)</f>
        <v>5</v>
      </c>
      <c r="BQ43" t="str">
        <f>IFERROR(VLOOKUP($B43, duel!$CD:$CE, 2, FALSE), 0)</f>
        <v>5</v>
      </c>
      <c r="BR43" t="str">
        <f>IFERROR(VLOOKUP($B43, blitz!$CD:$CE, 2, FALSE), 0)</f>
        <v>5</v>
      </c>
      <c r="BS43" t="b">
        <f t="shared" si="17"/>
        <v>1</v>
      </c>
      <c r="BT43">
        <f>IFERROR(VLOOKUP($B43, aegis!$CI:$CJ, 2, FALSE), 0)</f>
        <v>0</v>
      </c>
      <c r="BU43">
        <f>IFERROR(VLOOKUP($B43, duel!$CI:$CJ, 2, FALSE), 0)</f>
        <v>0</v>
      </c>
      <c r="BV43">
        <f>IFERROR(VLOOKUP($B43, blitz!$CI:$CJ, 2, FALSE), 0)</f>
        <v>0</v>
      </c>
      <c r="BW43" t="b">
        <f t="shared" si="18"/>
        <v>1</v>
      </c>
      <c r="BX43">
        <f>IFERROR(VLOOKUP($B43, aegis!$CN:$CO, 2, FALSE), 0)</f>
        <v>0</v>
      </c>
      <c r="BY43">
        <f>IFERROR(VLOOKUP($B43, duel!$CN:$CO, 2, FALSE), 0)</f>
        <v>0</v>
      </c>
      <c r="BZ43">
        <f>IFERROR(VLOOKUP($B43, blitz!$CN:$CO, 2, FALSE), 0)</f>
        <v>0</v>
      </c>
      <c r="CA43" t="b">
        <f t="shared" si="19"/>
        <v>1</v>
      </c>
      <c r="CB43">
        <f>IFERROR(VLOOKUP($B43, aegis!$CS:$CT, 2, FALSE), 0)</f>
        <v>0</v>
      </c>
      <c r="CC43">
        <f>IFERROR(VLOOKUP($B43, duel!$CS:$CT, 2, FALSE), 0)</f>
        <v>0</v>
      </c>
      <c r="CD43">
        <f>IFERROR(VLOOKUP($B43, blitz!$CS:$CT, 2, FALSE), 0)</f>
        <v>0</v>
      </c>
      <c r="CE43" t="b">
        <f t="shared" si="20"/>
        <v>1</v>
      </c>
      <c r="CF43" t="str">
        <f>IFERROR(VLOOKUP($B43, aegis!$CX:$CY, 2, FALSE), 0)</f>
        <v>1699</v>
      </c>
      <c r="CG43" t="str">
        <f>IFERROR(VLOOKUP($B43, duel!$CX:$CY, 2, FALSE), 0)</f>
        <v>1699</v>
      </c>
      <c r="CH43">
        <f>IFERROR(VLOOKUP($B43, blitz!$CX:$CY, 2, FALSE), 0)</f>
        <v>0</v>
      </c>
      <c r="CI43" t="b">
        <f t="shared" si="21"/>
        <v>0</v>
      </c>
      <c r="CJ43" t="str">
        <f>IFERROR(VLOOKUP($B43, aegis!$DC:$DD, 2, FALSE), 0)</f>
        <v>1</v>
      </c>
      <c r="CK43" t="str">
        <f>IFERROR(VLOOKUP($B43, duel!$DC:$DD, 2, FALSE), 0)</f>
        <v>1</v>
      </c>
      <c r="CL43" t="str">
        <f>IFERROR(VLOOKUP($B43, blitz!$DC:$DD, 2, FALSE), 0)</f>
        <v>1</v>
      </c>
      <c r="CM43" t="b">
        <f t="shared" si="22"/>
        <v>1</v>
      </c>
      <c r="CN43" t="str">
        <f>IFERROR(VLOOKUP($B43, aegis!$DH:$DI, 2, FALSE), 0)</f>
        <v>4</v>
      </c>
      <c r="CO43" t="str">
        <f>IFERROR(VLOOKUP($B43, duel!$DH:$DI, 2, FALSE), 0)</f>
        <v>4</v>
      </c>
      <c r="CP43" s="13">
        <f>IFERROR(VLOOKUP($B43, blitz!$DH:$DI, 2, FALSE), 0)</f>
        <v>0</v>
      </c>
      <c r="CQ43" t="b">
        <f t="shared" si="23"/>
        <v>1</v>
      </c>
      <c r="CR43" t="str">
        <f>IFERROR(VLOOKUP($B43, aegis!$DM:$DN, 2, FALSE), 0)</f>
        <v>1</v>
      </c>
      <c r="CS43" t="str">
        <f>IFERROR(VLOOKUP($B43, duel!$DM:$DN, 2, FALSE), 0)</f>
        <v>1</v>
      </c>
      <c r="CT43" t="str">
        <f>IFERROR(VLOOKUP($B43, blitz!$DM:$DN, 2, FALSE), 0)</f>
        <v>1</v>
      </c>
      <c r="CU43" t="b">
        <f t="shared" si="24"/>
        <v>1</v>
      </c>
      <c r="CV43" t="str">
        <f>IFERROR(VLOOKUP($B43, aegis!$DR:$DS, 2, FALSE), 0)</f>
        <v>17</v>
      </c>
      <c r="CW43" t="str">
        <f>IFERROR(VLOOKUP($B43, duel!$DR:$DS, 2, FALSE), 0)</f>
        <v>17</v>
      </c>
      <c r="CX43" t="str">
        <f>IFERROR(VLOOKUP($B43, blitz!$DR:$DS, 2, FALSE), 0)</f>
        <v>17</v>
      </c>
      <c r="CY43" t="b">
        <f t="shared" si="25"/>
        <v>1</v>
      </c>
    </row>
    <row r="44" spans="1:103">
      <c r="A44" t="s">
        <v>1733</v>
      </c>
      <c r="B44" s="6" t="s">
        <v>82</v>
      </c>
      <c r="C44" s="5" t="b">
        <f t="shared" si="0"/>
        <v>0</v>
      </c>
      <c r="D44" t="str">
        <f>IFERROR(VLOOKUP($B44, aegis!$B:$C, 2, FALSE), 0)</f>
        <v>72</v>
      </c>
      <c r="E44" t="str">
        <f>IFERROR(VLOOKUP($B44, duel!$B:$C, 2, FALSE), 0)</f>
        <v>72</v>
      </c>
      <c r="F44" t="str">
        <f>IFERROR(VLOOKUP($B44, blitz!$B:$C, 2, FALSE), 0)</f>
        <v>72</v>
      </c>
      <c r="G44" t="b">
        <f t="shared" si="1"/>
        <v>1</v>
      </c>
      <c r="H44" t="str">
        <f>IFERROR(VLOOKUP($B44, aegis!$G:$H, 2, FALSE), 0)</f>
        <v>42</v>
      </c>
      <c r="I44" t="str">
        <f>IFERROR(VLOOKUP($B44, duel!$G:$H, 2, FALSE), 0)</f>
        <v>42</v>
      </c>
      <c r="J44" t="str">
        <f>IFERROR(VLOOKUP($B44, blitz!$G:$H, 2, FALSE), 0)</f>
        <v>42</v>
      </c>
      <c r="K44" t="b">
        <f t="shared" si="2"/>
        <v>1</v>
      </c>
      <c r="L44" t="str">
        <f>IFERROR(VLOOKUP($B44, aegis!$L:$M, 2, FALSE), 0)</f>
        <v>72</v>
      </c>
      <c r="M44" t="str">
        <f>IFERROR(VLOOKUP($B44, duel!$L:$M, 2, FALSE), 0)</f>
        <v>72</v>
      </c>
      <c r="N44" t="str">
        <f>IFERROR(VLOOKUP($B44, blitz!$L:$M, 2, FALSE), 0)</f>
        <v>72</v>
      </c>
      <c r="O44" t="b">
        <f t="shared" si="3"/>
        <v>1</v>
      </c>
      <c r="P44" t="str">
        <f>IFERROR(VLOOKUP($B44, aegis!$Q:$R, 2, FALSE), 0)</f>
        <v>42</v>
      </c>
      <c r="Q44" t="str">
        <f>IFERROR(VLOOKUP($B44, duel!$Q:$R, 2, FALSE), 0)</f>
        <v>42</v>
      </c>
      <c r="R44" t="str">
        <f>IFERROR(VLOOKUP($B44, blitz!$Q:$R, 2, FALSE), 0)</f>
        <v>42</v>
      </c>
      <c r="S44" t="b">
        <f t="shared" si="4"/>
        <v>1</v>
      </c>
      <c r="T44" t="str">
        <f>IFERROR(VLOOKUP($B44, aegis!$V:$W, 2, FALSE), 0)</f>
        <v>189</v>
      </c>
      <c r="U44" t="str">
        <f>IFERROR(VLOOKUP($B44, duel!$V:$W, 2, FALSE), 0)</f>
        <v>189</v>
      </c>
      <c r="V44" t="str">
        <f>IFERROR(VLOOKUP($B44, blitz!$V:$W, 2, FALSE), 0)</f>
        <v>189</v>
      </c>
      <c r="W44" t="b">
        <f t="shared" si="5"/>
        <v>1</v>
      </c>
      <c r="X44" t="str">
        <f>IFERROR(VLOOKUP($B44, aegis!$AA:$AB, 2, FALSE), 0)</f>
        <v>3</v>
      </c>
      <c r="Y44" t="str">
        <f>IFERROR(VLOOKUP($B44, duel!$AA:$AB, 2, FALSE), 0)</f>
        <v>5</v>
      </c>
      <c r="Z44" t="str">
        <f>IFERROR(VLOOKUP($B44, blitz!$AA:$AB, 2, FALSE), 0)</f>
        <v>3</v>
      </c>
      <c r="AA44" t="b">
        <f t="shared" si="6"/>
        <v>0</v>
      </c>
      <c r="AB44" t="str">
        <f>IFERROR(VLOOKUP($B44, aegis!$AF:$AG, 2, FALSE), 0)</f>
        <v>58</v>
      </c>
      <c r="AC44" t="str">
        <f>IFERROR(VLOOKUP($B44, duel!$AF:$AG, 2, FALSE), 0)</f>
        <v>58</v>
      </c>
      <c r="AD44" t="str">
        <f>IFERROR(VLOOKUP($B44, blitz!$AF:$AG, 2, FALSE), 0)</f>
        <v>58</v>
      </c>
      <c r="AE44" t="b">
        <f t="shared" si="7"/>
        <v>1</v>
      </c>
      <c r="AF44" t="str">
        <f>IFERROR(VLOOKUP($B44, aegis!$AK:$AL, 2, FALSE), 0)</f>
        <v>4</v>
      </c>
      <c r="AG44" t="str">
        <f>IFERROR(VLOOKUP($B44, duel!$AK:$AL, 2, FALSE), 0)</f>
        <v>1</v>
      </c>
      <c r="AH44" t="str">
        <f>IFERROR(VLOOKUP($B44, blitz!$AK:$AL, 2, FALSE), 0)</f>
        <v>1</v>
      </c>
      <c r="AI44" t="b">
        <f t="shared" si="8"/>
        <v>0</v>
      </c>
      <c r="AJ44" t="str">
        <f>IFERROR(VLOOKUP($B44, aegis!$AP:$AQ, 2, FALSE), 0)</f>
        <v>3</v>
      </c>
      <c r="AK44" t="str">
        <f>IFERROR(VLOOKUP($B44, duel!$AP:$AQ, 2, FALSE), 0)</f>
        <v>3</v>
      </c>
      <c r="AL44" t="str">
        <f>IFERROR(VLOOKUP($B44, blitz!$AP:$AQ, 2, FALSE), 0)</f>
        <v>3</v>
      </c>
      <c r="AM44" t="b">
        <f t="shared" si="9"/>
        <v>1</v>
      </c>
      <c r="AN44">
        <f>IFERROR(VLOOKUP($B44, aegis!$AU:$AV, 2, FALSE), 0)</f>
        <v>0</v>
      </c>
      <c r="AO44">
        <f>IFERROR(VLOOKUP($B44, duel!$AU:$AV, 2, FALSE), 0)</f>
        <v>0</v>
      </c>
      <c r="AP44">
        <f>IFERROR(VLOOKUP($B44, blitz!$AU:$AV, 2, FALSE), 0)</f>
        <v>0</v>
      </c>
      <c r="AQ44" t="b">
        <f t="shared" si="10"/>
        <v>1</v>
      </c>
      <c r="AR44" t="str">
        <f>IFERROR(VLOOKUP($B44, aegis!$AZ:$BA, 2, FALSE), 0)</f>
        <v>3</v>
      </c>
      <c r="AS44" t="str">
        <f>IFERROR(VLOOKUP($B44, duel!$AZ:$BA, 2, FALSE), 0)</f>
        <v>3</v>
      </c>
      <c r="AT44" t="str">
        <f>IFERROR(VLOOKUP($B44, blitz!$AZ:$BA, 2, FALSE), 0)</f>
        <v>3</v>
      </c>
      <c r="AU44" t="b">
        <f t="shared" si="11"/>
        <v>1</v>
      </c>
      <c r="AV44" t="str">
        <f>IFERROR(VLOOKUP($B44, aegis!$BE:$BF, 2, FALSE), 0)</f>
        <v>3</v>
      </c>
      <c r="AW44" t="str">
        <f>IFERROR(VLOOKUP($B44, duel!$BE:$BF, 2, FALSE), 0)</f>
        <v>3</v>
      </c>
      <c r="AX44" t="str">
        <f>IFERROR(VLOOKUP($B44, blitz!$BE:$BF, 2, FALSE), 0)</f>
        <v>3</v>
      </c>
      <c r="AY44" t="b">
        <f t="shared" si="12"/>
        <v>1</v>
      </c>
      <c r="AZ44" t="str">
        <f>IFERROR(VLOOKUP($B44, aegis!$BJ:$BK, 2, FALSE), 0)</f>
        <v>1</v>
      </c>
      <c r="BA44" t="str">
        <f>IFERROR(VLOOKUP($B44, duel!$BJ:$BK, 2, FALSE), 0)</f>
        <v>1</v>
      </c>
      <c r="BB44" t="str">
        <f>IFERROR(VLOOKUP($B44, blitz!$BJ:$BK, 2, FALSE), 0)</f>
        <v>1</v>
      </c>
      <c r="BC44" t="b">
        <f t="shared" si="13"/>
        <v>1</v>
      </c>
      <c r="BD44">
        <f>IFERROR(VLOOKUP($B44, aegis!$BO:$BP, 2, FALSE), 0)</f>
        <v>0</v>
      </c>
      <c r="BE44">
        <f>IFERROR(VLOOKUP($B44, duel!$BO:$BP, 2, FALSE), 0)</f>
        <v>0</v>
      </c>
      <c r="BF44">
        <f>IFERROR(VLOOKUP($B44, blitz!$BO:$BP, 2, FALSE), 0)</f>
        <v>0</v>
      </c>
      <c r="BG44" t="b">
        <f t="shared" si="14"/>
        <v>1</v>
      </c>
      <c r="BH44" t="str">
        <f>IFERROR(VLOOKUP($B44, aegis!$BT:$BU, 2, FALSE), 0)</f>
        <v>25</v>
      </c>
      <c r="BI44" t="str">
        <f>IFERROR(VLOOKUP($B44, duel!$BT:$BU, 2, FALSE), 0)</f>
        <v>25</v>
      </c>
      <c r="BJ44" t="str">
        <f>IFERROR(VLOOKUP($B44, blitz!$BT:$BU, 2, FALSE), 0)</f>
        <v>25</v>
      </c>
      <c r="BK44" t="b">
        <f t="shared" si="15"/>
        <v>1</v>
      </c>
      <c r="BL44" t="str">
        <f>IFERROR(VLOOKUP($B44, aegis!$BY:$BZ, 2, FALSE), 0)</f>
        <v>1</v>
      </c>
      <c r="BM44" t="str">
        <f>IFERROR(VLOOKUP($B44, duel!$BY:$BZ, 2, FALSE), 0)</f>
        <v>1</v>
      </c>
      <c r="BN44" t="str">
        <f>IFERROR(VLOOKUP($B44, blitz!$BY:$BZ, 2, FALSE), 0)</f>
        <v>1</v>
      </c>
      <c r="BO44" t="b">
        <f t="shared" si="16"/>
        <v>1</v>
      </c>
      <c r="BP44" t="str">
        <f>IFERROR(VLOOKUP($B44, aegis!$CD:$CE, 2, FALSE), 0)</f>
        <v>5</v>
      </c>
      <c r="BQ44" t="str">
        <f>IFERROR(VLOOKUP($B44, duel!$CD:$CE, 2, FALSE), 0)</f>
        <v>5</v>
      </c>
      <c r="BR44" t="str">
        <f>IFERROR(VLOOKUP($B44, blitz!$CD:$CE, 2, FALSE), 0)</f>
        <v>5</v>
      </c>
      <c r="BS44" t="b">
        <f t="shared" si="17"/>
        <v>1</v>
      </c>
      <c r="BT44" t="str">
        <f>IFERROR(VLOOKUP($B44, aegis!$CI:$CJ, 2, FALSE), 0)</f>
        <v>2</v>
      </c>
      <c r="BU44" t="str">
        <f>IFERROR(VLOOKUP($B44, duel!$CI:$CJ, 2, FALSE), 0)</f>
        <v>2</v>
      </c>
      <c r="BV44" t="str">
        <f>IFERROR(VLOOKUP($B44, blitz!$CI:$CJ, 2, FALSE), 0)</f>
        <v>2</v>
      </c>
      <c r="BW44" t="b">
        <f t="shared" si="18"/>
        <v>1</v>
      </c>
      <c r="BX44" t="str">
        <f>IFERROR(VLOOKUP($B44, aegis!$CN:$CO, 2, FALSE), 0)</f>
        <v>2</v>
      </c>
      <c r="BY44" t="str">
        <f>IFERROR(VLOOKUP($B44, duel!$CN:$CO, 2, FALSE), 0)</f>
        <v>2</v>
      </c>
      <c r="BZ44" t="str">
        <f>IFERROR(VLOOKUP($B44, blitz!$CN:$CO, 2, FALSE), 0)</f>
        <v>2</v>
      </c>
      <c r="CA44" t="b">
        <f t="shared" si="19"/>
        <v>1</v>
      </c>
      <c r="CB44" t="str">
        <f>IFERROR(VLOOKUP($B44, aegis!$CS:$CT, 2, FALSE), 0)</f>
        <v>9</v>
      </c>
      <c r="CC44" t="str">
        <f>IFERROR(VLOOKUP($B44, duel!$CS:$CT, 2, FALSE), 0)</f>
        <v>9</v>
      </c>
      <c r="CD44" t="str">
        <f>IFERROR(VLOOKUP($B44, blitz!$CS:$CT, 2, FALSE), 0)</f>
        <v>9</v>
      </c>
      <c r="CE44" t="b">
        <f t="shared" si="20"/>
        <v>1</v>
      </c>
      <c r="CF44" t="str">
        <f>IFERROR(VLOOKUP($B44, aegis!$CX:$CY, 2, FALSE), 0)</f>
        <v>20229</v>
      </c>
      <c r="CG44" t="str">
        <f>IFERROR(VLOOKUP($B44, duel!$CX:$CY, 2, FALSE), 0)</f>
        <v>20227</v>
      </c>
      <c r="CH44" t="str">
        <f>IFERROR(VLOOKUP($B44, blitz!$CX:$CY, 2, FALSE), 0)</f>
        <v>4544</v>
      </c>
      <c r="CI44" t="b">
        <f t="shared" si="21"/>
        <v>0</v>
      </c>
      <c r="CJ44" t="str">
        <f>IFERROR(VLOOKUP($B44, aegis!$DC:$DD, 2, FALSE), 0)</f>
        <v>1</v>
      </c>
      <c r="CK44" t="str">
        <f>IFERROR(VLOOKUP($B44, duel!$DC:$DD, 2, FALSE), 0)</f>
        <v>1</v>
      </c>
      <c r="CL44" t="str">
        <f>IFERROR(VLOOKUP($B44, blitz!$DC:$DD, 2, FALSE), 0)</f>
        <v>1</v>
      </c>
      <c r="CM44" t="b">
        <f t="shared" si="22"/>
        <v>1</v>
      </c>
      <c r="CN44" t="str">
        <f>IFERROR(VLOOKUP($B44, aegis!$DH:$DI, 2, FALSE), 0)</f>
        <v>4</v>
      </c>
      <c r="CO44" t="str">
        <f>IFERROR(VLOOKUP($B44, duel!$DH:$DI, 2, FALSE), 0)</f>
        <v>4</v>
      </c>
      <c r="CP44" s="13">
        <f>IFERROR(VLOOKUP($B44, blitz!$DH:$DI, 2, FALSE), 0)</f>
        <v>0</v>
      </c>
      <c r="CQ44" t="b">
        <f t="shared" si="23"/>
        <v>1</v>
      </c>
      <c r="CR44" t="str">
        <f>IFERROR(VLOOKUP($B44, aegis!$DM:$DN, 2, FALSE), 0)</f>
        <v>2</v>
      </c>
      <c r="CS44" t="str">
        <f>IFERROR(VLOOKUP($B44, duel!$DM:$DN, 2, FALSE), 0)</f>
        <v>2</v>
      </c>
      <c r="CT44" t="str">
        <f>IFERROR(VLOOKUP($B44, blitz!$DM:$DN, 2, FALSE), 0)</f>
        <v>2</v>
      </c>
      <c r="CU44" t="b">
        <f t="shared" si="24"/>
        <v>1</v>
      </c>
      <c r="CV44" t="str">
        <f>IFERROR(VLOOKUP($B44, aegis!$DR:$DS, 2, FALSE), 0)</f>
        <v>57</v>
      </c>
      <c r="CW44" t="str">
        <f>IFERROR(VLOOKUP($B44, duel!$DR:$DS, 2, FALSE), 0)</f>
        <v>57</v>
      </c>
      <c r="CX44" t="str">
        <f>IFERROR(VLOOKUP($B44, blitz!$DR:$DS, 2, FALSE), 0)</f>
        <v>57</v>
      </c>
      <c r="CY44" t="b">
        <f t="shared" si="25"/>
        <v>1</v>
      </c>
    </row>
    <row r="45" spans="1:103">
      <c r="A45" t="s">
        <v>1733</v>
      </c>
      <c r="B45" s="6" t="s">
        <v>84</v>
      </c>
      <c r="C45" s="5" t="b">
        <f t="shared" si="0"/>
        <v>0</v>
      </c>
      <c r="D45" t="str">
        <f>IFERROR(VLOOKUP($B45, aegis!$B:$C, 2, FALSE), 0)</f>
        <v>84</v>
      </c>
      <c r="E45" t="str">
        <f>IFERROR(VLOOKUP($B45, duel!$B:$C, 2, FALSE), 0)</f>
        <v>84</v>
      </c>
      <c r="F45" t="str">
        <f>IFERROR(VLOOKUP($B45, blitz!$B:$C, 2, FALSE), 0)</f>
        <v>84</v>
      </c>
      <c r="G45" t="b">
        <f t="shared" si="1"/>
        <v>1</v>
      </c>
      <c r="H45" t="str">
        <f>IFERROR(VLOOKUP($B45, aegis!$G:$H, 2, FALSE), 0)</f>
        <v>49</v>
      </c>
      <c r="I45" t="str">
        <f>IFERROR(VLOOKUP($B45, duel!$G:$H, 2, FALSE), 0)</f>
        <v>49</v>
      </c>
      <c r="J45" t="str">
        <f>IFERROR(VLOOKUP($B45, blitz!$G:$H, 2, FALSE), 0)</f>
        <v>49</v>
      </c>
      <c r="K45" t="b">
        <f t="shared" si="2"/>
        <v>1</v>
      </c>
      <c r="L45" t="str">
        <f>IFERROR(VLOOKUP($B45, aegis!$L:$M, 2, FALSE), 0)</f>
        <v>84</v>
      </c>
      <c r="M45" t="str">
        <f>IFERROR(VLOOKUP($B45, duel!$L:$M, 2, FALSE), 0)</f>
        <v>84</v>
      </c>
      <c r="N45" t="str">
        <f>IFERROR(VLOOKUP($B45, blitz!$L:$M, 2, FALSE), 0)</f>
        <v>84</v>
      </c>
      <c r="O45" t="b">
        <f t="shared" si="3"/>
        <v>1</v>
      </c>
      <c r="P45" t="str">
        <f>IFERROR(VLOOKUP($B45, aegis!$Q:$R, 2, FALSE), 0)</f>
        <v>49</v>
      </c>
      <c r="Q45" t="str">
        <f>IFERROR(VLOOKUP($B45, duel!$Q:$R, 2, FALSE), 0)</f>
        <v>49</v>
      </c>
      <c r="R45" t="str">
        <f>IFERROR(VLOOKUP($B45, blitz!$Q:$R, 2, FALSE), 0)</f>
        <v>49</v>
      </c>
      <c r="S45" t="b">
        <f t="shared" si="4"/>
        <v>1</v>
      </c>
      <c r="T45" t="str">
        <f>IFERROR(VLOOKUP($B45, aegis!$V:$W, 2, FALSE), 0)</f>
        <v>754</v>
      </c>
      <c r="U45" t="str">
        <f>IFERROR(VLOOKUP($B45, duel!$V:$W, 2, FALSE), 0)</f>
        <v>753</v>
      </c>
      <c r="V45" t="str">
        <f>IFERROR(VLOOKUP($B45, blitz!$V:$W, 2, FALSE), 0)</f>
        <v>754</v>
      </c>
      <c r="W45" t="b">
        <f t="shared" si="5"/>
        <v>0</v>
      </c>
      <c r="X45" t="str">
        <f>IFERROR(VLOOKUP($B45, aegis!$AA:$AB, 2, FALSE), 0)</f>
        <v>3</v>
      </c>
      <c r="Y45" t="str">
        <f>IFERROR(VLOOKUP($B45, duel!$AA:$AB, 2, FALSE), 0)</f>
        <v>5</v>
      </c>
      <c r="Z45" t="str">
        <f>IFERROR(VLOOKUP($B45, blitz!$AA:$AB, 2, FALSE), 0)</f>
        <v>3</v>
      </c>
      <c r="AA45" t="b">
        <f t="shared" si="6"/>
        <v>0</v>
      </c>
      <c r="AB45" t="str">
        <f>IFERROR(VLOOKUP($B45, aegis!$AF:$AG, 2, FALSE), 0)</f>
        <v>314</v>
      </c>
      <c r="AC45" s="9" t="str">
        <f>IFERROR(VLOOKUP($B45, duel!$AF:$AG, 2, FALSE), 0)</f>
        <v>313</v>
      </c>
      <c r="AD45" s="10" t="str">
        <f>IFERROR(VLOOKUP($B45, blitz!$AF:$AG, 2, FALSE), 0)</f>
        <v>314</v>
      </c>
      <c r="AE45" t="b">
        <f t="shared" si="7"/>
        <v>0</v>
      </c>
      <c r="AF45" t="str">
        <f>IFERROR(VLOOKUP($B45, aegis!$AK:$AL, 2, FALSE), 0)</f>
        <v>4</v>
      </c>
      <c r="AG45" t="str">
        <f>IFERROR(VLOOKUP($B45, duel!$AK:$AL, 2, FALSE), 0)</f>
        <v>1</v>
      </c>
      <c r="AH45" t="str">
        <f>IFERROR(VLOOKUP($B45, blitz!$AK:$AL, 2, FALSE), 0)</f>
        <v>1</v>
      </c>
      <c r="AI45" t="b">
        <f t="shared" si="8"/>
        <v>0</v>
      </c>
      <c r="AJ45" t="str">
        <f>IFERROR(VLOOKUP($B45, aegis!$AP:$AQ, 2, FALSE), 0)</f>
        <v>5</v>
      </c>
      <c r="AK45" t="str">
        <f>IFERROR(VLOOKUP($B45, duel!$AP:$AQ, 2, FALSE), 0)</f>
        <v>5</v>
      </c>
      <c r="AL45" t="str">
        <f>IFERROR(VLOOKUP($B45, blitz!$AP:$AQ, 2, FALSE), 0)</f>
        <v>5</v>
      </c>
      <c r="AM45" t="b">
        <f t="shared" si="9"/>
        <v>1</v>
      </c>
      <c r="AN45">
        <f>IFERROR(VLOOKUP($B45, aegis!$AU:$AV, 2, FALSE), 0)</f>
        <v>0</v>
      </c>
      <c r="AO45">
        <f>IFERROR(VLOOKUP($B45, duel!$AU:$AV, 2, FALSE), 0)</f>
        <v>0</v>
      </c>
      <c r="AP45">
        <f>IFERROR(VLOOKUP($B45, blitz!$AU:$AV, 2, FALSE), 0)</f>
        <v>0</v>
      </c>
      <c r="AQ45" t="b">
        <f t="shared" si="10"/>
        <v>1</v>
      </c>
      <c r="AR45" t="str">
        <f>IFERROR(VLOOKUP($B45, aegis!$AZ:$BA, 2, FALSE), 0)</f>
        <v>3</v>
      </c>
      <c r="AS45" t="str">
        <f>IFERROR(VLOOKUP($B45, duel!$AZ:$BA, 2, FALSE), 0)</f>
        <v>3</v>
      </c>
      <c r="AT45" t="str">
        <f>IFERROR(VLOOKUP($B45, blitz!$AZ:$BA, 2, FALSE), 0)</f>
        <v>3</v>
      </c>
      <c r="AU45" t="b">
        <f t="shared" si="11"/>
        <v>1</v>
      </c>
      <c r="AV45" t="str">
        <f>IFERROR(VLOOKUP($B45, aegis!$BE:$BF, 2, FALSE), 0)</f>
        <v>3</v>
      </c>
      <c r="AW45" t="str">
        <f>IFERROR(VLOOKUP($B45, duel!$BE:$BF, 2, FALSE), 0)</f>
        <v>3</v>
      </c>
      <c r="AX45" t="str">
        <f>IFERROR(VLOOKUP($B45, blitz!$BE:$BF, 2, FALSE), 0)</f>
        <v>3</v>
      </c>
      <c r="AY45" t="b">
        <f t="shared" si="12"/>
        <v>1</v>
      </c>
      <c r="AZ45" t="str">
        <f>IFERROR(VLOOKUP($B45, aegis!$BJ:$BK, 2, FALSE), 0)</f>
        <v>1</v>
      </c>
      <c r="BA45" t="str">
        <f>IFERROR(VLOOKUP($B45, duel!$BJ:$BK, 2, FALSE), 0)</f>
        <v>1</v>
      </c>
      <c r="BB45" t="str">
        <f>IFERROR(VLOOKUP($B45, blitz!$BJ:$BK, 2, FALSE), 0)</f>
        <v>1</v>
      </c>
      <c r="BC45" t="b">
        <f t="shared" si="13"/>
        <v>1</v>
      </c>
      <c r="BD45">
        <f>IFERROR(VLOOKUP($B45, aegis!$BO:$BP, 2, FALSE), 0)</f>
        <v>0</v>
      </c>
      <c r="BE45">
        <f>IFERROR(VLOOKUP($B45, duel!$BO:$BP, 2, FALSE), 0)</f>
        <v>0</v>
      </c>
      <c r="BF45">
        <f>IFERROR(VLOOKUP($B45, blitz!$BO:$BP, 2, FALSE), 0)</f>
        <v>0</v>
      </c>
      <c r="BG45" t="b">
        <f t="shared" si="14"/>
        <v>1</v>
      </c>
      <c r="BH45" t="str">
        <f>IFERROR(VLOOKUP($B45, aegis!$BT:$BU, 2, FALSE), 0)</f>
        <v>45</v>
      </c>
      <c r="BI45" t="str">
        <f>IFERROR(VLOOKUP($B45, duel!$BT:$BU, 2, FALSE), 0)</f>
        <v>45</v>
      </c>
      <c r="BJ45" t="str">
        <f>IFERROR(VLOOKUP($B45, blitz!$BT:$BU, 2, FALSE), 0)</f>
        <v>45</v>
      </c>
      <c r="BK45" t="b">
        <f t="shared" si="15"/>
        <v>1</v>
      </c>
      <c r="BL45" t="str">
        <f>IFERROR(VLOOKUP($B45, aegis!$BY:$BZ, 2, FALSE), 0)</f>
        <v>1</v>
      </c>
      <c r="BM45" t="str">
        <f>IFERROR(VLOOKUP($B45, duel!$BY:$BZ, 2, FALSE), 0)</f>
        <v>1</v>
      </c>
      <c r="BN45" t="str">
        <f>IFERROR(VLOOKUP($B45, blitz!$BY:$BZ, 2, FALSE), 0)</f>
        <v>1</v>
      </c>
      <c r="BO45" t="b">
        <f t="shared" si="16"/>
        <v>1</v>
      </c>
      <c r="BP45" t="str">
        <f>IFERROR(VLOOKUP($B45, aegis!$CD:$CE, 2, FALSE), 0)</f>
        <v>8</v>
      </c>
      <c r="BQ45" t="str">
        <f>IFERROR(VLOOKUP($B45, duel!$CD:$CE, 2, FALSE), 0)</f>
        <v>8</v>
      </c>
      <c r="BR45" t="str">
        <f>IFERROR(VLOOKUP($B45, blitz!$CD:$CE, 2, FALSE), 0)</f>
        <v>8</v>
      </c>
      <c r="BS45" t="b">
        <f t="shared" si="17"/>
        <v>1</v>
      </c>
      <c r="BT45">
        <f>IFERROR(VLOOKUP($B45, aegis!$CI:$CJ, 2, FALSE), 0)</f>
        <v>0</v>
      </c>
      <c r="BU45">
        <f>IFERROR(VLOOKUP($B45, duel!$CI:$CJ, 2, FALSE), 0)</f>
        <v>0</v>
      </c>
      <c r="BV45">
        <f>IFERROR(VLOOKUP($B45, blitz!$CI:$CJ, 2, FALSE), 0)</f>
        <v>0</v>
      </c>
      <c r="BW45" t="b">
        <f t="shared" si="18"/>
        <v>1</v>
      </c>
      <c r="BX45">
        <f>IFERROR(VLOOKUP($B45, aegis!$CN:$CO, 2, FALSE), 0)</f>
        <v>0</v>
      </c>
      <c r="BY45">
        <f>IFERROR(VLOOKUP($B45, duel!$CN:$CO, 2, FALSE), 0)</f>
        <v>0</v>
      </c>
      <c r="BZ45">
        <f>IFERROR(VLOOKUP($B45, blitz!$CN:$CO, 2, FALSE), 0)</f>
        <v>0</v>
      </c>
      <c r="CA45" t="b">
        <f t="shared" si="19"/>
        <v>1</v>
      </c>
      <c r="CB45">
        <f>IFERROR(VLOOKUP($B45, aegis!$CS:$CT, 2, FALSE), 0)</f>
        <v>0</v>
      </c>
      <c r="CC45">
        <f>IFERROR(VLOOKUP($B45, duel!$CS:$CT, 2, FALSE), 0)</f>
        <v>0</v>
      </c>
      <c r="CD45">
        <f>IFERROR(VLOOKUP($B45, blitz!$CS:$CT, 2, FALSE), 0)</f>
        <v>0</v>
      </c>
      <c r="CE45" t="b">
        <f t="shared" si="20"/>
        <v>1</v>
      </c>
      <c r="CF45" t="str">
        <f>IFERROR(VLOOKUP($B45, aegis!$CX:$CY, 2, FALSE), 0)</f>
        <v>11112</v>
      </c>
      <c r="CG45" t="str">
        <f>IFERROR(VLOOKUP($B45, duel!$CX:$CY, 2, FALSE), 0)</f>
        <v>11111</v>
      </c>
      <c r="CH45" t="str">
        <f>IFERROR(VLOOKUP($B45, blitz!$CX:$CY, 2, FALSE), 0)</f>
        <v>4291</v>
      </c>
      <c r="CI45" t="b">
        <f t="shared" si="21"/>
        <v>0</v>
      </c>
      <c r="CJ45" t="str">
        <f>IFERROR(VLOOKUP($B45, aegis!$DC:$DD, 2, FALSE), 0)</f>
        <v>1</v>
      </c>
      <c r="CK45" t="str">
        <f>IFERROR(VLOOKUP($B45, duel!$DC:$DD, 2, FALSE), 0)</f>
        <v>1</v>
      </c>
      <c r="CL45" t="str">
        <f>IFERROR(VLOOKUP($B45, blitz!$DC:$DD, 2, FALSE), 0)</f>
        <v>1</v>
      </c>
      <c r="CM45" t="b">
        <f t="shared" si="22"/>
        <v>1</v>
      </c>
      <c r="CN45" t="str">
        <f>IFERROR(VLOOKUP($B45, aegis!$DH:$DI, 2, FALSE), 0)</f>
        <v>2</v>
      </c>
      <c r="CO45" t="str">
        <f>IFERROR(VLOOKUP($B45, duel!$DH:$DI, 2, FALSE), 0)</f>
        <v>2</v>
      </c>
      <c r="CP45" s="13">
        <f>IFERROR(VLOOKUP($B45, blitz!$DH:$DI, 2, FALSE), 0)</f>
        <v>0</v>
      </c>
      <c r="CQ45" t="b">
        <f t="shared" si="23"/>
        <v>1</v>
      </c>
      <c r="CR45" t="str">
        <f>IFERROR(VLOOKUP($B45, aegis!$DM:$DN, 2, FALSE), 0)</f>
        <v>2</v>
      </c>
      <c r="CS45" t="str">
        <f>IFERROR(VLOOKUP($B45, duel!$DM:$DN, 2, FALSE), 0)</f>
        <v>2</v>
      </c>
      <c r="CT45" t="str">
        <f>IFERROR(VLOOKUP($B45, blitz!$DM:$DN, 2, FALSE), 0)</f>
        <v>2</v>
      </c>
      <c r="CU45" t="b">
        <f t="shared" si="24"/>
        <v>1</v>
      </c>
      <c r="CV45" t="str">
        <f>IFERROR(VLOOKUP($B45, aegis!$DR:$DS, 2, FALSE), 0)</f>
        <v>314</v>
      </c>
      <c r="CW45" t="str">
        <f>IFERROR(VLOOKUP($B45, duel!$DR:$DS, 2, FALSE), 0)</f>
        <v>313</v>
      </c>
      <c r="CX45" t="str">
        <f>IFERROR(VLOOKUP($B45, blitz!$DR:$DS, 2, FALSE), 0)</f>
        <v>314</v>
      </c>
      <c r="CY45" t="b">
        <f t="shared" si="25"/>
        <v>0</v>
      </c>
    </row>
    <row r="46" spans="1:103">
      <c r="A46" t="s">
        <v>1733</v>
      </c>
      <c r="B46" s="6" t="s">
        <v>86</v>
      </c>
      <c r="C46" s="5" t="b">
        <f t="shared" si="0"/>
        <v>0</v>
      </c>
      <c r="D46" t="str">
        <f>IFERROR(VLOOKUP($B46, aegis!$B:$C, 2, FALSE), 0)</f>
        <v>84</v>
      </c>
      <c r="E46" t="str">
        <f>IFERROR(VLOOKUP($B46, duel!$B:$C, 2, FALSE), 0)</f>
        <v>84</v>
      </c>
      <c r="F46" t="str">
        <f>IFERROR(VLOOKUP($B46, blitz!$B:$C, 2, FALSE), 0)</f>
        <v>84</v>
      </c>
      <c r="G46" t="b">
        <f t="shared" si="1"/>
        <v>1</v>
      </c>
      <c r="H46" t="str">
        <f>IFERROR(VLOOKUP($B46, aegis!$G:$H, 2, FALSE), 0)</f>
        <v>49</v>
      </c>
      <c r="I46" t="str">
        <f>IFERROR(VLOOKUP($B46, duel!$G:$H, 2, FALSE), 0)</f>
        <v>49</v>
      </c>
      <c r="J46" t="str">
        <f>IFERROR(VLOOKUP($B46, blitz!$G:$H, 2, FALSE), 0)</f>
        <v>49</v>
      </c>
      <c r="K46" t="b">
        <f t="shared" si="2"/>
        <v>1</v>
      </c>
      <c r="L46" t="str">
        <f>IFERROR(VLOOKUP($B46, aegis!$L:$M, 2, FALSE), 0)</f>
        <v>84</v>
      </c>
      <c r="M46" t="str">
        <f>IFERROR(VLOOKUP($B46, duel!$L:$M, 2, FALSE), 0)</f>
        <v>84</v>
      </c>
      <c r="N46" t="str">
        <f>IFERROR(VLOOKUP($B46, blitz!$L:$M, 2, FALSE), 0)</f>
        <v>84</v>
      </c>
      <c r="O46" t="b">
        <f t="shared" si="3"/>
        <v>1</v>
      </c>
      <c r="P46" t="str">
        <f>IFERROR(VLOOKUP($B46, aegis!$Q:$R, 2, FALSE), 0)</f>
        <v>49</v>
      </c>
      <c r="Q46" t="str">
        <f>IFERROR(VLOOKUP($B46, duel!$Q:$R, 2, FALSE), 0)</f>
        <v>49</v>
      </c>
      <c r="R46" t="str">
        <f>IFERROR(VLOOKUP($B46, blitz!$Q:$R, 2, FALSE), 0)</f>
        <v>49</v>
      </c>
      <c r="S46" t="b">
        <f t="shared" si="4"/>
        <v>1</v>
      </c>
      <c r="T46" t="str">
        <f>IFERROR(VLOOKUP($B46, aegis!$V:$W, 2, FALSE), 0)</f>
        <v>359</v>
      </c>
      <c r="U46" t="str">
        <f>IFERROR(VLOOKUP($B46, duel!$V:$W, 2, FALSE), 0)</f>
        <v>359</v>
      </c>
      <c r="V46" t="str">
        <f>IFERROR(VLOOKUP($B46, blitz!$V:$W, 2, FALSE), 0)</f>
        <v>359</v>
      </c>
      <c r="W46" t="b">
        <f t="shared" si="5"/>
        <v>1</v>
      </c>
      <c r="X46" t="str">
        <f>IFERROR(VLOOKUP($B46, aegis!$AA:$AB, 2, FALSE), 0)</f>
        <v>3</v>
      </c>
      <c r="Y46" t="str">
        <f>IFERROR(VLOOKUP($B46, duel!$AA:$AB, 2, FALSE), 0)</f>
        <v>6</v>
      </c>
      <c r="Z46" t="str">
        <f>IFERROR(VLOOKUP($B46, blitz!$AA:$AB, 2, FALSE), 0)</f>
        <v>3</v>
      </c>
      <c r="AA46" t="b">
        <f t="shared" si="6"/>
        <v>0</v>
      </c>
      <c r="AB46" t="str">
        <f>IFERROR(VLOOKUP($B46, aegis!$AF:$AG, 2, FALSE), 0)</f>
        <v>117</v>
      </c>
      <c r="AC46" t="str">
        <f>IFERROR(VLOOKUP($B46, duel!$AF:$AG, 2, FALSE), 0)</f>
        <v>117</v>
      </c>
      <c r="AD46" t="str">
        <f>IFERROR(VLOOKUP($B46, blitz!$AF:$AG, 2, FALSE), 0)</f>
        <v>117</v>
      </c>
      <c r="AE46" t="b">
        <f t="shared" si="7"/>
        <v>1</v>
      </c>
      <c r="AF46" t="str">
        <f>IFERROR(VLOOKUP($B46, aegis!$AK:$AL, 2, FALSE), 0)</f>
        <v>4</v>
      </c>
      <c r="AG46" t="str">
        <f>IFERROR(VLOOKUP($B46, duel!$AK:$AL, 2, FALSE), 0)</f>
        <v>1</v>
      </c>
      <c r="AH46" t="str">
        <f>IFERROR(VLOOKUP($B46, blitz!$AK:$AL, 2, FALSE), 0)</f>
        <v>1</v>
      </c>
      <c r="AI46" t="b">
        <f t="shared" si="8"/>
        <v>0</v>
      </c>
      <c r="AJ46" t="str">
        <f>IFERROR(VLOOKUP($B46, aegis!$AP:$AQ, 2, FALSE), 0)</f>
        <v>3</v>
      </c>
      <c r="AK46" t="str">
        <f>IFERROR(VLOOKUP($B46, duel!$AP:$AQ, 2, FALSE), 0)</f>
        <v>3</v>
      </c>
      <c r="AL46" t="str">
        <f>IFERROR(VLOOKUP($B46, blitz!$AP:$AQ, 2, FALSE), 0)</f>
        <v>3</v>
      </c>
      <c r="AM46" t="b">
        <f t="shared" si="9"/>
        <v>1</v>
      </c>
      <c r="AN46">
        <f>IFERROR(VLOOKUP($B46, aegis!$AU:$AV, 2, FALSE), 0)</f>
        <v>0</v>
      </c>
      <c r="AO46">
        <f>IFERROR(VLOOKUP($B46, duel!$AU:$AV, 2, FALSE), 0)</f>
        <v>0</v>
      </c>
      <c r="AP46">
        <f>IFERROR(VLOOKUP($B46, blitz!$AU:$AV, 2, FALSE), 0)</f>
        <v>0</v>
      </c>
      <c r="AQ46" t="b">
        <f t="shared" si="10"/>
        <v>1</v>
      </c>
      <c r="AR46" t="str">
        <f>IFERROR(VLOOKUP($B46, aegis!$AZ:$BA, 2, FALSE), 0)</f>
        <v>3</v>
      </c>
      <c r="AS46" t="str">
        <f>IFERROR(VLOOKUP($B46, duel!$AZ:$BA, 2, FALSE), 0)</f>
        <v>3</v>
      </c>
      <c r="AT46" t="str">
        <f>IFERROR(VLOOKUP($B46, blitz!$AZ:$BA, 2, FALSE), 0)</f>
        <v>3</v>
      </c>
      <c r="AU46" t="b">
        <f t="shared" si="11"/>
        <v>1</v>
      </c>
      <c r="AV46" t="str">
        <f>IFERROR(VLOOKUP($B46, aegis!$BE:$BF, 2, FALSE), 0)</f>
        <v>3</v>
      </c>
      <c r="AW46" t="str">
        <f>IFERROR(VLOOKUP($B46, duel!$BE:$BF, 2, FALSE), 0)</f>
        <v>3</v>
      </c>
      <c r="AX46" t="str">
        <f>IFERROR(VLOOKUP($B46, blitz!$BE:$BF, 2, FALSE), 0)</f>
        <v>3</v>
      </c>
      <c r="AY46" t="b">
        <f t="shared" si="12"/>
        <v>1</v>
      </c>
      <c r="AZ46" t="str">
        <f>IFERROR(VLOOKUP($B46, aegis!$BJ:$BK, 2, FALSE), 0)</f>
        <v>1</v>
      </c>
      <c r="BA46" t="str">
        <f>IFERROR(VLOOKUP($B46, duel!$BJ:$BK, 2, FALSE), 0)</f>
        <v>1</v>
      </c>
      <c r="BB46" t="str">
        <f>IFERROR(VLOOKUP($B46, blitz!$BJ:$BK, 2, FALSE), 0)</f>
        <v>1</v>
      </c>
      <c r="BC46" t="b">
        <f t="shared" si="13"/>
        <v>1</v>
      </c>
      <c r="BD46">
        <f>IFERROR(VLOOKUP($B46, aegis!$BO:$BP, 2, FALSE), 0)</f>
        <v>0</v>
      </c>
      <c r="BE46">
        <f>IFERROR(VLOOKUP($B46, duel!$BO:$BP, 2, FALSE), 0)</f>
        <v>0</v>
      </c>
      <c r="BF46">
        <f>IFERROR(VLOOKUP($B46, blitz!$BO:$BP, 2, FALSE), 0)</f>
        <v>0</v>
      </c>
      <c r="BG46" t="b">
        <f t="shared" si="14"/>
        <v>1</v>
      </c>
      <c r="BH46" t="str">
        <f>IFERROR(VLOOKUP($B46, aegis!$BT:$BU, 2, FALSE), 0)</f>
        <v>23</v>
      </c>
      <c r="BI46" t="str">
        <f>IFERROR(VLOOKUP($B46, duel!$BT:$BU, 2, FALSE), 0)</f>
        <v>23</v>
      </c>
      <c r="BJ46" t="str">
        <f>IFERROR(VLOOKUP($B46, blitz!$BT:$BU, 2, FALSE), 0)</f>
        <v>23</v>
      </c>
      <c r="BK46" t="b">
        <f t="shared" si="15"/>
        <v>1</v>
      </c>
      <c r="BL46" t="str">
        <f>IFERROR(VLOOKUP($B46, aegis!$BY:$BZ, 2, FALSE), 0)</f>
        <v>2</v>
      </c>
      <c r="BM46" t="str">
        <f>IFERROR(VLOOKUP($B46, duel!$BY:$BZ, 2, FALSE), 0)</f>
        <v>2</v>
      </c>
      <c r="BN46" t="str">
        <f>IFERROR(VLOOKUP($B46, blitz!$BY:$BZ, 2, FALSE), 0)</f>
        <v>2</v>
      </c>
      <c r="BO46" t="b">
        <f t="shared" si="16"/>
        <v>1</v>
      </c>
      <c r="BP46" t="str">
        <f>IFERROR(VLOOKUP($B46, aegis!$CD:$CE, 2, FALSE), 0)</f>
        <v>8</v>
      </c>
      <c r="BQ46" t="str">
        <f>IFERROR(VLOOKUP($B46, duel!$CD:$CE, 2, FALSE), 0)</f>
        <v>8</v>
      </c>
      <c r="BR46" t="str">
        <f>IFERROR(VLOOKUP($B46, blitz!$CD:$CE, 2, FALSE), 0)</f>
        <v>8</v>
      </c>
      <c r="BS46" t="b">
        <f t="shared" si="17"/>
        <v>1</v>
      </c>
      <c r="BT46">
        <f>IFERROR(VLOOKUP($B46, aegis!$CI:$CJ, 2, FALSE), 0)</f>
        <v>0</v>
      </c>
      <c r="BU46">
        <f>IFERROR(VLOOKUP($B46, duel!$CI:$CJ, 2, FALSE), 0)</f>
        <v>0</v>
      </c>
      <c r="BV46">
        <f>IFERROR(VLOOKUP($B46, blitz!$CI:$CJ, 2, FALSE), 0)</f>
        <v>0</v>
      </c>
      <c r="BW46" t="b">
        <f t="shared" si="18"/>
        <v>1</v>
      </c>
      <c r="BX46">
        <f>IFERROR(VLOOKUP($B46, aegis!$CN:$CO, 2, FALSE), 0)</f>
        <v>0</v>
      </c>
      <c r="BY46">
        <f>IFERROR(VLOOKUP($B46, duel!$CN:$CO, 2, FALSE), 0)</f>
        <v>0</v>
      </c>
      <c r="BZ46">
        <f>IFERROR(VLOOKUP($B46, blitz!$CN:$CO, 2, FALSE), 0)</f>
        <v>0</v>
      </c>
      <c r="CA46" t="b">
        <f t="shared" si="19"/>
        <v>1</v>
      </c>
      <c r="CB46">
        <f>IFERROR(VLOOKUP($B46, aegis!$CS:$CT, 2, FALSE), 0)</f>
        <v>0</v>
      </c>
      <c r="CC46">
        <f>IFERROR(VLOOKUP($B46, duel!$CS:$CT, 2, FALSE), 0)</f>
        <v>0</v>
      </c>
      <c r="CD46">
        <f>IFERROR(VLOOKUP($B46, blitz!$CS:$CT, 2, FALSE), 0)</f>
        <v>0</v>
      </c>
      <c r="CE46" t="b">
        <f t="shared" si="20"/>
        <v>1</v>
      </c>
      <c r="CF46" t="str">
        <f>IFERROR(VLOOKUP($B46, aegis!$CX:$CY, 2, FALSE), 0)</f>
        <v>14276</v>
      </c>
      <c r="CG46" t="str">
        <f>IFERROR(VLOOKUP($B46, duel!$CX:$CY, 2, FALSE), 0)</f>
        <v>14274</v>
      </c>
      <c r="CH46" t="str">
        <f>IFERROR(VLOOKUP($B46, blitz!$CX:$CY, 2, FALSE), 0)</f>
        <v>3285</v>
      </c>
      <c r="CI46" t="b">
        <f t="shared" si="21"/>
        <v>0</v>
      </c>
      <c r="CJ46" t="str">
        <f>IFERROR(VLOOKUP($B46, aegis!$DC:$DD, 2, FALSE), 0)</f>
        <v>1</v>
      </c>
      <c r="CK46" t="str">
        <f>IFERROR(VLOOKUP($B46, duel!$DC:$DD, 2, FALSE), 0)</f>
        <v>1</v>
      </c>
      <c r="CL46" t="str">
        <f>IFERROR(VLOOKUP($B46, blitz!$DC:$DD, 2, FALSE), 0)</f>
        <v>1</v>
      </c>
      <c r="CM46" t="b">
        <f t="shared" si="22"/>
        <v>1</v>
      </c>
      <c r="CN46" t="str">
        <f>IFERROR(VLOOKUP($B46, aegis!$DH:$DI, 2, FALSE), 0)</f>
        <v>8</v>
      </c>
      <c r="CO46" t="str">
        <f>IFERROR(VLOOKUP($B46, duel!$DH:$DI, 2, FALSE), 0)</f>
        <v>8</v>
      </c>
      <c r="CP46" s="13">
        <f>IFERROR(VLOOKUP($B46, blitz!$DH:$DI, 2, FALSE), 0)</f>
        <v>0</v>
      </c>
      <c r="CQ46" t="b">
        <f t="shared" si="23"/>
        <v>1</v>
      </c>
      <c r="CR46" t="str">
        <f>IFERROR(VLOOKUP($B46, aegis!$DM:$DN, 2, FALSE), 0)</f>
        <v>2</v>
      </c>
      <c r="CS46" t="str">
        <f>IFERROR(VLOOKUP($B46, duel!$DM:$DN, 2, FALSE), 0)</f>
        <v>2</v>
      </c>
      <c r="CT46" t="str">
        <f>IFERROR(VLOOKUP($B46, blitz!$DM:$DN, 2, FALSE), 0)</f>
        <v>2</v>
      </c>
      <c r="CU46" t="b">
        <f t="shared" si="24"/>
        <v>1</v>
      </c>
      <c r="CV46" t="str">
        <f>IFERROR(VLOOKUP($B46, aegis!$DR:$DS, 2, FALSE), 0)</f>
        <v>116</v>
      </c>
      <c r="CW46" t="str">
        <f>IFERROR(VLOOKUP($B46, duel!$DR:$DS, 2, FALSE), 0)</f>
        <v>116</v>
      </c>
      <c r="CX46" t="str">
        <f>IFERROR(VLOOKUP($B46, blitz!$DR:$DS, 2, FALSE), 0)</f>
        <v>116</v>
      </c>
      <c r="CY46" t="b">
        <f t="shared" si="25"/>
        <v>1</v>
      </c>
    </row>
    <row r="47" spans="1:103">
      <c r="B47" s="6" t="s">
        <v>88</v>
      </c>
      <c r="C47" s="5" t="b">
        <f t="shared" si="0"/>
        <v>0</v>
      </c>
      <c r="D47" t="str">
        <f>IFERROR(VLOOKUP($B47, aegis!$B:$C, 2, FALSE), 0)</f>
        <v>24</v>
      </c>
      <c r="E47" t="str">
        <f>IFERROR(VLOOKUP($B47, duel!$B:$C, 2, FALSE), 0)</f>
        <v>24</v>
      </c>
      <c r="F47" t="str">
        <f>IFERROR(VLOOKUP($B47, blitz!$B:$C, 2, FALSE), 0)</f>
        <v>24</v>
      </c>
      <c r="G47" t="b">
        <f t="shared" si="1"/>
        <v>1</v>
      </c>
      <c r="H47" t="str">
        <f>IFERROR(VLOOKUP($B47, aegis!$G:$H, 2, FALSE), 0)</f>
        <v>14</v>
      </c>
      <c r="I47" t="str">
        <f>IFERROR(VLOOKUP($B47, duel!$G:$H, 2, FALSE), 0)</f>
        <v>14</v>
      </c>
      <c r="J47" t="str">
        <f>IFERROR(VLOOKUP($B47, blitz!$G:$H, 2, FALSE), 0)</f>
        <v>14</v>
      </c>
      <c r="K47" t="b">
        <f t="shared" si="2"/>
        <v>1</v>
      </c>
      <c r="L47" t="str">
        <f>IFERROR(VLOOKUP($B47, aegis!$L:$M, 2, FALSE), 0)</f>
        <v>24</v>
      </c>
      <c r="M47" t="str">
        <f>IFERROR(VLOOKUP($B47, duel!$L:$M, 2, FALSE), 0)</f>
        <v>24</v>
      </c>
      <c r="N47" t="str">
        <f>IFERROR(VLOOKUP($B47, blitz!$L:$M, 2, FALSE), 0)</f>
        <v>24</v>
      </c>
      <c r="O47" t="b">
        <f t="shared" si="3"/>
        <v>1</v>
      </c>
      <c r="P47" t="str">
        <f>IFERROR(VLOOKUP($B47, aegis!$Q:$R, 2, FALSE), 0)</f>
        <v>14</v>
      </c>
      <c r="Q47" t="str">
        <f>IFERROR(VLOOKUP($B47, duel!$Q:$R, 2, FALSE), 0)</f>
        <v>14</v>
      </c>
      <c r="R47" t="str">
        <f>IFERROR(VLOOKUP($B47, blitz!$Q:$R, 2, FALSE), 0)</f>
        <v>14</v>
      </c>
      <c r="S47" t="b">
        <f t="shared" si="4"/>
        <v>1</v>
      </c>
      <c r="T47">
        <f>IFERROR(VLOOKUP($B47, aegis!$V:$W, 2, FALSE), 0)</f>
        <v>0</v>
      </c>
      <c r="U47">
        <f>IFERROR(VLOOKUP($B47, duel!$V:$W, 2, FALSE), 0)</f>
        <v>0</v>
      </c>
      <c r="V47">
        <f>IFERROR(VLOOKUP($B47, blitz!$V:$W, 2, FALSE), 0)</f>
        <v>0</v>
      </c>
      <c r="W47" t="b">
        <f t="shared" si="5"/>
        <v>1</v>
      </c>
      <c r="X47" t="str">
        <f>IFERROR(VLOOKUP($B47, aegis!$AA:$AB, 2, FALSE), 0)</f>
        <v>2</v>
      </c>
      <c r="Y47" t="str">
        <f>IFERROR(VLOOKUP($B47, duel!$AA:$AB, 2, FALSE), 0)</f>
        <v>4</v>
      </c>
      <c r="Z47" t="str">
        <f>IFERROR(VLOOKUP($B47, blitz!$AA:$AB, 2, FALSE), 0)</f>
        <v>2</v>
      </c>
      <c r="AA47" t="b">
        <f t="shared" si="6"/>
        <v>0</v>
      </c>
      <c r="AB47">
        <f>IFERROR(VLOOKUP($B47, aegis!$AF:$AG, 2, FALSE), 0)</f>
        <v>0</v>
      </c>
      <c r="AC47">
        <f>IFERROR(VLOOKUP($B47, duel!$AF:$AG, 2, FALSE), 0)</f>
        <v>0</v>
      </c>
      <c r="AD47">
        <f>IFERROR(VLOOKUP($B47, blitz!$AF:$AG, 2, FALSE), 0)</f>
        <v>0</v>
      </c>
      <c r="AE47" t="b">
        <f t="shared" si="7"/>
        <v>1</v>
      </c>
      <c r="AF47" t="str">
        <f>IFERROR(VLOOKUP($B47, aegis!$AK:$AL, 2, FALSE), 0)</f>
        <v>3</v>
      </c>
      <c r="AG47" t="str">
        <f>IFERROR(VLOOKUP($B47, duel!$AK:$AL, 2, FALSE), 0)</f>
        <v>1</v>
      </c>
      <c r="AH47" t="str">
        <f>IFERROR(VLOOKUP($B47, blitz!$AK:$AL, 2, FALSE), 0)</f>
        <v>1</v>
      </c>
      <c r="AI47" t="b">
        <f t="shared" si="8"/>
        <v>0</v>
      </c>
      <c r="AJ47" t="str">
        <f>IFERROR(VLOOKUP($B47, aegis!$AP:$AQ, 2, FALSE), 0)</f>
        <v>1</v>
      </c>
      <c r="AK47" t="str">
        <f>IFERROR(VLOOKUP($B47, duel!$AP:$AQ, 2, FALSE), 0)</f>
        <v>1</v>
      </c>
      <c r="AL47" t="str">
        <f>IFERROR(VLOOKUP($B47, blitz!$AP:$AQ, 2, FALSE), 0)</f>
        <v>1</v>
      </c>
      <c r="AM47" t="b">
        <f t="shared" si="9"/>
        <v>1</v>
      </c>
      <c r="AN47">
        <f>IFERROR(VLOOKUP($B47, aegis!$AU:$AV, 2, FALSE), 0)</f>
        <v>0</v>
      </c>
      <c r="AO47">
        <f>IFERROR(VLOOKUP($B47, duel!$AU:$AV, 2, FALSE), 0)</f>
        <v>0</v>
      </c>
      <c r="AP47">
        <f>IFERROR(VLOOKUP($B47, blitz!$AU:$AV, 2, FALSE), 0)</f>
        <v>0</v>
      </c>
      <c r="AQ47" t="b">
        <f t="shared" si="10"/>
        <v>1</v>
      </c>
      <c r="AR47" t="str">
        <f>IFERROR(VLOOKUP($B47, aegis!$AZ:$BA, 2, FALSE), 0)</f>
        <v>2</v>
      </c>
      <c r="AS47" t="str">
        <f>IFERROR(VLOOKUP($B47, duel!$AZ:$BA, 2, FALSE), 0)</f>
        <v>2</v>
      </c>
      <c r="AT47" t="str">
        <f>IFERROR(VLOOKUP($B47, blitz!$AZ:$BA, 2, FALSE), 0)</f>
        <v>2</v>
      </c>
      <c r="AU47" t="b">
        <f t="shared" si="11"/>
        <v>1</v>
      </c>
      <c r="AV47" t="str">
        <f>IFERROR(VLOOKUP($B47, aegis!$BE:$BF, 2, FALSE), 0)</f>
        <v>1</v>
      </c>
      <c r="AW47" t="str">
        <f>IFERROR(VLOOKUP($B47, duel!$BE:$BF, 2, FALSE), 0)</f>
        <v>1</v>
      </c>
      <c r="AX47" t="str">
        <f>IFERROR(VLOOKUP($B47, blitz!$BE:$BF, 2, FALSE), 0)</f>
        <v>1</v>
      </c>
      <c r="AY47" t="b">
        <f t="shared" si="12"/>
        <v>1</v>
      </c>
      <c r="AZ47" t="str">
        <f>IFERROR(VLOOKUP($B47, aegis!$BJ:$BK, 2, FALSE), 0)</f>
        <v>1</v>
      </c>
      <c r="BA47" t="str">
        <f>IFERROR(VLOOKUP($B47, duel!$BJ:$BK, 2, FALSE), 0)</f>
        <v>1</v>
      </c>
      <c r="BB47" t="str">
        <f>IFERROR(VLOOKUP($B47, blitz!$BJ:$BK, 2, FALSE), 0)</f>
        <v>1</v>
      </c>
      <c r="BC47" t="b">
        <f t="shared" si="13"/>
        <v>1</v>
      </c>
      <c r="BD47">
        <f>IFERROR(VLOOKUP($B47, aegis!$BO:$BP, 2, FALSE), 0)</f>
        <v>0</v>
      </c>
      <c r="BE47">
        <f>IFERROR(VLOOKUP($B47, duel!$BO:$BP, 2, FALSE), 0)</f>
        <v>0</v>
      </c>
      <c r="BF47">
        <f>IFERROR(VLOOKUP($B47, blitz!$BO:$BP, 2, FALSE), 0)</f>
        <v>0</v>
      </c>
      <c r="BG47" t="b">
        <f t="shared" si="14"/>
        <v>1</v>
      </c>
      <c r="BH47">
        <f>IFERROR(VLOOKUP($B47, aegis!$BT:$BU, 2, FALSE), 0)</f>
        <v>0</v>
      </c>
      <c r="BI47">
        <f>IFERROR(VLOOKUP($B47, duel!$BT:$BU, 2, FALSE), 0)</f>
        <v>0</v>
      </c>
      <c r="BJ47">
        <f>IFERROR(VLOOKUP($B47, blitz!$BT:$BU, 2, FALSE), 0)</f>
        <v>0</v>
      </c>
      <c r="BK47" t="b">
        <f t="shared" si="15"/>
        <v>1</v>
      </c>
      <c r="BL47">
        <f>IFERROR(VLOOKUP($B47, aegis!$BY:$BZ, 2, FALSE), 0)</f>
        <v>0</v>
      </c>
      <c r="BM47">
        <f>IFERROR(VLOOKUP($B47, duel!$BY:$BZ, 2, FALSE), 0)</f>
        <v>0</v>
      </c>
      <c r="BN47">
        <f>IFERROR(VLOOKUP($B47, blitz!$BY:$BZ, 2, FALSE), 0)</f>
        <v>0</v>
      </c>
      <c r="BO47" t="b">
        <f t="shared" si="16"/>
        <v>1</v>
      </c>
      <c r="BP47" t="str">
        <f>IFERROR(VLOOKUP($B47, aegis!$CD:$CE, 2, FALSE), 0)</f>
        <v>6</v>
      </c>
      <c r="BQ47" t="str">
        <f>IFERROR(VLOOKUP($B47, duel!$CD:$CE, 2, FALSE), 0)</f>
        <v>6</v>
      </c>
      <c r="BR47" t="str">
        <f>IFERROR(VLOOKUP($B47, blitz!$CD:$CE, 2, FALSE), 0)</f>
        <v>6</v>
      </c>
      <c r="BS47" t="b">
        <f t="shared" si="17"/>
        <v>1</v>
      </c>
      <c r="BT47">
        <f>IFERROR(VLOOKUP($B47, aegis!$CI:$CJ, 2, FALSE), 0)</f>
        <v>0</v>
      </c>
      <c r="BU47">
        <f>IFERROR(VLOOKUP($B47, duel!$CI:$CJ, 2, FALSE), 0)</f>
        <v>0</v>
      </c>
      <c r="BV47">
        <f>IFERROR(VLOOKUP($B47, blitz!$CI:$CJ, 2, FALSE), 0)</f>
        <v>0</v>
      </c>
      <c r="BW47" t="b">
        <f t="shared" si="18"/>
        <v>1</v>
      </c>
      <c r="BX47">
        <f>IFERROR(VLOOKUP($B47, aegis!$CN:$CO, 2, FALSE), 0)</f>
        <v>0</v>
      </c>
      <c r="BY47">
        <f>IFERROR(VLOOKUP($B47, duel!$CN:$CO, 2, FALSE), 0)</f>
        <v>0</v>
      </c>
      <c r="BZ47">
        <f>IFERROR(VLOOKUP($B47, blitz!$CN:$CO, 2, FALSE), 0)</f>
        <v>0</v>
      </c>
      <c r="CA47" t="b">
        <f t="shared" si="19"/>
        <v>1</v>
      </c>
      <c r="CB47">
        <f>IFERROR(VLOOKUP($B47, aegis!$CS:$CT, 2, FALSE), 0)</f>
        <v>0</v>
      </c>
      <c r="CC47">
        <f>IFERROR(VLOOKUP($B47, duel!$CS:$CT, 2, FALSE), 0)</f>
        <v>0</v>
      </c>
      <c r="CD47">
        <f>IFERROR(VLOOKUP($B47, blitz!$CS:$CT, 2, FALSE), 0)</f>
        <v>0</v>
      </c>
      <c r="CE47" t="b">
        <f t="shared" si="20"/>
        <v>1</v>
      </c>
      <c r="CF47">
        <f>IFERROR(VLOOKUP($B47, aegis!$CX:$CY, 2, FALSE), 0)</f>
        <v>0</v>
      </c>
      <c r="CG47">
        <f>IFERROR(VLOOKUP($B47, duel!$CX:$CY, 2, FALSE), 0)</f>
        <v>0</v>
      </c>
      <c r="CH47">
        <f>IFERROR(VLOOKUP($B47, blitz!$CX:$CY, 2, FALSE), 0)</f>
        <v>0</v>
      </c>
      <c r="CI47" t="b">
        <f t="shared" si="21"/>
        <v>1</v>
      </c>
      <c r="CJ47" t="str">
        <f>IFERROR(VLOOKUP($B47, aegis!$DC:$DD, 2, FALSE), 0)</f>
        <v>1</v>
      </c>
      <c r="CK47" t="str">
        <f>IFERROR(VLOOKUP($B47, duel!$DC:$DD, 2, FALSE), 0)</f>
        <v>1</v>
      </c>
      <c r="CL47" t="str">
        <f>IFERROR(VLOOKUP($B47, blitz!$DC:$DD, 2, FALSE), 0)</f>
        <v>1</v>
      </c>
      <c r="CM47" t="b">
        <f t="shared" si="22"/>
        <v>1</v>
      </c>
      <c r="CN47">
        <f>IFERROR(VLOOKUP($B47, aegis!$DH:$DI, 2, FALSE), 0)</f>
        <v>0</v>
      </c>
      <c r="CO47">
        <f>IFERROR(VLOOKUP($B47, duel!$DH:$DI, 2, FALSE), 0)</f>
        <v>0</v>
      </c>
      <c r="CP47" s="13">
        <f>IFERROR(VLOOKUP($B47, blitz!$DH:$DI, 2, FALSE), 0)</f>
        <v>0</v>
      </c>
      <c r="CQ47" t="b">
        <f t="shared" si="23"/>
        <v>1</v>
      </c>
      <c r="CR47">
        <f>IFERROR(VLOOKUP($B47, aegis!$DM:$DN, 2, FALSE), 0)</f>
        <v>0</v>
      </c>
      <c r="CS47">
        <f>IFERROR(VLOOKUP($B47, duel!$DM:$DN, 2, FALSE), 0)</f>
        <v>0</v>
      </c>
      <c r="CT47">
        <f>IFERROR(VLOOKUP($B47, blitz!$DM:$DN, 2, FALSE), 0)</f>
        <v>0</v>
      </c>
      <c r="CU47" t="b">
        <f t="shared" si="24"/>
        <v>1</v>
      </c>
      <c r="CV47">
        <f>IFERROR(VLOOKUP($B47, aegis!$DR:$DS, 2, FALSE), 0)</f>
        <v>0</v>
      </c>
      <c r="CW47">
        <f>IFERROR(VLOOKUP($B47, duel!$DR:$DS, 2, FALSE), 0)</f>
        <v>0</v>
      </c>
      <c r="CX47">
        <f>IFERROR(VLOOKUP($B47, blitz!$DR:$DS, 2, FALSE), 0)</f>
        <v>0</v>
      </c>
      <c r="CY47" t="b">
        <f t="shared" si="25"/>
        <v>1</v>
      </c>
    </row>
    <row r="48" spans="1:103">
      <c r="A48" t="s">
        <v>1733</v>
      </c>
      <c r="B48" s="6" t="s">
        <v>89</v>
      </c>
      <c r="C48" s="5" t="b">
        <f t="shared" si="0"/>
        <v>0</v>
      </c>
      <c r="D48" t="str">
        <f>IFERROR(VLOOKUP($B48, aegis!$B:$C, 2, FALSE), 0)</f>
        <v>96</v>
      </c>
      <c r="E48" t="str">
        <f>IFERROR(VLOOKUP($B48, duel!$B:$C, 2, FALSE), 0)</f>
        <v>96</v>
      </c>
      <c r="F48" t="str">
        <f>IFERROR(VLOOKUP($B48, blitz!$B:$C, 2, FALSE), 0)</f>
        <v>96</v>
      </c>
      <c r="G48" t="b">
        <f t="shared" si="1"/>
        <v>1</v>
      </c>
      <c r="H48" t="str">
        <f>IFERROR(VLOOKUP($B48, aegis!$G:$H, 2, FALSE), 0)</f>
        <v>56</v>
      </c>
      <c r="I48" t="str">
        <f>IFERROR(VLOOKUP($B48, duel!$G:$H, 2, FALSE), 0)</f>
        <v>56</v>
      </c>
      <c r="J48" t="str">
        <f>IFERROR(VLOOKUP($B48, blitz!$G:$H, 2, FALSE), 0)</f>
        <v>56</v>
      </c>
      <c r="K48" t="b">
        <f t="shared" si="2"/>
        <v>1</v>
      </c>
      <c r="L48" t="str">
        <f>IFERROR(VLOOKUP($B48, aegis!$L:$M, 2, FALSE), 0)</f>
        <v>96</v>
      </c>
      <c r="M48" t="str">
        <f>IFERROR(VLOOKUP($B48, duel!$L:$M, 2, FALSE), 0)</f>
        <v>96</v>
      </c>
      <c r="N48" t="str">
        <f>IFERROR(VLOOKUP($B48, blitz!$L:$M, 2, FALSE), 0)</f>
        <v>96</v>
      </c>
      <c r="O48" t="b">
        <f t="shared" si="3"/>
        <v>1</v>
      </c>
      <c r="P48" t="str">
        <f>IFERROR(VLOOKUP($B48, aegis!$Q:$R, 2, FALSE), 0)</f>
        <v>56</v>
      </c>
      <c r="Q48" t="str">
        <f>IFERROR(VLOOKUP($B48, duel!$Q:$R, 2, FALSE), 0)</f>
        <v>56</v>
      </c>
      <c r="R48" t="str">
        <f>IFERROR(VLOOKUP($B48, blitz!$Q:$R, 2, FALSE), 0)</f>
        <v>56</v>
      </c>
      <c r="S48" t="b">
        <f t="shared" si="4"/>
        <v>1</v>
      </c>
      <c r="T48" t="str">
        <f>IFERROR(VLOOKUP($B48, aegis!$V:$W, 2, FALSE), 0)</f>
        <v>5538</v>
      </c>
      <c r="U48" t="str">
        <f>IFERROR(VLOOKUP($B48, duel!$V:$W, 2, FALSE), 0)</f>
        <v>5538</v>
      </c>
      <c r="V48" t="str">
        <f>IFERROR(VLOOKUP($B48, blitz!$V:$W, 2, FALSE), 0)</f>
        <v>5538</v>
      </c>
      <c r="W48" t="b">
        <f t="shared" si="5"/>
        <v>1</v>
      </c>
      <c r="X48" t="str">
        <f>IFERROR(VLOOKUP($B48, aegis!$AA:$AB, 2, FALSE), 0)</f>
        <v>8</v>
      </c>
      <c r="Y48" t="str">
        <f>IFERROR(VLOOKUP($B48, duel!$AA:$AB, 2, FALSE), 0)</f>
        <v>16</v>
      </c>
      <c r="Z48" t="str">
        <f>IFERROR(VLOOKUP($B48, blitz!$AA:$AB, 2, FALSE), 0)</f>
        <v>8</v>
      </c>
      <c r="AA48" t="b">
        <f t="shared" si="6"/>
        <v>0</v>
      </c>
      <c r="AB48" t="str">
        <f>IFERROR(VLOOKUP($B48, aegis!$AF:$AG, 2, FALSE), 0)</f>
        <v>5538</v>
      </c>
      <c r="AC48" t="str">
        <f>IFERROR(VLOOKUP($B48, duel!$AF:$AG, 2, FALSE), 0)</f>
        <v>5538</v>
      </c>
      <c r="AD48" t="str">
        <f>IFERROR(VLOOKUP($B48, blitz!$AF:$AG, 2, FALSE), 0)</f>
        <v>5538</v>
      </c>
      <c r="AE48" t="b">
        <f t="shared" si="7"/>
        <v>1</v>
      </c>
      <c r="AF48" t="str">
        <f>IFERROR(VLOOKUP($B48, aegis!$AK:$AL, 2, FALSE), 0)</f>
        <v>9</v>
      </c>
      <c r="AG48" t="str">
        <f>IFERROR(VLOOKUP($B48, duel!$AK:$AL, 2, FALSE), 0)</f>
        <v>1</v>
      </c>
      <c r="AH48" t="str">
        <f>IFERROR(VLOOKUP($B48, blitz!$AK:$AL, 2, FALSE), 0)</f>
        <v>1</v>
      </c>
      <c r="AI48" t="b">
        <f t="shared" si="8"/>
        <v>0</v>
      </c>
      <c r="AJ48" t="str">
        <f>IFERROR(VLOOKUP($B48, aegis!$AP:$AQ, 2, FALSE), 0)</f>
        <v>8</v>
      </c>
      <c r="AK48" t="str">
        <f>IFERROR(VLOOKUP($B48, duel!$AP:$AQ, 2, FALSE), 0)</f>
        <v>8</v>
      </c>
      <c r="AL48" t="str">
        <f>IFERROR(VLOOKUP($B48, blitz!$AP:$AQ, 2, FALSE), 0)</f>
        <v>8</v>
      </c>
      <c r="AM48" t="b">
        <f t="shared" si="9"/>
        <v>1</v>
      </c>
      <c r="AN48">
        <f>IFERROR(VLOOKUP($B48, aegis!$AU:$AV, 2, FALSE), 0)</f>
        <v>0</v>
      </c>
      <c r="AO48">
        <f>IFERROR(VLOOKUP($B48, duel!$AU:$AV, 2, FALSE), 0)</f>
        <v>0</v>
      </c>
      <c r="AP48">
        <f>IFERROR(VLOOKUP($B48, blitz!$AU:$AV, 2, FALSE), 0)</f>
        <v>0</v>
      </c>
      <c r="AQ48" t="b">
        <f t="shared" si="10"/>
        <v>1</v>
      </c>
      <c r="AR48" t="str">
        <f>IFERROR(VLOOKUP($B48, aegis!$AZ:$BA, 2, FALSE), 0)</f>
        <v>8</v>
      </c>
      <c r="AS48" t="str">
        <f>IFERROR(VLOOKUP($B48, duel!$AZ:$BA, 2, FALSE), 0)</f>
        <v>8</v>
      </c>
      <c r="AT48" t="str">
        <f>IFERROR(VLOOKUP($B48, blitz!$AZ:$BA, 2, FALSE), 0)</f>
        <v>8</v>
      </c>
      <c r="AU48" t="b">
        <f t="shared" si="11"/>
        <v>1</v>
      </c>
      <c r="AV48" t="str">
        <f>IFERROR(VLOOKUP($B48, aegis!$BE:$BF, 2, FALSE), 0)</f>
        <v>8</v>
      </c>
      <c r="AW48" t="str">
        <f>IFERROR(VLOOKUP($B48, duel!$BE:$BF, 2, FALSE), 0)</f>
        <v>8</v>
      </c>
      <c r="AX48" t="str">
        <f>IFERROR(VLOOKUP($B48, blitz!$BE:$BF, 2, FALSE), 0)</f>
        <v>8</v>
      </c>
      <c r="AY48" t="b">
        <f t="shared" si="12"/>
        <v>1</v>
      </c>
      <c r="AZ48" t="str">
        <f>IFERROR(VLOOKUP($B48, aegis!$BJ:$BK, 2, FALSE), 0)</f>
        <v>1</v>
      </c>
      <c r="BA48" t="str">
        <f>IFERROR(VLOOKUP($B48, duel!$BJ:$BK, 2, FALSE), 0)</f>
        <v>1</v>
      </c>
      <c r="BB48" t="str">
        <f>IFERROR(VLOOKUP($B48, blitz!$BJ:$BK, 2, FALSE), 0)</f>
        <v>1</v>
      </c>
      <c r="BC48" t="b">
        <f t="shared" si="13"/>
        <v>1</v>
      </c>
      <c r="BD48">
        <f>IFERROR(VLOOKUP($B48, aegis!$BO:$BP, 2, FALSE), 0)</f>
        <v>0</v>
      </c>
      <c r="BE48">
        <f>IFERROR(VLOOKUP($B48, duel!$BO:$BP, 2, FALSE), 0)</f>
        <v>0</v>
      </c>
      <c r="BF48">
        <f>IFERROR(VLOOKUP($B48, blitz!$BO:$BP, 2, FALSE), 0)</f>
        <v>0</v>
      </c>
      <c r="BG48" t="b">
        <f t="shared" si="14"/>
        <v>1</v>
      </c>
      <c r="BH48" t="str">
        <f>IFERROR(VLOOKUP($B48, aegis!$BT:$BU, 2, FALSE), 0)</f>
        <v>465</v>
      </c>
      <c r="BI48" t="str">
        <f>IFERROR(VLOOKUP($B48, duel!$BT:$BU, 2, FALSE), 0)</f>
        <v>465</v>
      </c>
      <c r="BJ48" t="str">
        <f>IFERROR(VLOOKUP($B48, blitz!$BT:$BU, 2, FALSE), 0)</f>
        <v>465</v>
      </c>
      <c r="BK48" t="b">
        <f t="shared" si="15"/>
        <v>1</v>
      </c>
      <c r="BL48" t="str">
        <f>IFERROR(VLOOKUP($B48, aegis!$BY:$BZ, 2, FALSE), 0)</f>
        <v>1</v>
      </c>
      <c r="BM48" t="str">
        <f>IFERROR(VLOOKUP($B48, duel!$BY:$BZ, 2, FALSE), 0)</f>
        <v>1</v>
      </c>
      <c r="BN48" t="str">
        <f>IFERROR(VLOOKUP($B48, blitz!$BY:$BZ, 2, FALSE), 0)</f>
        <v>1</v>
      </c>
      <c r="BO48" t="b">
        <f t="shared" si="16"/>
        <v>1</v>
      </c>
      <c r="BP48" t="str">
        <f>IFERROR(VLOOKUP($B48, aegis!$CD:$CE, 2, FALSE), 0)</f>
        <v>31</v>
      </c>
      <c r="BQ48" t="str">
        <f>IFERROR(VLOOKUP($B48, duel!$CD:$CE, 2, FALSE), 0)</f>
        <v>31</v>
      </c>
      <c r="BR48" t="str">
        <f>IFERROR(VLOOKUP($B48, blitz!$CD:$CE, 2, FALSE), 0)</f>
        <v>31</v>
      </c>
      <c r="BS48" t="b">
        <f t="shared" si="17"/>
        <v>1</v>
      </c>
      <c r="BT48">
        <f>IFERROR(VLOOKUP($B48, aegis!$CI:$CJ, 2, FALSE), 0)</f>
        <v>0</v>
      </c>
      <c r="BU48">
        <f>IFERROR(VLOOKUP($B48, duel!$CI:$CJ, 2, FALSE), 0)</f>
        <v>0</v>
      </c>
      <c r="BV48">
        <f>IFERROR(VLOOKUP($B48, blitz!$CI:$CJ, 2, FALSE), 0)</f>
        <v>0</v>
      </c>
      <c r="BW48" t="b">
        <f t="shared" si="18"/>
        <v>1</v>
      </c>
      <c r="BX48">
        <f>IFERROR(VLOOKUP($B48, aegis!$CN:$CO, 2, FALSE), 0)</f>
        <v>0</v>
      </c>
      <c r="BY48">
        <f>IFERROR(VLOOKUP($B48, duel!$CN:$CO, 2, FALSE), 0)</f>
        <v>0</v>
      </c>
      <c r="BZ48">
        <f>IFERROR(VLOOKUP($B48, blitz!$CN:$CO, 2, FALSE), 0)</f>
        <v>0</v>
      </c>
      <c r="CA48" t="b">
        <f t="shared" si="19"/>
        <v>1</v>
      </c>
      <c r="CB48">
        <f>IFERROR(VLOOKUP($B48, aegis!$CS:$CT, 2, FALSE), 0)</f>
        <v>0</v>
      </c>
      <c r="CC48">
        <f>IFERROR(VLOOKUP($B48, duel!$CS:$CT, 2, FALSE), 0)</f>
        <v>0</v>
      </c>
      <c r="CD48">
        <f>IFERROR(VLOOKUP($B48, blitz!$CS:$CT, 2, FALSE), 0)</f>
        <v>0</v>
      </c>
      <c r="CE48" t="b">
        <f t="shared" si="20"/>
        <v>1</v>
      </c>
      <c r="CF48" t="str">
        <f>IFERROR(VLOOKUP($B48, aegis!$CX:$CY, 2, FALSE), 0)</f>
        <v>170096</v>
      </c>
      <c r="CG48" t="str">
        <f>IFERROR(VLOOKUP($B48, duel!$CX:$CY, 2, FALSE), 0)</f>
        <v>170096</v>
      </c>
      <c r="CH48">
        <f>IFERROR(VLOOKUP($B48, blitz!$CX:$CY, 2, FALSE), 0)</f>
        <v>0</v>
      </c>
      <c r="CI48" t="b">
        <f t="shared" si="21"/>
        <v>0</v>
      </c>
      <c r="CJ48" t="str">
        <f>IFERROR(VLOOKUP($B48, aegis!$DC:$DD, 2, FALSE), 0)</f>
        <v>1</v>
      </c>
      <c r="CK48" t="str">
        <f>IFERROR(VLOOKUP($B48, duel!$DC:$DD, 2, FALSE), 0)</f>
        <v>1</v>
      </c>
      <c r="CL48" t="str">
        <f>IFERROR(VLOOKUP($B48, blitz!$DC:$DD, 2, FALSE), 0)</f>
        <v>1</v>
      </c>
      <c r="CM48" t="b">
        <f t="shared" si="22"/>
        <v>1</v>
      </c>
      <c r="CN48" t="str">
        <f>IFERROR(VLOOKUP($B48, aegis!$DH:$DI, 2, FALSE), 0)</f>
        <v>21</v>
      </c>
      <c r="CO48" t="str">
        <f>IFERROR(VLOOKUP($B48, duel!$DH:$DI, 2, FALSE), 0)</f>
        <v>21</v>
      </c>
      <c r="CP48" s="13">
        <f>IFERROR(VLOOKUP($B48, blitz!$DH:$DI, 2, FALSE), 0)</f>
        <v>0</v>
      </c>
      <c r="CQ48" t="b">
        <f t="shared" si="23"/>
        <v>1</v>
      </c>
      <c r="CR48" t="str">
        <f>IFERROR(VLOOKUP($B48, aegis!$DM:$DN, 2, FALSE), 0)</f>
        <v>7</v>
      </c>
      <c r="CS48" t="str">
        <f>IFERROR(VLOOKUP($B48, duel!$DM:$DN, 2, FALSE), 0)</f>
        <v>7</v>
      </c>
      <c r="CT48" t="str">
        <f>IFERROR(VLOOKUP($B48, blitz!$DM:$DN, 2, FALSE), 0)</f>
        <v>7</v>
      </c>
      <c r="CU48" t="b">
        <f t="shared" si="24"/>
        <v>1</v>
      </c>
      <c r="CV48" t="str">
        <f>IFERROR(VLOOKUP($B48, aegis!$DR:$DS, 2, FALSE), 0)</f>
        <v>5538</v>
      </c>
      <c r="CW48" t="str">
        <f>IFERROR(VLOOKUP($B48, duel!$DR:$DS, 2, FALSE), 0)</f>
        <v>5538</v>
      </c>
      <c r="CX48" t="str">
        <f>IFERROR(VLOOKUP($B48, blitz!$DR:$DS, 2, FALSE), 0)</f>
        <v>5538</v>
      </c>
      <c r="CY48" t="b">
        <f t="shared" si="25"/>
        <v>1</v>
      </c>
    </row>
    <row r="49" spans="1:103">
      <c r="A49" t="s">
        <v>1733</v>
      </c>
      <c r="B49" s="6" t="s">
        <v>91</v>
      </c>
      <c r="C49" s="5" t="b">
        <f t="shared" si="0"/>
        <v>0</v>
      </c>
      <c r="D49" t="str">
        <f>IFERROR(VLOOKUP($B49, aegis!$B:$C, 2, FALSE), 0)</f>
        <v>48</v>
      </c>
      <c r="E49" t="str">
        <f>IFERROR(VLOOKUP($B49, duel!$B:$C, 2, FALSE), 0)</f>
        <v>48</v>
      </c>
      <c r="F49" t="str">
        <f>IFERROR(VLOOKUP($B49, blitz!$B:$C, 2, FALSE), 0)</f>
        <v>48</v>
      </c>
      <c r="G49" t="b">
        <f t="shared" si="1"/>
        <v>1</v>
      </c>
      <c r="H49" t="str">
        <f>IFERROR(VLOOKUP($B49, aegis!$G:$H, 2, FALSE), 0)</f>
        <v>28</v>
      </c>
      <c r="I49" t="str">
        <f>IFERROR(VLOOKUP($B49, duel!$G:$H, 2, FALSE), 0)</f>
        <v>28</v>
      </c>
      <c r="J49" t="str">
        <f>IFERROR(VLOOKUP($B49, blitz!$G:$H, 2, FALSE), 0)</f>
        <v>28</v>
      </c>
      <c r="K49" t="b">
        <f t="shared" si="2"/>
        <v>1</v>
      </c>
      <c r="L49" t="str">
        <f>IFERROR(VLOOKUP($B49, aegis!$L:$M, 2, FALSE), 0)</f>
        <v>48</v>
      </c>
      <c r="M49" t="str">
        <f>IFERROR(VLOOKUP($B49, duel!$L:$M, 2, FALSE), 0)</f>
        <v>48</v>
      </c>
      <c r="N49" t="str">
        <f>IFERROR(VLOOKUP($B49, blitz!$L:$M, 2, FALSE), 0)</f>
        <v>48</v>
      </c>
      <c r="O49" t="b">
        <f t="shared" si="3"/>
        <v>1</v>
      </c>
      <c r="P49" t="str">
        <f>IFERROR(VLOOKUP($B49, aegis!$Q:$R, 2, FALSE), 0)</f>
        <v>28</v>
      </c>
      <c r="Q49" t="str">
        <f>IFERROR(VLOOKUP($B49, duel!$Q:$R, 2, FALSE), 0)</f>
        <v>28</v>
      </c>
      <c r="R49" t="str">
        <f>IFERROR(VLOOKUP($B49, blitz!$Q:$R, 2, FALSE), 0)</f>
        <v>28</v>
      </c>
      <c r="S49" t="b">
        <f t="shared" si="4"/>
        <v>1</v>
      </c>
      <c r="T49" t="str">
        <f>IFERROR(VLOOKUP($B49, aegis!$V:$W, 2, FALSE), 0)</f>
        <v>38</v>
      </c>
      <c r="U49" t="str">
        <f>IFERROR(VLOOKUP($B49, duel!$V:$W, 2, FALSE), 0)</f>
        <v>38</v>
      </c>
      <c r="V49" t="str">
        <f>IFERROR(VLOOKUP($B49, blitz!$V:$W, 2, FALSE), 0)</f>
        <v>38</v>
      </c>
      <c r="W49" t="b">
        <f t="shared" si="5"/>
        <v>1</v>
      </c>
      <c r="X49" t="str">
        <f>IFERROR(VLOOKUP($B49, aegis!$AA:$AB, 2, FALSE), 0)</f>
        <v>3</v>
      </c>
      <c r="Y49" t="str">
        <f>IFERROR(VLOOKUP($B49, duel!$AA:$AB, 2, FALSE), 0)</f>
        <v>5</v>
      </c>
      <c r="Z49" t="str">
        <f>IFERROR(VLOOKUP($B49, blitz!$AA:$AB, 2, FALSE), 0)</f>
        <v>3</v>
      </c>
      <c r="AA49" t="b">
        <f t="shared" si="6"/>
        <v>0</v>
      </c>
      <c r="AB49" t="str">
        <f>IFERROR(VLOOKUP($B49, aegis!$AF:$AG, 2, FALSE), 0)</f>
        <v>23</v>
      </c>
      <c r="AC49" t="str">
        <f>IFERROR(VLOOKUP($B49, duel!$AF:$AG, 2, FALSE), 0)</f>
        <v>23</v>
      </c>
      <c r="AD49" t="str">
        <f>IFERROR(VLOOKUP($B49, blitz!$AF:$AG, 2, FALSE), 0)</f>
        <v>23</v>
      </c>
      <c r="AE49" t="b">
        <f t="shared" si="7"/>
        <v>1</v>
      </c>
      <c r="AF49" t="str">
        <f>IFERROR(VLOOKUP($B49, aegis!$AK:$AL, 2, FALSE), 0)</f>
        <v>4</v>
      </c>
      <c r="AG49" t="str">
        <f>IFERROR(VLOOKUP($B49, duel!$AK:$AL, 2, FALSE), 0)</f>
        <v>1</v>
      </c>
      <c r="AH49" t="str">
        <f>IFERROR(VLOOKUP($B49, blitz!$AK:$AL, 2, FALSE), 0)</f>
        <v>1</v>
      </c>
      <c r="AI49" t="b">
        <f t="shared" si="8"/>
        <v>0</v>
      </c>
      <c r="AJ49" t="str">
        <f>IFERROR(VLOOKUP($B49, aegis!$AP:$AQ, 2, FALSE), 0)</f>
        <v>5</v>
      </c>
      <c r="AK49" t="str">
        <f>IFERROR(VLOOKUP($B49, duel!$AP:$AQ, 2, FALSE), 0)</f>
        <v>5</v>
      </c>
      <c r="AL49" t="str">
        <f>IFERROR(VLOOKUP($B49, blitz!$AP:$AQ, 2, FALSE), 0)</f>
        <v>5</v>
      </c>
      <c r="AM49" t="b">
        <f t="shared" si="9"/>
        <v>1</v>
      </c>
      <c r="AN49">
        <f>IFERROR(VLOOKUP($B49, aegis!$AU:$AV, 2, FALSE), 0)</f>
        <v>0</v>
      </c>
      <c r="AO49">
        <f>IFERROR(VLOOKUP($B49, duel!$AU:$AV, 2, FALSE), 0)</f>
        <v>0</v>
      </c>
      <c r="AP49">
        <f>IFERROR(VLOOKUP($B49, blitz!$AU:$AV, 2, FALSE), 0)</f>
        <v>0</v>
      </c>
      <c r="AQ49" t="b">
        <f t="shared" si="10"/>
        <v>1</v>
      </c>
      <c r="AR49" t="str">
        <f>IFERROR(VLOOKUP($B49, aegis!$AZ:$BA, 2, FALSE), 0)</f>
        <v>3</v>
      </c>
      <c r="AS49" t="str">
        <f>IFERROR(VLOOKUP($B49, duel!$AZ:$BA, 2, FALSE), 0)</f>
        <v>3</v>
      </c>
      <c r="AT49" t="str">
        <f>IFERROR(VLOOKUP($B49, blitz!$AZ:$BA, 2, FALSE), 0)</f>
        <v>3</v>
      </c>
      <c r="AU49" t="b">
        <f t="shared" si="11"/>
        <v>1</v>
      </c>
      <c r="AV49" t="str">
        <f>IFERROR(VLOOKUP($B49, aegis!$BE:$BF, 2, FALSE), 0)</f>
        <v>3</v>
      </c>
      <c r="AW49" t="str">
        <f>IFERROR(VLOOKUP($B49, duel!$BE:$BF, 2, FALSE), 0)</f>
        <v>3</v>
      </c>
      <c r="AX49" t="str">
        <f>IFERROR(VLOOKUP($B49, blitz!$BE:$BF, 2, FALSE), 0)</f>
        <v>3</v>
      </c>
      <c r="AY49" t="b">
        <f t="shared" si="12"/>
        <v>1</v>
      </c>
      <c r="AZ49" t="str">
        <f>IFERROR(VLOOKUP($B49, aegis!$BJ:$BK, 2, FALSE), 0)</f>
        <v>1</v>
      </c>
      <c r="BA49" t="str">
        <f>IFERROR(VLOOKUP($B49, duel!$BJ:$BK, 2, FALSE), 0)</f>
        <v>1</v>
      </c>
      <c r="BB49" t="str">
        <f>IFERROR(VLOOKUP($B49, blitz!$BJ:$BK, 2, FALSE), 0)</f>
        <v>1</v>
      </c>
      <c r="BC49" t="b">
        <f t="shared" si="13"/>
        <v>1</v>
      </c>
      <c r="BD49">
        <f>IFERROR(VLOOKUP($B49, aegis!$BO:$BP, 2, FALSE), 0)</f>
        <v>0</v>
      </c>
      <c r="BE49">
        <f>IFERROR(VLOOKUP($B49, duel!$BO:$BP, 2, FALSE), 0)</f>
        <v>0</v>
      </c>
      <c r="BF49">
        <f>IFERROR(VLOOKUP($B49, blitz!$BO:$BP, 2, FALSE), 0)</f>
        <v>0</v>
      </c>
      <c r="BG49" t="b">
        <f t="shared" si="14"/>
        <v>1</v>
      </c>
      <c r="BH49" t="str">
        <f>IFERROR(VLOOKUP($B49, aegis!$BT:$BU, 2, FALSE), 0)</f>
        <v>16</v>
      </c>
      <c r="BI49" t="str">
        <f>IFERROR(VLOOKUP($B49, duel!$BT:$BU, 2, FALSE), 0)</f>
        <v>16</v>
      </c>
      <c r="BJ49" t="str">
        <f>IFERROR(VLOOKUP($B49, blitz!$BT:$BU, 2, FALSE), 0)</f>
        <v>16</v>
      </c>
      <c r="BK49" t="b">
        <f t="shared" si="15"/>
        <v>1</v>
      </c>
      <c r="BL49" t="str">
        <f>IFERROR(VLOOKUP($B49, aegis!$BY:$BZ, 2, FALSE), 0)</f>
        <v>1</v>
      </c>
      <c r="BM49" t="str">
        <f>IFERROR(VLOOKUP($B49, duel!$BY:$BZ, 2, FALSE), 0)</f>
        <v>1</v>
      </c>
      <c r="BN49" t="str">
        <f>IFERROR(VLOOKUP($B49, blitz!$BY:$BZ, 2, FALSE), 0)</f>
        <v>1</v>
      </c>
      <c r="BO49" t="b">
        <f t="shared" si="16"/>
        <v>1</v>
      </c>
      <c r="BP49" t="str">
        <f>IFERROR(VLOOKUP($B49, aegis!$CD:$CE, 2, FALSE), 0)</f>
        <v>12</v>
      </c>
      <c r="BQ49" t="str">
        <f>IFERROR(VLOOKUP($B49, duel!$CD:$CE, 2, FALSE), 0)</f>
        <v>12</v>
      </c>
      <c r="BR49" t="str">
        <f>IFERROR(VLOOKUP($B49, blitz!$CD:$CE, 2, FALSE), 0)</f>
        <v>12</v>
      </c>
      <c r="BS49" t="b">
        <f t="shared" si="17"/>
        <v>1</v>
      </c>
      <c r="BT49">
        <f>IFERROR(VLOOKUP($B49, aegis!$CI:$CJ, 2, FALSE), 0)</f>
        <v>0</v>
      </c>
      <c r="BU49">
        <f>IFERROR(VLOOKUP($B49, duel!$CI:$CJ, 2, FALSE), 0)</f>
        <v>0</v>
      </c>
      <c r="BV49">
        <f>IFERROR(VLOOKUP($B49, blitz!$CI:$CJ, 2, FALSE), 0)</f>
        <v>0</v>
      </c>
      <c r="BW49" t="b">
        <f t="shared" si="18"/>
        <v>1</v>
      </c>
      <c r="BX49">
        <f>IFERROR(VLOOKUP($B49, aegis!$CN:$CO, 2, FALSE), 0)</f>
        <v>0</v>
      </c>
      <c r="BY49">
        <f>IFERROR(VLOOKUP($B49, duel!$CN:$CO, 2, FALSE), 0)</f>
        <v>0</v>
      </c>
      <c r="BZ49">
        <f>IFERROR(VLOOKUP($B49, blitz!$CN:$CO, 2, FALSE), 0)</f>
        <v>0</v>
      </c>
      <c r="CA49" t="b">
        <f t="shared" si="19"/>
        <v>1</v>
      </c>
      <c r="CB49">
        <f>IFERROR(VLOOKUP($B49, aegis!$CS:$CT, 2, FALSE), 0)</f>
        <v>0</v>
      </c>
      <c r="CC49">
        <f>IFERROR(VLOOKUP($B49, duel!$CS:$CT, 2, FALSE), 0)</f>
        <v>0</v>
      </c>
      <c r="CD49">
        <f>IFERROR(VLOOKUP($B49, blitz!$CS:$CT, 2, FALSE), 0)</f>
        <v>0</v>
      </c>
      <c r="CE49" t="b">
        <f t="shared" si="20"/>
        <v>1</v>
      </c>
      <c r="CF49" t="str">
        <f>IFERROR(VLOOKUP($B49, aegis!$CX:$CY, 2, FALSE), 0)</f>
        <v>5029</v>
      </c>
      <c r="CG49" t="str">
        <f>IFERROR(VLOOKUP($B49, duel!$CX:$CY, 2, FALSE), 0)</f>
        <v>5028</v>
      </c>
      <c r="CH49" t="str">
        <f>IFERROR(VLOOKUP($B49, blitz!$CX:$CY, 2, FALSE), 0)</f>
        <v>2017</v>
      </c>
      <c r="CI49" t="b">
        <f t="shared" si="21"/>
        <v>0</v>
      </c>
      <c r="CJ49" t="str">
        <f>IFERROR(VLOOKUP($B49, aegis!$DC:$DD, 2, FALSE), 0)</f>
        <v>1</v>
      </c>
      <c r="CK49" t="str">
        <f>IFERROR(VLOOKUP($B49, duel!$DC:$DD, 2, FALSE), 0)</f>
        <v>1</v>
      </c>
      <c r="CL49" t="str">
        <f>IFERROR(VLOOKUP($B49, blitz!$DC:$DD, 2, FALSE), 0)</f>
        <v>1</v>
      </c>
      <c r="CM49" t="b">
        <f t="shared" si="22"/>
        <v>1</v>
      </c>
      <c r="CN49" t="str">
        <f>IFERROR(VLOOKUP($B49, aegis!$DH:$DI, 2, FALSE), 0)</f>
        <v>4</v>
      </c>
      <c r="CO49" t="str">
        <f>IFERROR(VLOOKUP($B49, duel!$DH:$DI, 2, FALSE), 0)</f>
        <v>4</v>
      </c>
      <c r="CP49" s="13">
        <f>IFERROR(VLOOKUP($B49, blitz!$DH:$DI, 2, FALSE), 0)</f>
        <v>0</v>
      </c>
      <c r="CQ49" t="b">
        <f t="shared" si="23"/>
        <v>1</v>
      </c>
      <c r="CR49" t="str">
        <f>IFERROR(VLOOKUP($B49, aegis!$DM:$DN, 2, FALSE), 0)</f>
        <v>4</v>
      </c>
      <c r="CS49" t="str">
        <f>IFERROR(VLOOKUP($B49, duel!$DM:$DN, 2, FALSE), 0)</f>
        <v>4</v>
      </c>
      <c r="CT49" t="str">
        <f>IFERROR(VLOOKUP($B49, blitz!$DM:$DN, 2, FALSE), 0)</f>
        <v>4</v>
      </c>
      <c r="CU49" t="b">
        <f t="shared" si="24"/>
        <v>1</v>
      </c>
      <c r="CV49" t="str">
        <f>IFERROR(VLOOKUP($B49, aegis!$DR:$DS, 2, FALSE), 0)</f>
        <v>23</v>
      </c>
      <c r="CW49" t="str">
        <f>IFERROR(VLOOKUP($B49, duel!$DR:$DS, 2, FALSE), 0)</f>
        <v>23</v>
      </c>
      <c r="CX49" t="str">
        <f>IFERROR(VLOOKUP($B49, blitz!$DR:$DS, 2, FALSE), 0)</f>
        <v>23</v>
      </c>
      <c r="CY49" t="b">
        <f t="shared" si="25"/>
        <v>1</v>
      </c>
    </row>
    <row r="50" spans="1:103">
      <c r="A50" t="s">
        <v>1733</v>
      </c>
      <c r="B50" s="6" t="s">
        <v>93</v>
      </c>
      <c r="C50" s="5" t="b">
        <f t="shared" si="0"/>
        <v>0</v>
      </c>
      <c r="D50" t="str">
        <f>IFERROR(VLOOKUP($B50, aegis!$B:$C, 2, FALSE), 0)</f>
        <v>72</v>
      </c>
      <c r="E50" t="str">
        <f>IFERROR(VLOOKUP($B50, duel!$B:$C, 2, FALSE), 0)</f>
        <v>72</v>
      </c>
      <c r="F50" t="str">
        <f>IFERROR(VLOOKUP($B50, blitz!$B:$C, 2, FALSE), 0)</f>
        <v>72</v>
      </c>
      <c r="G50" t="b">
        <f t="shared" si="1"/>
        <v>1</v>
      </c>
      <c r="H50" t="str">
        <f>IFERROR(VLOOKUP($B50, aegis!$G:$H, 2, FALSE), 0)</f>
        <v>42</v>
      </c>
      <c r="I50" t="str">
        <f>IFERROR(VLOOKUP($B50, duel!$G:$H, 2, FALSE), 0)</f>
        <v>42</v>
      </c>
      <c r="J50" t="str">
        <f>IFERROR(VLOOKUP($B50, blitz!$G:$H, 2, FALSE), 0)</f>
        <v>42</v>
      </c>
      <c r="K50" t="b">
        <f t="shared" si="2"/>
        <v>1</v>
      </c>
      <c r="L50" t="str">
        <f>IFERROR(VLOOKUP($B50, aegis!$L:$M, 2, FALSE), 0)</f>
        <v>72</v>
      </c>
      <c r="M50" t="str">
        <f>IFERROR(VLOOKUP($B50, duel!$L:$M, 2, FALSE), 0)</f>
        <v>72</v>
      </c>
      <c r="N50" t="str">
        <f>IFERROR(VLOOKUP($B50, blitz!$L:$M, 2, FALSE), 0)</f>
        <v>72</v>
      </c>
      <c r="O50" t="b">
        <f t="shared" si="3"/>
        <v>1</v>
      </c>
      <c r="P50" t="str">
        <f>IFERROR(VLOOKUP($B50, aegis!$Q:$R, 2, FALSE), 0)</f>
        <v>42</v>
      </c>
      <c r="Q50" t="str">
        <f>IFERROR(VLOOKUP($B50, duel!$Q:$R, 2, FALSE), 0)</f>
        <v>42</v>
      </c>
      <c r="R50" t="str">
        <f>IFERROR(VLOOKUP($B50, blitz!$Q:$R, 2, FALSE), 0)</f>
        <v>42</v>
      </c>
      <c r="S50" t="b">
        <f t="shared" si="4"/>
        <v>1</v>
      </c>
      <c r="T50" t="str">
        <f>IFERROR(VLOOKUP($B50, aegis!$V:$W, 2, FALSE), 0)</f>
        <v>65</v>
      </c>
      <c r="U50" t="str">
        <f>IFERROR(VLOOKUP($B50, duel!$V:$W, 2, FALSE), 0)</f>
        <v>65</v>
      </c>
      <c r="V50" t="str">
        <f>IFERROR(VLOOKUP($B50, blitz!$V:$W, 2, FALSE), 0)</f>
        <v>65</v>
      </c>
      <c r="W50" t="b">
        <f t="shared" si="5"/>
        <v>1</v>
      </c>
      <c r="X50" t="str">
        <f>IFERROR(VLOOKUP($B50, aegis!$AA:$AB, 2, FALSE), 0)</f>
        <v>3</v>
      </c>
      <c r="Y50" t="str">
        <f>IFERROR(VLOOKUP($B50, duel!$AA:$AB, 2, FALSE), 0)</f>
        <v>5</v>
      </c>
      <c r="Z50" t="str">
        <f>IFERROR(VLOOKUP($B50, blitz!$AA:$AB, 2, FALSE), 0)</f>
        <v>3</v>
      </c>
      <c r="AA50" t="b">
        <f t="shared" si="6"/>
        <v>0</v>
      </c>
      <c r="AB50" t="str">
        <f>IFERROR(VLOOKUP($B50, aegis!$AF:$AG, 2, FALSE), 0)</f>
        <v>24</v>
      </c>
      <c r="AC50" t="str">
        <f>IFERROR(VLOOKUP($B50, duel!$AF:$AG, 2, FALSE), 0)</f>
        <v>24</v>
      </c>
      <c r="AD50" t="str">
        <f>IFERROR(VLOOKUP($B50, blitz!$AF:$AG, 2, FALSE), 0)</f>
        <v>24</v>
      </c>
      <c r="AE50" t="b">
        <f t="shared" si="7"/>
        <v>1</v>
      </c>
      <c r="AF50" t="str">
        <f>IFERROR(VLOOKUP($B50, aegis!$AK:$AL, 2, FALSE), 0)</f>
        <v>4</v>
      </c>
      <c r="AG50" t="str">
        <f>IFERROR(VLOOKUP($B50, duel!$AK:$AL, 2, FALSE), 0)</f>
        <v>1</v>
      </c>
      <c r="AH50" t="str">
        <f>IFERROR(VLOOKUP($B50, blitz!$AK:$AL, 2, FALSE), 0)</f>
        <v>1</v>
      </c>
      <c r="AI50" t="b">
        <f t="shared" si="8"/>
        <v>0</v>
      </c>
      <c r="AJ50" t="str">
        <f>IFERROR(VLOOKUP($B50, aegis!$AP:$AQ, 2, FALSE), 0)</f>
        <v>4</v>
      </c>
      <c r="AK50" t="str">
        <f>IFERROR(VLOOKUP($B50, duel!$AP:$AQ, 2, FALSE), 0)</f>
        <v>4</v>
      </c>
      <c r="AL50" t="str">
        <f>IFERROR(VLOOKUP($B50, blitz!$AP:$AQ, 2, FALSE), 0)</f>
        <v>4</v>
      </c>
      <c r="AM50" t="b">
        <f t="shared" si="9"/>
        <v>1</v>
      </c>
      <c r="AN50">
        <f>IFERROR(VLOOKUP($B50, aegis!$AU:$AV, 2, FALSE), 0)</f>
        <v>0</v>
      </c>
      <c r="AO50">
        <f>IFERROR(VLOOKUP($B50, duel!$AU:$AV, 2, FALSE), 0)</f>
        <v>0</v>
      </c>
      <c r="AP50">
        <f>IFERROR(VLOOKUP($B50, blitz!$AU:$AV, 2, FALSE), 0)</f>
        <v>0</v>
      </c>
      <c r="AQ50" t="b">
        <f t="shared" si="10"/>
        <v>1</v>
      </c>
      <c r="AR50" t="str">
        <f>IFERROR(VLOOKUP($B50, aegis!$AZ:$BA, 2, FALSE), 0)</f>
        <v>3</v>
      </c>
      <c r="AS50" t="str">
        <f>IFERROR(VLOOKUP($B50, duel!$AZ:$BA, 2, FALSE), 0)</f>
        <v>3</v>
      </c>
      <c r="AT50" t="str">
        <f>IFERROR(VLOOKUP($B50, blitz!$AZ:$BA, 2, FALSE), 0)</f>
        <v>3</v>
      </c>
      <c r="AU50" t="b">
        <f t="shared" si="11"/>
        <v>1</v>
      </c>
      <c r="AV50" t="str">
        <f>IFERROR(VLOOKUP($B50, aegis!$BE:$BF, 2, FALSE), 0)</f>
        <v>2</v>
      </c>
      <c r="AW50" t="str">
        <f>IFERROR(VLOOKUP($B50, duel!$BE:$BF, 2, FALSE), 0)</f>
        <v>2</v>
      </c>
      <c r="AX50" t="str">
        <f>IFERROR(VLOOKUP($B50, blitz!$BE:$BF, 2, FALSE), 0)</f>
        <v>2</v>
      </c>
      <c r="AY50" t="b">
        <f t="shared" si="12"/>
        <v>1</v>
      </c>
      <c r="AZ50" t="str">
        <f>IFERROR(VLOOKUP($B50, aegis!$BJ:$BK, 2, FALSE), 0)</f>
        <v>1</v>
      </c>
      <c r="BA50" t="str">
        <f>IFERROR(VLOOKUP($B50, duel!$BJ:$BK, 2, FALSE), 0)</f>
        <v>1</v>
      </c>
      <c r="BB50" t="str">
        <f>IFERROR(VLOOKUP($B50, blitz!$BJ:$BK, 2, FALSE), 0)</f>
        <v>1</v>
      </c>
      <c r="BC50" t="b">
        <f t="shared" si="13"/>
        <v>1</v>
      </c>
      <c r="BD50">
        <f>IFERROR(VLOOKUP($B50, aegis!$BO:$BP, 2, FALSE), 0)</f>
        <v>0</v>
      </c>
      <c r="BE50">
        <f>IFERROR(VLOOKUP($B50, duel!$BO:$BP, 2, FALSE), 0)</f>
        <v>0</v>
      </c>
      <c r="BF50">
        <f>IFERROR(VLOOKUP($B50, blitz!$BO:$BP, 2, FALSE), 0)</f>
        <v>0</v>
      </c>
      <c r="BG50" t="b">
        <f t="shared" si="14"/>
        <v>1</v>
      </c>
      <c r="BH50" t="str">
        <f>IFERROR(VLOOKUP($B50, aegis!$BT:$BU, 2, FALSE), 0)</f>
        <v>29</v>
      </c>
      <c r="BI50" t="str">
        <f>IFERROR(VLOOKUP($B50, duel!$BT:$BU, 2, FALSE), 0)</f>
        <v>29</v>
      </c>
      <c r="BJ50" t="str">
        <f>IFERROR(VLOOKUP($B50, blitz!$BT:$BU, 2, FALSE), 0)</f>
        <v>29</v>
      </c>
      <c r="BK50" t="b">
        <f t="shared" si="15"/>
        <v>1</v>
      </c>
      <c r="BL50" t="str">
        <f>IFERROR(VLOOKUP($B50, aegis!$BY:$BZ, 2, FALSE), 0)</f>
        <v>2</v>
      </c>
      <c r="BM50" t="str">
        <f>IFERROR(VLOOKUP($B50, duel!$BY:$BZ, 2, FALSE), 0)</f>
        <v>2</v>
      </c>
      <c r="BN50" t="str">
        <f>IFERROR(VLOOKUP($B50, blitz!$BY:$BZ, 2, FALSE), 0)</f>
        <v>2</v>
      </c>
      <c r="BO50" t="b">
        <f t="shared" si="16"/>
        <v>1</v>
      </c>
      <c r="BP50" t="str">
        <f>IFERROR(VLOOKUP($B50, aegis!$CD:$CE, 2, FALSE), 0)</f>
        <v>11</v>
      </c>
      <c r="BQ50" t="str">
        <f>IFERROR(VLOOKUP($B50, duel!$CD:$CE, 2, FALSE), 0)</f>
        <v>11</v>
      </c>
      <c r="BR50" t="str">
        <f>IFERROR(VLOOKUP($B50, blitz!$CD:$CE, 2, FALSE), 0)</f>
        <v>11</v>
      </c>
      <c r="BS50" t="b">
        <f t="shared" si="17"/>
        <v>1</v>
      </c>
      <c r="BT50">
        <f>IFERROR(VLOOKUP($B50, aegis!$CI:$CJ, 2, FALSE), 0)</f>
        <v>0</v>
      </c>
      <c r="BU50">
        <f>IFERROR(VLOOKUP($B50, duel!$CI:$CJ, 2, FALSE), 0)</f>
        <v>0</v>
      </c>
      <c r="BV50">
        <f>IFERROR(VLOOKUP($B50, blitz!$CI:$CJ, 2, FALSE), 0)</f>
        <v>0</v>
      </c>
      <c r="BW50" t="b">
        <f t="shared" si="18"/>
        <v>1</v>
      </c>
      <c r="BX50">
        <f>IFERROR(VLOOKUP($B50, aegis!$CN:$CO, 2, FALSE), 0)</f>
        <v>0</v>
      </c>
      <c r="BY50">
        <f>IFERROR(VLOOKUP($B50, duel!$CN:$CO, 2, FALSE), 0)</f>
        <v>0</v>
      </c>
      <c r="BZ50">
        <f>IFERROR(VLOOKUP($B50, blitz!$CN:$CO, 2, FALSE), 0)</f>
        <v>0</v>
      </c>
      <c r="CA50" t="b">
        <f t="shared" si="19"/>
        <v>1</v>
      </c>
      <c r="CB50">
        <f>IFERROR(VLOOKUP($B50, aegis!$CS:$CT, 2, FALSE), 0)</f>
        <v>0</v>
      </c>
      <c r="CC50">
        <f>IFERROR(VLOOKUP($B50, duel!$CS:$CT, 2, FALSE), 0)</f>
        <v>0</v>
      </c>
      <c r="CD50">
        <f>IFERROR(VLOOKUP($B50, blitz!$CS:$CT, 2, FALSE), 0)</f>
        <v>0</v>
      </c>
      <c r="CE50" t="b">
        <f t="shared" si="20"/>
        <v>1</v>
      </c>
      <c r="CF50" t="str">
        <f>IFERROR(VLOOKUP($B50, aegis!$CX:$CY, 2, FALSE), 0)</f>
        <v>9223</v>
      </c>
      <c r="CG50" t="str">
        <f>IFERROR(VLOOKUP($B50, duel!$CX:$CY, 2, FALSE), 0)</f>
        <v>9222</v>
      </c>
      <c r="CH50" t="str">
        <f>IFERROR(VLOOKUP($B50, blitz!$CX:$CY, 2, FALSE), 0)</f>
        <v>3192</v>
      </c>
      <c r="CI50" t="b">
        <f t="shared" si="21"/>
        <v>0</v>
      </c>
      <c r="CJ50" t="str">
        <f>IFERROR(VLOOKUP($B50, aegis!$DC:$DD, 2, FALSE), 0)</f>
        <v>1</v>
      </c>
      <c r="CK50" t="str">
        <f>IFERROR(VLOOKUP($B50, duel!$DC:$DD, 2, FALSE), 0)</f>
        <v>1</v>
      </c>
      <c r="CL50" t="str">
        <f>IFERROR(VLOOKUP($B50, blitz!$DC:$DD, 2, FALSE), 0)</f>
        <v>1</v>
      </c>
      <c r="CM50" t="b">
        <f t="shared" si="22"/>
        <v>1</v>
      </c>
      <c r="CN50" t="str">
        <f>IFERROR(VLOOKUP($B50, aegis!$DH:$DI, 2, FALSE), 0)</f>
        <v>5</v>
      </c>
      <c r="CO50" t="str">
        <f>IFERROR(VLOOKUP($B50, duel!$DH:$DI, 2, FALSE), 0)</f>
        <v>5</v>
      </c>
      <c r="CP50" s="13">
        <f>IFERROR(VLOOKUP($B50, blitz!$DH:$DI, 2, FALSE), 0)</f>
        <v>0</v>
      </c>
      <c r="CQ50" t="b">
        <f t="shared" si="23"/>
        <v>1</v>
      </c>
      <c r="CR50" t="str">
        <f>IFERROR(VLOOKUP($B50, aegis!$DM:$DN, 2, FALSE), 0)</f>
        <v>3</v>
      </c>
      <c r="CS50" t="str">
        <f>IFERROR(VLOOKUP($B50, duel!$DM:$DN, 2, FALSE), 0)</f>
        <v>3</v>
      </c>
      <c r="CT50" t="str">
        <f>IFERROR(VLOOKUP($B50, blitz!$DM:$DN, 2, FALSE), 0)</f>
        <v>3</v>
      </c>
      <c r="CU50" t="b">
        <f t="shared" si="24"/>
        <v>1</v>
      </c>
      <c r="CV50" t="str">
        <f>IFERROR(VLOOKUP($B50, aegis!$DR:$DS, 2, FALSE), 0)</f>
        <v>24</v>
      </c>
      <c r="CW50" t="str">
        <f>IFERROR(VLOOKUP($B50, duel!$DR:$DS, 2, FALSE), 0)</f>
        <v>24</v>
      </c>
      <c r="CX50" t="str">
        <f>IFERROR(VLOOKUP($B50, blitz!$DR:$DS, 2, FALSE), 0)</f>
        <v>24</v>
      </c>
      <c r="CY50" t="b">
        <f t="shared" si="25"/>
        <v>1</v>
      </c>
    </row>
    <row r="51" spans="1:103">
      <c r="A51" t="s">
        <v>1733</v>
      </c>
      <c r="B51" s="6" t="s">
        <v>94</v>
      </c>
      <c r="C51" s="5" t="b">
        <f t="shared" si="0"/>
        <v>0</v>
      </c>
      <c r="D51" t="str">
        <f>IFERROR(VLOOKUP($B51, aegis!$B:$C, 2, FALSE), 0)</f>
        <v>72</v>
      </c>
      <c r="E51" t="str">
        <f>IFERROR(VLOOKUP($B51, duel!$B:$C, 2, FALSE), 0)</f>
        <v>72</v>
      </c>
      <c r="F51" t="str">
        <f>IFERROR(VLOOKUP($B51, blitz!$B:$C, 2, FALSE), 0)</f>
        <v>72</v>
      </c>
      <c r="G51" t="b">
        <f t="shared" si="1"/>
        <v>1</v>
      </c>
      <c r="H51" t="str">
        <f>IFERROR(VLOOKUP($B51, aegis!$G:$H, 2, FALSE), 0)</f>
        <v>42</v>
      </c>
      <c r="I51" t="str">
        <f>IFERROR(VLOOKUP($B51, duel!$G:$H, 2, FALSE), 0)</f>
        <v>42</v>
      </c>
      <c r="J51" t="str">
        <f>IFERROR(VLOOKUP($B51, blitz!$G:$H, 2, FALSE), 0)</f>
        <v>42</v>
      </c>
      <c r="K51" t="b">
        <f t="shared" si="2"/>
        <v>1</v>
      </c>
      <c r="L51" t="str">
        <f>IFERROR(VLOOKUP($B51, aegis!$L:$M, 2, FALSE), 0)</f>
        <v>72</v>
      </c>
      <c r="M51" t="str">
        <f>IFERROR(VLOOKUP($B51, duel!$L:$M, 2, FALSE), 0)</f>
        <v>72</v>
      </c>
      <c r="N51" t="str">
        <f>IFERROR(VLOOKUP($B51, blitz!$L:$M, 2, FALSE), 0)</f>
        <v>72</v>
      </c>
      <c r="O51" t="b">
        <f t="shared" si="3"/>
        <v>1</v>
      </c>
      <c r="P51" t="str">
        <f>IFERROR(VLOOKUP($B51, aegis!$Q:$R, 2, FALSE), 0)</f>
        <v>42</v>
      </c>
      <c r="Q51" t="str">
        <f>IFERROR(VLOOKUP($B51, duel!$Q:$R, 2, FALSE), 0)</f>
        <v>42</v>
      </c>
      <c r="R51" t="str">
        <f>IFERROR(VLOOKUP($B51, blitz!$Q:$R, 2, FALSE), 0)</f>
        <v>42</v>
      </c>
      <c r="S51" t="b">
        <f t="shared" si="4"/>
        <v>1</v>
      </c>
      <c r="T51" t="str">
        <f>IFERROR(VLOOKUP($B51, aegis!$V:$W, 2, FALSE), 0)</f>
        <v>740</v>
      </c>
      <c r="U51" t="str">
        <f>IFERROR(VLOOKUP($B51, duel!$V:$W, 2, FALSE), 0)</f>
        <v>740</v>
      </c>
      <c r="V51" t="str">
        <f>IFERROR(VLOOKUP($B51, blitz!$V:$W, 2, FALSE), 0)</f>
        <v>740</v>
      </c>
      <c r="W51" t="b">
        <f t="shared" si="5"/>
        <v>1</v>
      </c>
      <c r="X51" t="str">
        <f>IFERROR(VLOOKUP($B51, aegis!$AA:$AB, 2, FALSE), 0)</f>
        <v>2</v>
      </c>
      <c r="Y51" t="str">
        <f>IFERROR(VLOOKUP($B51, duel!$AA:$AB, 2, FALSE), 0)</f>
        <v>4</v>
      </c>
      <c r="Z51" t="str">
        <f>IFERROR(VLOOKUP($B51, blitz!$AA:$AB, 2, FALSE), 0)</f>
        <v>2</v>
      </c>
      <c r="AA51" t="b">
        <f t="shared" si="6"/>
        <v>0</v>
      </c>
      <c r="AB51" t="str">
        <f>IFERROR(VLOOKUP($B51, aegis!$AF:$AG, 2, FALSE), 0)</f>
        <v>185</v>
      </c>
      <c r="AC51" t="str">
        <f>IFERROR(VLOOKUP($B51, duel!$AF:$AG, 2, FALSE), 0)</f>
        <v>185</v>
      </c>
      <c r="AD51" t="str">
        <f>IFERROR(VLOOKUP($B51, blitz!$AF:$AG, 2, FALSE), 0)</f>
        <v>185</v>
      </c>
      <c r="AE51" t="b">
        <f t="shared" si="7"/>
        <v>1</v>
      </c>
      <c r="AF51" t="str">
        <f>IFERROR(VLOOKUP($B51, aegis!$AK:$AL, 2, FALSE), 0)</f>
        <v>3</v>
      </c>
      <c r="AG51" t="str">
        <f>IFERROR(VLOOKUP($B51, duel!$AK:$AL, 2, FALSE), 0)</f>
        <v>1</v>
      </c>
      <c r="AH51" t="str">
        <f>IFERROR(VLOOKUP($B51, blitz!$AK:$AL, 2, FALSE), 0)</f>
        <v>1</v>
      </c>
      <c r="AI51" t="b">
        <f t="shared" si="8"/>
        <v>0</v>
      </c>
      <c r="AJ51" t="str">
        <f>IFERROR(VLOOKUP($B51, aegis!$AP:$AQ, 2, FALSE), 0)</f>
        <v>1</v>
      </c>
      <c r="AK51" t="str">
        <f>IFERROR(VLOOKUP($B51, duel!$AP:$AQ, 2, FALSE), 0)</f>
        <v>1</v>
      </c>
      <c r="AL51" t="str">
        <f>IFERROR(VLOOKUP($B51, blitz!$AP:$AQ, 2, FALSE), 0)</f>
        <v>1</v>
      </c>
      <c r="AM51" t="b">
        <f t="shared" si="9"/>
        <v>1</v>
      </c>
      <c r="AN51">
        <f>IFERROR(VLOOKUP($B51, aegis!$AU:$AV, 2, FALSE), 0)</f>
        <v>0</v>
      </c>
      <c r="AO51">
        <f>IFERROR(VLOOKUP($B51, duel!$AU:$AV, 2, FALSE), 0)</f>
        <v>0</v>
      </c>
      <c r="AP51">
        <f>IFERROR(VLOOKUP($B51, blitz!$AU:$AV, 2, FALSE), 0)</f>
        <v>0</v>
      </c>
      <c r="AQ51" t="b">
        <f t="shared" si="10"/>
        <v>1</v>
      </c>
      <c r="AR51" t="str">
        <f>IFERROR(VLOOKUP($B51, aegis!$AZ:$BA, 2, FALSE), 0)</f>
        <v>2</v>
      </c>
      <c r="AS51" t="str">
        <f>IFERROR(VLOOKUP($B51, duel!$AZ:$BA, 2, FALSE), 0)</f>
        <v>2</v>
      </c>
      <c r="AT51" t="str">
        <f>IFERROR(VLOOKUP($B51, blitz!$AZ:$BA, 2, FALSE), 0)</f>
        <v>2</v>
      </c>
      <c r="AU51" t="b">
        <f t="shared" si="11"/>
        <v>1</v>
      </c>
      <c r="AV51" t="str">
        <f>IFERROR(VLOOKUP($B51, aegis!$BE:$BF, 2, FALSE), 0)</f>
        <v>1</v>
      </c>
      <c r="AW51" t="str">
        <f>IFERROR(VLOOKUP($B51, duel!$BE:$BF, 2, FALSE), 0)</f>
        <v>1</v>
      </c>
      <c r="AX51" t="str">
        <f>IFERROR(VLOOKUP($B51, blitz!$BE:$BF, 2, FALSE), 0)</f>
        <v>1</v>
      </c>
      <c r="AY51" t="b">
        <f t="shared" si="12"/>
        <v>1</v>
      </c>
      <c r="AZ51" t="str">
        <f>IFERROR(VLOOKUP($B51, aegis!$BJ:$BK, 2, FALSE), 0)</f>
        <v>1</v>
      </c>
      <c r="BA51" t="str">
        <f>IFERROR(VLOOKUP($B51, duel!$BJ:$BK, 2, FALSE), 0)</f>
        <v>1</v>
      </c>
      <c r="BB51" t="str">
        <f>IFERROR(VLOOKUP($B51, blitz!$BJ:$BK, 2, FALSE), 0)</f>
        <v>1</v>
      </c>
      <c r="BC51" t="b">
        <f t="shared" si="13"/>
        <v>1</v>
      </c>
      <c r="BD51">
        <f>IFERROR(VLOOKUP($B51, aegis!$BO:$BP, 2, FALSE), 0)</f>
        <v>0</v>
      </c>
      <c r="BE51">
        <f>IFERROR(VLOOKUP($B51, duel!$BO:$BP, 2, FALSE), 0)</f>
        <v>0</v>
      </c>
      <c r="BF51">
        <f>IFERROR(VLOOKUP($B51, blitz!$BO:$BP, 2, FALSE), 0)</f>
        <v>0</v>
      </c>
      <c r="BG51" t="b">
        <f t="shared" si="14"/>
        <v>1</v>
      </c>
      <c r="BH51" t="str">
        <f>IFERROR(VLOOKUP($B51, aegis!$BT:$BU, 2, FALSE), 0)</f>
        <v>53</v>
      </c>
      <c r="BI51" t="str">
        <f>IFERROR(VLOOKUP($B51, duel!$BT:$BU, 2, FALSE), 0)</f>
        <v>53</v>
      </c>
      <c r="BJ51" t="str">
        <f>IFERROR(VLOOKUP($B51, blitz!$BT:$BU, 2, FALSE), 0)</f>
        <v>53</v>
      </c>
      <c r="BK51" t="b">
        <f t="shared" si="15"/>
        <v>1</v>
      </c>
      <c r="BL51" t="str">
        <f>IFERROR(VLOOKUP($B51, aegis!$BY:$BZ, 2, FALSE), 0)</f>
        <v>1</v>
      </c>
      <c r="BM51" t="str">
        <f>IFERROR(VLOOKUP($B51, duel!$BY:$BZ, 2, FALSE), 0)</f>
        <v>1</v>
      </c>
      <c r="BN51" t="str">
        <f>IFERROR(VLOOKUP($B51, blitz!$BY:$BZ, 2, FALSE), 0)</f>
        <v>1</v>
      </c>
      <c r="BO51" t="b">
        <f t="shared" si="16"/>
        <v>1</v>
      </c>
      <c r="BP51" t="str">
        <f>IFERROR(VLOOKUP($B51, aegis!$CD:$CE, 2, FALSE), 0)</f>
        <v>5</v>
      </c>
      <c r="BQ51" t="str">
        <f>IFERROR(VLOOKUP($B51, duel!$CD:$CE, 2, FALSE), 0)</f>
        <v>5</v>
      </c>
      <c r="BR51" t="str">
        <f>IFERROR(VLOOKUP($B51, blitz!$CD:$CE, 2, FALSE), 0)</f>
        <v>5</v>
      </c>
      <c r="BS51" t="b">
        <f t="shared" si="17"/>
        <v>1</v>
      </c>
      <c r="BT51">
        <f>IFERROR(VLOOKUP($B51, aegis!$CI:$CJ, 2, FALSE), 0)</f>
        <v>0</v>
      </c>
      <c r="BU51">
        <f>IFERROR(VLOOKUP($B51, duel!$CI:$CJ, 2, FALSE), 0)</f>
        <v>0</v>
      </c>
      <c r="BV51">
        <f>IFERROR(VLOOKUP($B51, blitz!$CI:$CJ, 2, FALSE), 0)</f>
        <v>0</v>
      </c>
      <c r="BW51" t="b">
        <f t="shared" si="18"/>
        <v>1</v>
      </c>
      <c r="BX51">
        <f>IFERROR(VLOOKUP($B51, aegis!$CN:$CO, 2, FALSE), 0)</f>
        <v>0</v>
      </c>
      <c r="BY51">
        <f>IFERROR(VLOOKUP($B51, duel!$CN:$CO, 2, FALSE), 0)</f>
        <v>0</v>
      </c>
      <c r="BZ51">
        <f>IFERROR(VLOOKUP($B51, blitz!$CN:$CO, 2, FALSE), 0)</f>
        <v>0</v>
      </c>
      <c r="CA51" t="b">
        <f t="shared" si="19"/>
        <v>1</v>
      </c>
      <c r="CB51">
        <f>IFERROR(VLOOKUP($B51, aegis!$CS:$CT, 2, FALSE), 0)</f>
        <v>0</v>
      </c>
      <c r="CC51">
        <f>IFERROR(VLOOKUP($B51, duel!$CS:$CT, 2, FALSE), 0)</f>
        <v>0</v>
      </c>
      <c r="CD51">
        <f>IFERROR(VLOOKUP($B51, blitz!$CS:$CT, 2, FALSE), 0)</f>
        <v>0</v>
      </c>
      <c r="CE51" t="b">
        <f t="shared" si="20"/>
        <v>1</v>
      </c>
      <c r="CF51" t="str">
        <f>IFERROR(VLOOKUP($B51, aegis!$CX:$CY, 2, FALSE), 0)</f>
        <v>46318</v>
      </c>
      <c r="CG51" t="str">
        <f>IFERROR(VLOOKUP($B51, duel!$CX:$CY, 2, FALSE), 0)</f>
        <v>46309</v>
      </c>
      <c r="CH51" t="str">
        <f>IFERROR(VLOOKUP($B51, blitz!$CX:$CY, 2, FALSE), 0)</f>
        <v>10196</v>
      </c>
      <c r="CI51" t="b">
        <f t="shared" si="21"/>
        <v>0</v>
      </c>
      <c r="CJ51" t="str">
        <f>IFERROR(VLOOKUP($B51, aegis!$DC:$DD, 2, FALSE), 0)</f>
        <v>1</v>
      </c>
      <c r="CK51" t="str">
        <f>IFERROR(VLOOKUP($B51, duel!$DC:$DD, 2, FALSE), 0)</f>
        <v>1</v>
      </c>
      <c r="CL51" t="str">
        <f>IFERROR(VLOOKUP($B51, blitz!$DC:$DD, 2, FALSE), 0)</f>
        <v>1</v>
      </c>
      <c r="CM51" t="b">
        <f t="shared" si="22"/>
        <v>1</v>
      </c>
      <c r="CN51" t="str">
        <f>IFERROR(VLOOKUP($B51, aegis!$DH:$DI, 2, FALSE), 0)</f>
        <v>5</v>
      </c>
      <c r="CO51" t="str">
        <f>IFERROR(VLOOKUP($B51, duel!$DH:$DI, 2, FALSE), 0)</f>
        <v>5</v>
      </c>
      <c r="CP51" s="13">
        <f>IFERROR(VLOOKUP($B51, blitz!$DH:$DI, 2, FALSE), 0)</f>
        <v>0</v>
      </c>
      <c r="CQ51" t="b">
        <f t="shared" si="23"/>
        <v>1</v>
      </c>
      <c r="CR51" t="str">
        <f>IFERROR(VLOOKUP($B51, aegis!$DM:$DN, 2, FALSE), 0)</f>
        <v>1</v>
      </c>
      <c r="CS51" t="str">
        <f>IFERROR(VLOOKUP($B51, duel!$DM:$DN, 2, FALSE), 0)</f>
        <v>1</v>
      </c>
      <c r="CT51" t="str">
        <f>IFERROR(VLOOKUP($B51, blitz!$DM:$DN, 2, FALSE), 0)</f>
        <v>1</v>
      </c>
      <c r="CU51" t="b">
        <f t="shared" si="24"/>
        <v>1</v>
      </c>
      <c r="CV51" t="str">
        <f>IFERROR(VLOOKUP($B51, aegis!$DR:$DS, 2, FALSE), 0)</f>
        <v>184</v>
      </c>
      <c r="CW51" t="str">
        <f>IFERROR(VLOOKUP($B51, duel!$DR:$DS, 2, FALSE), 0)</f>
        <v>184</v>
      </c>
      <c r="CX51" t="str">
        <f>IFERROR(VLOOKUP($B51, blitz!$DR:$DS, 2, FALSE), 0)</f>
        <v>184</v>
      </c>
      <c r="CY51" t="b">
        <f t="shared" si="25"/>
        <v>1</v>
      </c>
    </row>
    <row r="52" spans="1:103">
      <c r="A52" t="s">
        <v>1733</v>
      </c>
      <c r="B52" s="6" t="s">
        <v>96</v>
      </c>
      <c r="C52" s="5" t="b">
        <f t="shared" si="0"/>
        <v>0</v>
      </c>
      <c r="D52" t="str">
        <f>IFERROR(VLOOKUP($B52, aegis!$B:$C, 2, FALSE), 0)</f>
        <v>732</v>
      </c>
      <c r="E52" t="str">
        <f>IFERROR(VLOOKUP($B52, duel!$B:$C, 2, FALSE), 0)</f>
        <v>732</v>
      </c>
      <c r="F52" t="str">
        <f>IFERROR(VLOOKUP($B52, blitz!$B:$C, 2, FALSE), 0)</f>
        <v>732</v>
      </c>
      <c r="G52" t="b">
        <f t="shared" si="1"/>
        <v>1</v>
      </c>
      <c r="H52" t="str">
        <f>IFERROR(VLOOKUP($B52, aegis!$G:$H, 2, FALSE), 0)</f>
        <v>427</v>
      </c>
      <c r="I52" t="str">
        <f>IFERROR(VLOOKUP($B52, duel!$G:$H, 2, FALSE), 0)</f>
        <v>427</v>
      </c>
      <c r="J52" t="str">
        <f>IFERROR(VLOOKUP($B52, blitz!$G:$H, 2, FALSE), 0)</f>
        <v>427</v>
      </c>
      <c r="K52" t="b">
        <f t="shared" si="2"/>
        <v>1</v>
      </c>
      <c r="L52" t="str">
        <f>IFERROR(VLOOKUP($B52, aegis!$L:$M, 2, FALSE), 0)</f>
        <v>1452</v>
      </c>
      <c r="M52" t="str">
        <f>IFERROR(VLOOKUP($B52, duel!$L:$M, 2, FALSE), 0)</f>
        <v>1452</v>
      </c>
      <c r="N52" t="str">
        <f>IFERROR(VLOOKUP($B52, blitz!$L:$M, 2, FALSE), 0)</f>
        <v>1452</v>
      </c>
      <c r="O52" t="b">
        <f t="shared" si="3"/>
        <v>1</v>
      </c>
      <c r="P52" t="str">
        <f>IFERROR(VLOOKUP($B52, aegis!$Q:$R, 2, FALSE), 0)</f>
        <v>847</v>
      </c>
      <c r="Q52" t="str">
        <f>IFERROR(VLOOKUP($B52, duel!$Q:$R, 2, FALSE), 0)</f>
        <v>847</v>
      </c>
      <c r="R52" t="str">
        <f>IFERROR(VLOOKUP($B52, blitz!$Q:$R, 2, FALSE), 0)</f>
        <v>847</v>
      </c>
      <c r="S52" t="b">
        <f t="shared" si="4"/>
        <v>1</v>
      </c>
      <c r="T52" t="str">
        <f>IFERROR(VLOOKUP($B52, aegis!$V:$W, 2, FALSE), 0)</f>
        <v>6097</v>
      </c>
      <c r="U52" t="str">
        <f>IFERROR(VLOOKUP($B52, duel!$V:$W, 2, FALSE), 0)</f>
        <v>6097</v>
      </c>
      <c r="V52" t="str">
        <f>IFERROR(VLOOKUP($B52, blitz!$V:$W, 2, FALSE), 0)</f>
        <v>6097</v>
      </c>
      <c r="W52" t="b">
        <f t="shared" si="5"/>
        <v>1</v>
      </c>
      <c r="X52" t="str">
        <f>IFERROR(VLOOKUP($B52, aegis!$AA:$AB, 2, FALSE), 0)</f>
        <v>21</v>
      </c>
      <c r="Y52" t="str">
        <f>IFERROR(VLOOKUP($B52, duel!$AA:$AB, 2, FALSE), 0)</f>
        <v>42</v>
      </c>
      <c r="Z52" t="str">
        <f>IFERROR(VLOOKUP($B52, blitz!$AA:$AB, 2, FALSE), 0)</f>
        <v>21</v>
      </c>
      <c r="AA52" t="b">
        <f t="shared" si="6"/>
        <v>0</v>
      </c>
      <c r="AB52" t="str">
        <f>IFERROR(VLOOKUP($B52, aegis!$AF:$AG, 2, FALSE), 0)</f>
        <v>2017</v>
      </c>
      <c r="AC52" t="str">
        <f>IFERROR(VLOOKUP($B52, duel!$AF:$AG, 2, FALSE), 0)</f>
        <v>2017</v>
      </c>
      <c r="AD52" t="str">
        <f>IFERROR(VLOOKUP($B52, blitz!$AF:$AG, 2, FALSE), 0)</f>
        <v>2017</v>
      </c>
      <c r="AE52" t="b">
        <f t="shared" si="7"/>
        <v>1</v>
      </c>
      <c r="AF52" t="str">
        <f>IFERROR(VLOOKUP($B52, aegis!$AK:$AL, 2, FALSE), 0)</f>
        <v>22</v>
      </c>
      <c r="AG52" t="str">
        <f>IFERROR(VLOOKUP($B52, duel!$AK:$AL, 2, FALSE), 0)</f>
        <v>1</v>
      </c>
      <c r="AH52" t="str">
        <f>IFERROR(VLOOKUP($B52, blitz!$AK:$AL, 2, FALSE), 0)</f>
        <v>1</v>
      </c>
      <c r="AI52" t="b">
        <f t="shared" si="8"/>
        <v>0</v>
      </c>
      <c r="AJ52" t="str">
        <f>IFERROR(VLOOKUP($B52, aegis!$AP:$AQ, 2, FALSE), 0)</f>
        <v>20</v>
      </c>
      <c r="AK52" t="str">
        <f>IFERROR(VLOOKUP($B52, duel!$AP:$AQ, 2, FALSE), 0)</f>
        <v>20</v>
      </c>
      <c r="AL52" t="str">
        <f>IFERROR(VLOOKUP($B52, blitz!$AP:$AQ, 2, FALSE), 0)</f>
        <v>20</v>
      </c>
      <c r="AM52" t="b">
        <f t="shared" si="9"/>
        <v>1</v>
      </c>
      <c r="AN52">
        <f>IFERROR(VLOOKUP($B52, aegis!$AU:$AV, 2, FALSE), 0)</f>
        <v>0</v>
      </c>
      <c r="AO52">
        <f>IFERROR(VLOOKUP($B52, duel!$AU:$AV, 2, FALSE), 0)</f>
        <v>0</v>
      </c>
      <c r="AP52">
        <f>IFERROR(VLOOKUP($B52, blitz!$AU:$AV, 2, FALSE), 0)</f>
        <v>0</v>
      </c>
      <c r="AQ52" t="b">
        <f t="shared" si="10"/>
        <v>1</v>
      </c>
      <c r="AR52" t="str">
        <f>IFERROR(VLOOKUP($B52, aegis!$AZ:$BA, 2, FALSE), 0)</f>
        <v>21</v>
      </c>
      <c r="AS52" t="str">
        <f>IFERROR(VLOOKUP($B52, duel!$AZ:$BA, 2, FALSE), 0)</f>
        <v>21</v>
      </c>
      <c r="AT52" t="str">
        <f>IFERROR(VLOOKUP($B52, blitz!$AZ:$BA, 2, FALSE), 0)</f>
        <v>21</v>
      </c>
      <c r="AU52" t="b">
        <f t="shared" si="11"/>
        <v>1</v>
      </c>
      <c r="AV52" t="str">
        <f>IFERROR(VLOOKUP($B52, aegis!$BE:$BF, 2, FALSE), 0)</f>
        <v>20</v>
      </c>
      <c r="AW52" t="str">
        <f>IFERROR(VLOOKUP($B52, duel!$BE:$BF, 2, FALSE), 0)</f>
        <v>20</v>
      </c>
      <c r="AX52" t="str">
        <f>IFERROR(VLOOKUP($B52, blitz!$BE:$BF, 2, FALSE), 0)</f>
        <v>20</v>
      </c>
      <c r="AY52" t="b">
        <f t="shared" si="12"/>
        <v>1</v>
      </c>
      <c r="AZ52" t="str">
        <f>IFERROR(VLOOKUP($B52, aegis!$BJ:$BK, 2, FALSE), 0)</f>
        <v>1</v>
      </c>
      <c r="BA52" t="str">
        <f>IFERROR(VLOOKUP($B52, duel!$BJ:$BK, 2, FALSE), 0)</f>
        <v>1</v>
      </c>
      <c r="BB52" t="str">
        <f>IFERROR(VLOOKUP($B52, blitz!$BJ:$BK, 2, FALSE), 0)</f>
        <v>1</v>
      </c>
      <c r="BC52" t="b">
        <f t="shared" si="13"/>
        <v>1</v>
      </c>
      <c r="BD52">
        <f>IFERROR(VLOOKUP($B52, aegis!$BO:$BP, 2, FALSE), 0)</f>
        <v>0</v>
      </c>
      <c r="BE52">
        <f>IFERROR(VLOOKUP($B52, duel!$BO:$BP, 2, FALSE), 0)</f>
        <v>0</v>
      </c>
      <c r="BF52">
        <f>IFERROR(VLOOKUP($B52, blitz!$BO:$BP, 2, FALSE), 0)</f>
        <v>0</v>
      </c>
      <c r="BG52" t="b">
        <f t="shared" si="14"/>
        <v>1</v>
      </c>
      <c r="BH52" t="str">
        <f>IFERROR(VLOOKUP($B52, aegis!$BT:$BU, 2, FALSE), 0)</f>
        <v>943</v>
      </c>
      <c r="BI52" t="str">
        <f>IFERROR(VLOOKUP($B52, duel!$BT:$BU, 2, FALSE), 0)</f>
        <v>943</v>
      </c>
      <c r="BJ52" t="str">
        <f>IFERROR(VLOOKUP($B52, blitz!$BT:$BU, 2, FALSE), 0)</f>
        <v>943</v>
      </c>
      <c r="BK52" t="b">
        <f t="shared" si="15"/>
        <v>1</v>
      </c>
      <c r="BL52" t="str">
        <f>IFERROR(VLOOKUP($B52, aegis!$BY:$BZ, 2, FALSE), 0)</f>
        <v>20</v>
      </c>
      <c r="BM52" t="str">
        <f>IFERROR(VLOOKUP($B52, duel!$BY:$BZ, 2, FALSE), 0)</f>
        <v>20</v>
      </c>
      <c r="BN52" t="str">
        <f>IFERROR(VLOOKUP($B52, blitz!$BY:$BZ, 2, FALSE), 0)</f>
        <v>20</v>
      </c>
      <c r="BO52" t="b">
        <f t="shared" si="16"/>
        <v>1</v>
      </c>
      <c r="BP52" t="str">
        <f>IFERROR(VLOOKUP($B52, aegis!$CD:$CE, 2, FALSE), 0)</f>
        <v>84</v>
      </c>
      <c r="BQ52" t="str">
        <f>IFERROR(VLOOKUP($B52, duel!$CD:$CE, 2, FALSE), 0)</f>
        <v>84</v>
      </c>
      <c r="BR52" t="str">
        <f>IFERROR(VLOOKUP($B52, blitz!$CD:$CE, 2, FALSE), 0)</f>
        <v>84</v>
      </c>
      <c r="BS52" t="b">
        <f t="shared" si="17"/>
        <v>1</v>
      </c>
      <c r="BT52">
        <f>IFERROR(VLOOKUP($B52, aegis!$CI:$CJ, 2, FALSE), 0)</f>
        <v>0</v>
      </c>
      <c r="BU52">
        <f>IFERROR(VLOOKUP($B52, duel!$CI:$CJ, 2, FALSE), 0)</f>
        <v>0</v>
      </c>
      <c r="BV52">
        <f>IFERROR(VLOOKUP($B52, blitz!$CI:$CJ, 2, FALSE), 0)</f>
        <v>0</v>
      </c>
      <c r="BW52" t="b">
        <f t="shared" si="18"/>
        <v>1</v>
      </c>
      <c r="BX52">
        <f>IFERROR(VLOOKUP($B52, aegis!$CN:$CO, 2, FALSE), 0)</f>
        <v>0</v>
      </c>
      <c r="BY52">
        <f>IFERROR(VLOOKUP($B52, duel!$CN:$CO, 2, FALSE), 0)</f>
        <v>0</v>
      </c>
      <c r="BZ52">
        <f>IFERROR(VLOOKUP($B52, blitz!$CN:$CO, 2, FALSE), 0)</f>
        <v>0</v>
      </c>
      <c r="CA52" t="b">
        <f t="shared" si="19"/>
        <v>1</v>
      </c>
      <c r="CB52">
        <f>IFERROR(VLOOKUP($B52, aegis!$CS:$CT, 2, FALSE), 0)</f>
        <v>0</v>
      </c>
      <c r="CC52">
        <f>IFERROR(VLOOKUP($B52, duel!$CS:$CT, 2, FALSE), 0)</f>
        <v>0</v>
      </c>
      <c r="CD52">
        <f>IFERROR(VLOOKUP($B52, blitz!$CS:$CT, 2, FALSE), 0)</f>
        <v>0</v>
      </c>
      <c r="CE52" t="b">
        <f t="shared" si="20"/>
        <v>1</v>
      </c>
      <c r="CF52" t="str">
        <f>IFERROR(VLOOKUP($B52, aegis!$CX:$CY, 2, FALSE), 0)</f>
        <v>371172</v>
      </c>
      <c r="CG52" t="str">
        <f>IFERROR(VLOOKUP($B52, duel!$CX:$CY, 2, FALSE), 0)</f>
        <v>371085</v>
      </c>
      <c r="CH52" t="str">
        <f>IFERROR(VLOOKUP($B52, blitz!$CX:$CY, 2, FALSE), 0)</f>
        <v>88082</v>
      </c>
      <c r="CI52" t="b">
        <f t="shared" si="21"/>
        <v>0</v>
      </c>
      <c r="CJ52" t="str">
        <f>IFERROR(VLOOKUP($B52, aegis!$DC:$DD, 2, FALSE), 0)</f>
        <v>1</v>
      </c>
      <c r="CK52" t="str">
        <f>IFERROR(VLOOKUP($B52, duel!$DC:$DD, 2, FALSE), 0)</f>
        <v>1</v>
      </c>
      <c r="CL52" t="str">
        <f>IFERROR(VLOOKUP($B52, blitz!$DC:$DD, 2, FALSE), 0)</f>
        <v>1</v>
      </c>
      <c r="CM52" t="b">
        <f t="shared" si="22"/>
        <v>1</v>
      </c>
      <c r="CN52" t="str">
        <f>IFERROR(VLOOKUP($B52, aegis!$DH:$DI, 2, FALSE), 0)</f>
        <v>23</v>
      </c>
      <c r="CO52" t="str">
        <f>IFERROR(VLOOKUP($B52, duel!$DH:$DI, 2, FALSE), 0)</f>
        <v>23</v>
      </c>
      <c r="CP52" s="13">
        <f>IFERROR(VLOOKUP($B52, blitz!$DH:$DI, 2, FALSE), 0)</f>
        <v>0</v>
      </c>
      <c r="CQ52" t="b">
        <f t="shared" si="23"/>
        <v>1</v>
      </c>
      <c r="CR52" t="str">
        <f>IFERROR(VLOOKUP($B52, aegis!$DM:$DN, 2, FALSE), 0)</f>
        <v>20</v>
      </c>
      <c r="CS52" t="str">
        <f>IFERROR(VLOOKUP($B52, duel!$DM:$DN, 2, FALSE), 0)</f>
        <v>20</v>
      </c>
      <c r="CT52" t="str">
        <f>IFERROR(VLOOKUP($B52, blitz!$DM:$DN, 2, FALSE), 0)</f>
        <v>20</v>
      </c>
      <c r="CU52" t="b">
        <f t="shared" si="24"/>
        <v>1</v>
      </c>
      <c r="CV52" t="str">
        <f>IFERROR(VLOOKUP($B52, aegis!$DR:$DS, 2, FALSE), 0)</f>
        <v>2017</v>
      </c>
      <c r="CW52" t="str">
        <f>IFERROR(VLOOKUP($B52, duel!$DR:$DS, 2, FALSE), 0)</f>
        <v>2017</v>
      </c>
      <c r="CX52" t="str">
        <f>IFERROR(VLOOKUP($B52, blitz!$DR:$DS, 2, FALSE), 0)</f>
        <v>2017</v>
      </c>
      <c r="CY52" t="b">
        <f t="shared" si="25"/>
        <v>1</v>
      </c>
    </row>
    <row r="53" spans="1:103">
      <c r="A53" t="s">
        <v>1733</v>
      </c>
      <c r="B53" s="6" t="s">
        <v>99</v>
      </c>
      <c r="C53" s="5" t="b">
        <f t="shared" si="0"/>
        <v>0</v>
      </c>
      <c r="D53" t="str">
        <f>IFERROR(VLOOKUP($B53, aegis!$B:$C, 2, FALSE), 0)</f>
        <v>72</v>
      </c>
      <c r="E53" t="str">
        <f>IFERROR(VLOOKUP($B53, duel!$B:$C, 2, FALSE), 0)</f>
        <v>72</v>
      </c>
      <c r="F53" t="str">
        <f>IFERROR(VLOOKUP($B53, blitz!$B:$C, 2, FALSE), 0)</f>
        <v>72</v>
      </c>
      <c r="G53" t="b">
        <f t="shared" si="1"/>
        <v>1</v>
      </c>
      <c r="H53" t="str">
        <f>IFERROR(VLOOKUP($B53, aegis!$G:$H, 2, FALSE), 0)</f>
        <v>42</v>
      </c>
      <c r="I53" t="str">
        <f>IFERROR(VLOOKUP($B53, duel!$G:$H, 2, FALSE), 0)</f>
        <v>42</v>
      </c>
      <c r="J53" t="str">
        <f>IFERROR(VLOOKUP($B53, blitz!$G:$H, 2, FALSE), 0)</f>
        <v>42</v>
      </c>
      <c r="K53" t="b">
        <f t="shared" si="2"/>
        <v>1</v>
      </c>
      <c r="L53" t="str">
        <f>IFERROR(VLOOKUP($B53, aegis!$L:$M, 2, FALSE), 0)</f>
        <v>132</v>
      </c>
      <c r="M53" t="str">
        <f>IFERROR(VLOOKUP($B53, duel!$L:$M, 2, FALSE), 0)</f>
        <v>132</v>
      </c>
      <c r="N53" t="str">
        <f>IFERROR(VLOOKUP($B53, blitz!$L:$M, 2, FALSE), 0)</f>
        <v>132</v>
      </c>
      <c r="O53" t="b">
        <f t="shared" si="3"/>
        <v>1</v>
      </c>
      <c r="P53" t="str">
        <f>IFERROR(VLOOKUP($B53, aegis!$Q:$R, 2, FALSE), 0)</f>
        <v>77</v>
      </c>
      <c r="Q53" t="str">
        <f>IFERROR(VLOOKUP($B53, duel!$Q:$R, 2, FALSE), 0)</f>
        <v>77</v>
      </c>
      <c r="R53" t="str">
        <f>IFERROR(VLOOKUP($B53, blitz!$Q:$R, 2, FALSE), 0)</f>
        <v>77</v>
      </c>
      <c r="S53" t="b">
        <f t="shared" si="4"/>
        <v>1</v>
      </c>
      <c r="T53" t="str">
        <f>IFERROR(VLOOKUP($B53, aegis!$V:$W, 2, FALSE), 0)</f>
        <v>376</v>
      </c>
      <c r="U53" t="str">
        <f>IFERROR(VLOOKUP($B53, duel!$V:$W, 2, FALSE), 0)</f>
        <v>376</v>
      </c>
      <c r="V53" t="str">
        <f>IFERROR(VLOOKUP($B53, blitz!$V:$W, 2, FALSE), 0)</f>
        <v>376</v>
      </c>
      <c r="W53" t="b">
        <f t="shared" si="5"/>
        <v>1</v>
      </c>
      <c r="X53" t="str">
        <f>IFERROR(VLOOKUP($B53, aegis!$AA:$AB, 2, FALSE), 0)</f>
        <v>2</v>
      </c>
      <c r="Y53" t="str">
        <f>IFERROR(VLOOKUP($B53, duel!$AA:$AB, 2, FALSE), 0)</f>
        <v>4</v>
      </c>
      <c r="Z53" t="str">
        <f>IFERROR(VLOOKUP($B53, blitz!$AA:$AB, 2, FALSE), 0)</f>
        <v>2</v>
      </c>
      <c r="AA53" t="b">
        <f t="shared" si="6"/>
        <v>0</v>
      </c>
      <c r="AB53" t="str">
        <f>IFERROR(VLOOKUP($B53, aegis!$AF:$AG, 2, FALSE), 0)</f>
        <v>97</v>
      </c>
      <c r="AC53" t="str">
        <f>IFERROR(VLOOKUP($B53, duel!$AF:$AG, 2, FALSE), 0)</f>
        <v>97</v>
      </c>
      <c r="AD53" t="str">
        <f>IFERROR(VLOOKUP($B53, blitz!$AF:$AG, 2, FALSE), 0)</f>
        <v>97</v>
      </c>
      <c r="AE53" t="b">
        <f t="shared" si="7"/>
        <v>1</v>
      </c>
      <c r="AF53" t="str">
        <f>IFERROR(VLOOKUP($B53, aegis!$AK:$AL, 2, FALSE), 0)</f>
        <v>3</v>
      </c>
      <c r="AG53" t="str">
        <f>IFERROR(VLOOKUP($B53, duel!$AK:$AL, 2, FALSE), 0)</f>
        <v>1</v>
      </c>
      <c r="AH53" t="str">
        <f>IFERROR(VLOOKUP($B53, blitz!$AK:$AL, 2, FALSE), 0)</f>
        <v>1</v>
      </c>
      <c r="AI53" t="b">
        <f t="shared" si="8"/>
        <v>0</v>
      </c>
      <c r="AJ53" t="str">
        <f>IFERROR(VLOOKUP($B53, aegis!$AP:$AQ, 2, FALSE), 0)</f>
        <v>1</v>
      </c>
      <c r="AK53" t="str">
        <f>IFERROR(VLOOKUP($B53, duel!$AP:$AQ, 2, FALSE), 0)</f>
        <v>1</v>
      </c>
      <c r="AL53" t="str">
        <f>IFERROR(VLOOKUP($B53, blitz!$AP:$AQ, 2, FALSE), 0)</f>
        <v>1</v>
      </c>
      <c r="AM53" t="b">
        <f t="shared" si="9"/>
        <v>1</v>
      </c>
      <c r="AN53" t="str">
        <f>IFERROR(VLOOKUP($B53, aegis!$AU:$AV, 2, FALSE), 0)</f>
        <v>3268</v>
      </c>
      <c r="AO53" t="str">
        <f>IFERROR(VLOOKUP($B53, duel!$AU:$AV, 2, FALSE), 0)</f>
        <v>3268</v>
      </c>
      <c r="AP53" t="str">
        <f>IFERROR(VLOOKUP($B53, blitz!$AU:$AV, 2, FALSE), 0)</f>
        <v>3268</v>
      </c>
      <c r="AQ53" t="b">
        <f t="shared" si="10"/>
        <v>1</v>
      </c>
      <c r="AR53" t="str">
        <f>IFERROR(VLOOKUP($B53, aegis!$AZ:$BA, 2, FALSE), 0)</f>
        <v>2</v>
      </c>
      <c r="AS53" t="str">
        <f>IFERROR(VLOOKUP($B53, duel!$AZ:$BA, 2, FALSE), 0)</f>
        <v>2</v>
      </c>
      <c r="AT53" t="str">
        <f>IFERROR(VLOOKUP($B53, blitz!$AZ:$BA, 2, FALSE), 0)</f>
        <v>2</v>
      </c>
      <c r="AU53" t="b">
        <f t="shared" si="11"/>
        <v>1</v>
      </c>
      <c r="AV53" t="str">
        <f>IFERROR(VLOOKUP($B53, aegis!$BE:$BF, 2, FALSE), 0)</f>
        <v>1</v>
      </c>
      <c r="AW53" t="str">
        <f>IFERROR(VLOOKUP($B53, duel!$BE:$BF, 2, FALSE), 0)</f>
        <v>1</v>
      </c>
      <c r="AX53" t="str">
        <f>IFERROR(VLOOKUP($B53, blitz!$BE:$BF, 2, FALSE), 0)</f>
        <v>1</v>
      </c>
      <c r="AY53" t="b">
        <f t="shared" si="12"/>
        <v>1</v>
      </c>
      <c r="AZ53" t="str">
        <f>IFERROR(VLOOKUP($B53, aegis!$BJ:$BK, 2, FALSE), 0)</f>
        <v>1</v>
      </c>
      <c r="BA53" t="str">
        <f>IFERROR(VLOOKUP($B53, duel!$BJ:$BK, 2, FALSE), 0)</f>
        <v>1</v>
      </c>
      <c r="BB53" t="str">
        <f>IFERROR(VLOOKUP($B53, blitz!$BJ:$BK, 2, FALSE), 0)</f>
        <v>1</v>
      </c>
      <c r="BC53" t="b">
        <f t="shared" si="13"/>
        <v>1</v>
      </c>
      <c r="BD53">
        <f>IFERROR(VLOOKUP($B53, aegis!$BO:$BP, 2, FALSE), 0)</f>
        <v>0</v>
      </c>
      <c r="BE53">
        <f>IFERROR(VLOOKUP($B53, duel!$BO:$BP, 2, FALSE), 0)</f>
        <v>0</v>
      </c>
      <c r="BF53">
        <f>IFERROR(VLOOKUP($B53, blitz!$BO:$BP, 2, FALSE), 0)</f>
        <v>0</v>
      </c>
      <c r="BG53" t="b">
        <f t="shared" si="14"/>
        <v>1</v>
      </c>
      <c r="BH53" t="str">
        <f>IFERROR(VLOOKUP($B53, aegis!$BT:$BU, 2, FALSE), 0)</f>
        <v>44</v>
      </c>
      <c r="BI53" t="str">
        <f>IFERROR(VLOOKUP($B53, duel!$BT:$BU, 2, FALSE), 0)</f>
        <v>44</v>
      </c>
      <c r="BJ53" t="str">
        <f>IFERROR(VLOOKUP($B53, blitz!$BT:$BU, 2, FALSE), 0)</f>
        <v>44</v>
      </c>
      <c r="BK53" t="b">
        <f t="shared" si="15"/>
        <v>1</v>
      </c>
      <c r="BL53" t="str">
        <f>IFERROR(VLOOKUP($B53, aegis!$BY:$BZ, 2, FALSE), 0)</f>
        <v>1</v>
      </c>
      <c r="BM53" t="str">
        <f>IFERROR(VLOOKUP($B53, duel!$BY:$BZ, 2, FALSE), 0)</f>
        <v>1</v>
      </c>
      <c r="BN53" t="str">
        <f>IFERROR(VLOOKUP($B53, blitz!$BY:$BZ, 2, FALSE), 0)</f>
        <v>1</v>
      </c>
      <c r="BO53" t="b">
        <f t="shared" si="16"/>
        <v>1</v>
      </c>
      <c r="BP53" t="str">
        <f>IFERROR(VLOOKUP($B53, aegis!$CD:$CE, 2, FALSE), 0)</f>
        <v>8</v>
      </c>
      <c r="BQ53" t="str">
        <f>IFERROR(VLOOKUP($B53, duel!$CD:$CE, 2, FALSE), 0)</f>
        <v>8</v>
      </c>
      <c r="BR53" t="str">
        <f>IFERROR(VLOOKUP($B53, blitz!$CD:$CE, 2, FALSE), 0)</f>
        <v>8</v>
      </c>
      <c r="BS53" t="b">
        <f t="shared" si="17"/>
        <v>1</v>
      </c>
      <c r="BT53">
        <f>IFERROR(VLOOKUP($B53, aegis!$CI:$CJ, 2, FALSE), 0)</f>
        <v>0</v>
      </c>
      <c r="BU53">
        <f>IFERROR(VLOOKUP($B53, duel!$CI:$CJ, 2, FALSE), 0)</f>
        <v>0</v>
      </c>
      <c r="BV53">
        <f>IFERROR(VLOOKUP($B53, blitz!$CI:$CJ, 2, FALSE), 0)</f>
        <v>0</v>
      </c>
      <c r="BW53" t="b">
        <f t="shared" si="18"/>
        <v>1</v>
      </c>
      <c r="BX53">
        <f>IFERROR(VLOOKUP($B53, aegis!$CN:$CO, 2, FALSE), 0)</f>
        <v>0</v>
      </c>
      <c r="BY53">
        <f>IFERROR(VLOOKUP($B53, duel!$CN:$CO, 2, FALSE), 0)</f>
        <v>0</v>
      </c>
      <c r="BZ53">
        <f>IFERROR(VLOOKUP($B53, blitz!$CN:$CO, 2, FALSE), 0)</f>
        <v>0</v>
      </c>
      <c r="CA53" t="b">
        <f t="shared" si="19"/>
        <v>1</v>
      </c>
      <c r="CB53">
        <f>IFERROR(VLOOKUP($B53, aegis!$CS:$CT, 2, FALSE), 0)</f>
        <v>0</v>
      </c>
      <c r="CC53">
        <f>IFERROR(VLOOKUP($B53, duel!$CS:$CT, 2, FALSE), 0)</f>
        <v>0</v>
      </c>
      <c r="CD53">
        <f>IFERROR(VLOOKUP($B53, blitz!$CS:$CT, 2, FALSE), 0)</f>
        <v>0</v>
      </c>
      <c r="CE53" t="b">
        <f t="shared" si="20"/>
        <v>1</v>
      </c>
      <c r="CF53" t="str">
        <f>IFERROR(VLOOKUP($B53, aegis!$CX:$CY, 2, FALSE), 0)</f>
        <v>24056</v>
      </c>
      <c r="CG53" t="str">
        <f>IFERROR(VLOOKUP($B53, duel!$CX:$CY, 2, FALSE), 0)</f>
        <v>24053</v>
      </c>
      <c r="CH53" t="str">
        <f>IFERROR(VLOOKUP($B53, blitz!$CX:$CY, 2, FALSE), 0)</f>
        <v>6355</v>
      </c>
      <c r="CI53" t="b">
        <f t="shared" si="21"/>
        <v>0</v>
      </c>
      <c r="CJ53" t="str">
        <f>IFERROR(VLOOKUP($B53, aegis!$DC:$DD, 2, FALSE), 0)</f>
        <v>1</v>
      </c>
      <c r="CK53" t="str">
        <f>IFERROR(VLOOKUP($B53, duel!$DC:$DD, 2, FALSE), 0)</f>
        <v>1</v>
      </c>
      <c r="CL53" t="str">
        <f>IFERROR(VLOOKUP($B53, blitz!$DC:$DD, 2, FALSE), 0)</f>
        <v>1</v>
      </c>
      <c r="CM53" t="b">
        <f t="shared" si="22"/>
        <v>1</v>
      </c>
      <c r="CN53" t="str">
        <f>IFERROR(VLOOKUP($B53, aegis!$DH:$DI, 2, FALSE), 0)</f>
        <v>1</v>
      </c>
      <c r="CO53" t="str">
        <f>IFERROR(VLOOKUP($B53, duel!$DH:$DI, 2, FALSE), 0)</f>
        <v>1</v>
      </c>
      <c r="CP53" s="13">
        <f>IFERROR(VLOOKUP($B53, blitz!$DH:$DI, 2, FALSE), 0)</f>
        <v>0</v>
      </c>
      <c r="CQ53" t="b">
        <f t="shared" si="23"/>
        <v>1</v>
      </c>
      <c r="CR53" t="str">
        <f>IFERROR(VLOOKUP($B53, aegis!$DM:$DN, 2, FALSE), 0)</f>
        <v>1</v>
      </c>
      <c r="CS53" t="str">
        <f>IFERROR(VLOOKUP($B53, duel!$DM:$DN, 2, FALSE), 0)</f>
        <v>1</v>
      </c>
      <c r="CT53" t="str">
        <f>IFERROR(VLOOKUP($B53, blitz!$DM:$DN, 2, FALSE), 0)</f>
        <v>1</v>
      </c>
      <c r="CU53" t="b">
        <f t="shared" si="24"/>
        <v>1</v>
      </c>
      <c r="CV53" t="str">
        <f>IFERROR(VLOOKUP($B53, aegis!$DR:$DS, 2, FALSE), 0)</f>
        <v>96</v>
      </c>
      <c r="CW53" t="str">
        <f>IFERROR(VLOOKUP($B53, duel!$DR:$DS, 2, FALSE), 0)</f>
        <v>96</v>
      </c>
      <c r="CX53" t="str">
        <f>IFERROR(VLOOKUP($B53, blitz!$DR:$DS, 2, FALSE), 0)</f>
        <v>96</v>
      </c>
      <c r="CY53" t="b">
        <f t="shared" si="25"/>
        <v>1</v>
      </c>
    </row>
    <row r="54" spans="1:103">
      <c r="A54" t="s">
        <v>1733</v>
      </c>
      <c r="B54" s="6" t="s">
        <v>101</v>
      </c>
      <c r="C54" s="5" t="b">
        <f t="shared" si="0"/>
        <v>0</v>
      </c>
      <c r="D54" t="str">
        <f>IFERROR(VLOOKUP($B54, aegis!$B:$C, 2, FALSE), 0)</f>
        <v>60</v>
      </c>
      <c r="E54" t="str">
        <f>IFERROR(VLOOKUP($B54, duel!$B:$C, 2, FALSE), 0)</f>
        <v>60</v>
      </c>
      <c r="F54" t="str">
        <f>IFERROR(VLOOKUP($B54, blitz!$B:$C, 2, FALSE), 0)</f>
        <v>60</v>
      </c>
      <c r="G54" t="b">
        <f t="shared" si="1"/>
        <v>1</v>
      </c>
      <c r="H54" t="str">
        <f>IFERROR(VLOOKUP($B54, aegis!$G:$H, 2, FALSE), 0)</f>
        <v>35</v>
      </c>
      <c r="I54" t="str">
        <f>IFERROR(VLOOKUP($B54, duel!$G:$H, 2, FALSE), 0)</f>
        <v>35</v>
      </c>
      <c r="J54" t="str">
        <f>IFERROR(VLOOKUP($B54, blitz!$G:$H, 2, FALSE), 0)</f>
        <v>35</v>
      </c>
      <c r="K54" t="b">
        <f t="shared" si="2"/>
        <v>1</v>
      </c>
      <c r="L54" t="str">
        <f>IFERROR(VLOOKUP($B54, aegis!$L:$M, 2, FALSE), 0)</f>
        <v>60</v>
      </c>
      <c r="M54" t="str">
        <f>IFERROR(VLOOKUP($B54, duel!$L:$M, 2, FALSE), 0)</f>
        <v>60</v>
      </c>
      <c r="N54" t="str">
        <f>IFERROR(VLOOKUP($B54, blitz!$L:$M, 2, FALSE), 0)</f>
        <v>60</v>
      </c>
      <c r="O54" t="b">
        <f t="shared" si="3"/>
        <v>1</v>
      </c>
      <c r="P54" t="str">
        <f>IFERROR(VLOOKUP($B54, aegis!$Q:$R, 2, FALSE), 0)</f>
        <v>35</v>
      </c>
      <c r="Q54" t="str">
        <f>IFERROR(VLOOKUP($B54, duel!$Q:$R, 2, FALSE), 0)</f>
        <v>35</v>
      </c>
      <c r="R54" t="str">
        <f>IFERROR(VLOOKUP($B54, blitz!$Q:$R, 2, FALSE), 0)</f>
        <v>35</v>
      </c>
      <c r="S54" t="b">
        <f t="shared" si="4"/>
        <v>1</v>
      </c>
      <c r="T54" t="str">
        <f>IFERROR(VLOOKUP($B54, aegis!$V:$W, 2, FALSE), 0)</f>
        <v>85</v>
      </c>
      <c r="U54" t="str">
        <f>IFERROR(VLOOKUP($B54, duel!$V:$W, 2, FALSE), 0)</f>
        <v>85</v>
      </c>
      <c r="V54" t="str">
        <f>IFERROR(VLOOKUP($B54, blitz!$V:$W, 2, FALSE), 0)</f>
        <v>85</v>
      </c>
      <c r="W54" t="b">
        <f t="shared" si="5"/>
        <v>1</v>
      </c>
      <c r="X54" t="str">
        <f>IFERROR(VLOOKUP($B54, aegis!$AA:$AB, 2, FALSE), 0)</f>
        <v>2</v>
      </c>
      <c r="Y54" t="str">
        <f>IFERROR(VLOOKUP($B54, duel!$AA:$AB, 2, FALSE), 0)</f>
        <v>4</v>
      </c>
      <c r="Z54" t="str">
        <f>IFERROR(VLOOKUP($B54, blitz!$AA:$AB, 2, FALSE), 0)</f>
        <v>2</v>
      </c>
      <c r="AA54" t="b">
        <f t="shared" si="6"/>
        <v>0</v>
      </c>
      <c r="AB54" t="str">
        <f>IFERROR(VLOOKUP($B54, aegis!$AF:$AG, 2, FALSE), 0)</f>
        <v>33</v>
      </c>
      <c r="AC54" t="str">
        <f>IFERROR(VLOOKUP($B54, duel!$AF:$AG, 2, FALSE), 0)</f>
        <v>33</v>
      </c>
      <c r="AD54" t="str">
        <f>IFERROR(VLOOKUP($B54, blitz!$AF:$AG, 2, FALSE), 0)</f>
        <v>33</v>
      </c>
      <c r="AE54" t="b">
        <f t="shared" si="7"/>
        <v>1</v>
      </c>
      <c r="AF54" t="str">
        <f>IFERROR(VLOOKUP($B54, aegis!$AK:$AL, 2, FALSE), 0)</f>
        <v>3</v>
      </c>
      <c r="AG54" t="str">
        <f>IFERROR(VLOOKUP($B54, duel!$AK:$AL, 2, FALSE), 0)</f>
        <v>1</v>
      </c>
      <c r="AH54" t="str">
        <f>IFERROR(VLOOKUP($B54, blitz!$AK:$AL, 2, FALSE), 0)</f>
        <v>1</v>
      </c>
      <c r="AI54" t="b">
        <f t="shared" si="8"/>
        <v>0</v>
      </c>
      <c r="AJ54" t="str">
        <f>IFERROR(VLOOKUP($B54, aegis!$AP:$AQ, 2, FALSE), 0)</f>
        <v>1</v>
      </c>
      <c r="AK54" t="str">
        <f>IFERROR(VLOOKUP($B54, duel!$AP:$AQ, 2, FALSE), 0)</f>
        <v>1</v>
      </c>
      <c r="AL54" t="str">
        <f>IFERROR(VLOOKUP($B54, blitz!$AP:$AQ, 2, FALSE), 0)</f>
        <v>1</v>
      </c>
      <c r="AM54" t="b">
        <f t="shared" si="9"/>
        <v>1</v>
      </c>
      <c r="AN54">
        <f>IFERROR(VLOOKUP($B54, aegis!$AU:$AV, 2, FALSE), 0)</f>
        <v>0</v>
      </c>
      <c r="AO54">
        <f>IFERROR(VLOOKUP($B54, duel!$AU:$AV, 2, FALSE), 0)</f>
        <v>0</v>
      </c>
      <c r="AP54">
        <f>IFERROR(VLOOKUP($B54, blitz!$AU:$AV, 2, FALSE), 0)</f>
        <v>0</v>
      </c>
      <c r="AQ54" t="b">
        <f t="shared" si="10"/>
        <v>1</v>
      </c>
      <c r="AR54" t="str">
        <f>IFERROR(VLOOKUP($B54, aegis!$AZ:$BA, 2, FALSE), 0)</f>
        <v>2</v>
      </c>
      <c r="AS54" t="str">
        <f>IFERROR(VLOOKUP($B54, duel!$AZ:$BA, 2, FALSE), 0)</f>
        <v>2</v>
      </c>
      <c r="AT54" t="str">
        <f>IFERROR(VLOOKUP($B54, blitz!$AZ:$BA, 2, FALSE), 0)</f>
        <v>2</v>
      </c>
      <c r="AU54" t="b">
        <f t="shared" si="11"/>
        <v>1</v>
      </c>
      <c r="AV54" t="str">
        <f>IFERROR(VLOOKUP($B54, aegis!$BE:$BF, 2, FALSE), 0)</f>
        <v>1</v>
      </c>
      <c r="AW54" t="str">
        <f>IFERROR(VLOOKUP($B54, duel!$BE:$BF, 2, FALSE), 0)</f>
        <v>1</v>
      </c>
      <c r="AX54" t="str">
        <f>IFERROR(VLOOKUP($B54, blitz!$BE:$BF, 2, FALSE), 0)</f>
        <v>1</v>
      </c>
      <c r="AY54" t="b">
        <f t="shared" si="12"/>
        <v>1</v>
      </c>
      <c r="AZ54" t="str">
        <f>IFERROR(VLOOKUP($B54, aegis!$BJ:$BK, 2, FALSE), 0)</f>
        <v>1</v>
      </c>
      <c r="BA54" t="str">
        <f>IFERROR(VLOOKUP($B54, duel!$BJ:$BK, 2, FALSE), 0)</f>
        <v>1</v>
      </c>
      <c r="BB54" t="str">
        <f>IFERROR(VLOOKUP($B54, blitz!$BJ:$BK, 2, FALSE), 0)</f>
        <v>1</v>
      </c>
      <c r="BC54" t="b">
        <f t="shared" si="13"/>
        <v>1</v>
      </c>
      <c r="BD54">
        <f>IFERROR(VLOOKUP($B54, aegis!$BO:$BP, 2, FALSE), 0)</f>
        <v>0</v>
      </c>
      <c r="BE54">
        <f>IFERROR(VLOOKUP($B54, duel!$BO:$BP, 2, FALSE), 0)</f>
        <v>0</v>
      </c>
      <c r="BF54">
        <f>IFERROR(VLOOKUP($B54, blitz!$BO:$BP, 2, FALSE), 0)</f>
        <v>0</v>
      </c>
      <c r="BG54" t="b">
        <f t="shared" si="14"/>
        <v>1</v>
      </c>
      <c r="BH54" t="str">
        <f>IFERROR(VLOOKUP($B54, aegis!$BT:$BU, 2, FALSE), 0)</f>
        <v>18</v>
      </c>
      <c r="BI54" t="str">
        <f>IFERROR(VLOOKUP($B54, duel!$BT:$BU, 2, FALSE), 0)</f>
        <v>18</v>
      </c>
      <c r="BJ54" t="str">
        <f>IFERROR(VLOOKUP($B54, blitz!$BT:$BU, 2, FALSE), 0)</f>
        <v>18</v>
      </c>
      <c r="BK54" t="b">
        <f t="shared" si="15"/>
        <v>1</v>
      </c>
      <c r="BL54" t="str">
        <f>IFERROR(VLOOKUP($B54, aegis!$BY:$BZ, 2, FALSE), 0)</f>
        <v>1</v>
      </c>
      <c r="BM54" t="str">
        <f>IFERROR(VLOOKUP($B54, duel!$BY:$BZ, 2, FALSE), 0)</f>
        <v>1</v>
      </c>
      <c r="BN54" t="str">
        <f>IFERROR(VLOOKUP($B54, blitz!$BY:$BZ, 2, FALSE), 0)</f>
        <v>1</v>
      </c>
      <c r="BO54" t="b">
        <f t="shared" si="16"/>
        <v>1</v>
      </c>
      <c r="BP54" t="str">
        <f>IFERROR(VLOOKUP($B54, aegis!$CD:$CE, 2, FALSE), 0)</f>
        <v>7</v>
      </c>
      <c r="BQ54" t="str">
        <f>IFERROR(VLOOKUP($B54, duel!$CD:$CE, 2, FALSE), 0)</f>
        <v>7</v>
      </c>
      <c r="BR54" t="str">
        <f>IFERROR(VLOOKUP($B54, blitz!$CD:$CE, 2, FALSE), 0)</f>
        <v>7</v>
      </c>
      <c r="BS54" t="b">
        <f t="shared" si="17"/>
        <v>1</v>
      </c>
      <c r="BT54">
        <f>IFERROR(VLOOKUP($B54, aegis!$CI:$CJ, 2, FALSE), 0)</f>
        <v>0</v>
      </c>
      <c r="BU54">
        <f>IFERROR(VLOOKUP($B54, duel!$CI:$CJ, 2, FALSE), 0)</f>
        <v>0</v>
      </c>
      <c r="BV54">
        <f>IFERROR(VLOOKUP($B54, blitz!$CI:$CJ, 2, FALSE), 0)</f>
        <v>0</v>
      </c>
      <c r="BW54" t="b">
        <f t="shared" si="18"/>
        <v>1</v>
      </c>
      <c r="BX54">
        <f>IFERROR(VLOOKUP($B54, aegis!$CN:$CO, 2, FALSE), 0)</f>
        <v>0</v>
      </c>
      <c r="BY54">
        <f>IFERROR(VLOOKUP($B54, duel!$CN:$CO, 2, FALSE), 0)</f>
        <v>0</v>
      </c>
      <c r="BZ54">
        <f>IFERROR(VLOOKUP($B54, blitz!$CN:$CO, 2, FALSE), 0)</f>
        <v>0</v>
      </c>
      <c r="CA54" t="b">
        <f t="shared" si="19"/>
        <v>1</v>
      </c>
      <c r="CB54">
        <f>IFERROR(VLOOKUP($B54, aegis!$CS:$CT, 2, FALSE), 0)</f>
        <v>0</v>
      </c>
      <c r="CC54">
        <f>IFERROR(VLOOKUP($B54, duel!$CS:$CT, 2, FALSE), 0)</f>
        <v>0</v>
      </c>
      <c r="CD54">
        <f>IFERROR(VLOOKUP($B54, blitz!$CS:$CT, 2, FALSE), 0)</f>
        <v>0</v>
      </c>
      <c r="CE54" t="b">
        <f t="shared" si="20"/>
        <v>1</v>
      </c>
      <c r="CF54" t="str">
        <f>IFERROR(VLOOKUP($B54, aegis!$CX:$CY, 2, FALSE), 0)</f>
        <v>7131</v>
      </c>
      <c r="CG54" t="str">
        <f>IFERROR(VLOOKUP($B54, duel!$CX:$CY, 2, FALSE), 0)</f>
        <v>7129</v>
      </c>
      <c r="CH54" t="str">
        <f>IFERROR(VLOOKUP($B54, blitz!$CX:$CY, 2, FALSE), 0)</f>
        <v>2150</v>
      </c>
      <c r="CI54" t="b">
        <f t="shared" si="21"/>
        <v>0</v>
      </c>
      <c r="CJ54" t="str">
        <f>IFERROR(VLOOKUP($B54, aegis!$DC:$DD, 2, FALSE), 0)</f>
        <v>2</v>
      </c>
      <c r="CK54" t="str">
        <f>IFERROR(VLOOKUP($B54, duel!$DC:$DD, 2, FALSE), 0)</f>
        <v>2</v>
      </c>
      <c r="CL54" t="str">
        <f>IFERROR(VLOOKUP($B54, blitz!$DC:$DD, 2, FALSE), 0)</f>
        <v>2</v>
      </c>
      <c r="CM54" t="b">
        <f t="shared" si="22"/>
        <v>1</v>
      </c>
      <c r="CN54" t="str">
        <f>IFERROR(VLOOKUP($B54, aegis!$DH:$DI, 2, FALSE), 0)</f>
        <v>4</v>
      </c>
      <c r="CO54" t="str">
        <f>IFERROR(VLOOKUP($B54, duel!$DH:$DI, 2, FALSE), 0)</f>
        <v>4</v>
      </c>
      <c r="CP54" s="13">
        <f>IFERROR(VLOOKUP($B54, blitz!$DH:$DI, 2, FALSE), 0)</f>
        <v>0</v>
      </c>
      <c r="CQ54" t="b">
        <f t="shared" si="23"/>
        <v>1</v>
      </c>
      <c r="CR54" t="str">
        <f>IFERROR(VLOOKUP($B54, aegis!$DM:$DN, 2, FALSE), 0)</f>
        <v>1</v>
      </c>
      <c r="CS54" t="str">
        <f>IFERROR(VLOOKUP($B54, duel!$DM:$DN, 2, FALSE), 0)</f>
        <v>1</v>
      </c>
      <c r="CT54" t="str">
        <f>IFERROR(VLOOKUP($B54, blitz!$DM:$DN, 2, FALSE), 0)</f>
        <v>1</v>
      </c>
      <c r="CU54" t="b">
        <f t="shared" si="24"/>
        <v>1</v>
      </c>
      <c r="CV54" t="str">
        <f>IFERROR(VLOOKUP($B54, aegis!$DR:$DS, 2, FALSE), 0)</f>
        <v>33</v>
      </c>
      <c r="CW54" t="str">
        <f>IFERROR(VLOOKUP($B54, duel!$DR:$DS, 2, FALSE), 0)</f>
        <v>33</v>
      </c>
      <c r="CX54" t="str">
        <f>IFERROR(VLOOKUP($B54, blitz!$DR:$DS, 2, FALSE), 0)</f>
        <v>33</v>
      </c>
      <c r="CY54" t="b">
        <f t="shared" si="25"/>
        <v>1</v>
      </c>
    </row>
    <row r="55" spans="1:103">
      <c r="B55" s="6" t="s">
        <v>103</v>
      </c>
      <c r="C55" s="5" t="b">
        <f t="shared" si="0"/>
        <v>0</v>
      </c>
      <c r="D55" t="str">
        <f>IFERROR(VLOOKUP($B55, aegis!$B:$C, 2, FALSE), 0)</f>
        <v>12</v>
      </c>
      <c r="E55" t="str">
        <f>IFERROR(VLOOKUP($B55, duel!$B:$C, 2, FALSE), 0)</f>
        <v>12</v>
      </c>
      <c r="F55" t="str">
        <f>IFERROR(VLOOKUP($B55, blitz!$B:$C, 2, FALSE), 0)</f>
        <v>12</v>
      </c>
      <c r="G55" t="b">
        <f t="shared" si="1"/>
        <v>1</v>
      </c>
      <c r="H55" t="str">
        <f>IFERROR(VLOOKUP($B55, aegis!$G:$H, 2, FALSE), 0)</f>
        <v>7</v>
      </c>
      <c r="I55" t="str">
        <f>IFERROR(VLOOKUP($B55, duel!$G:$H, 2, FALSE), 0)</f>
        <v>7</v>
      </c>
      <c r="J55" t="str">
        <f>IFERROR(VLOOKUP($B55, blitz!$G:$H, 2, FALSE), 0)</f>
        <v>7</v>
      </c>
      <c r="K55" t="b">
        <f t="shared" si="2"/>
        <v>1</v>
      </c>
      <c r="L55" t="str">
        <f>IFERROR(VLOOKUP($B55, aegis!$L:$M, 2, FALSE), 0)</f>
        <v>12</v>
      </c>
      <c r="M55" t="str">
        <f>IFERROR(VLOOKUP($B55, duel!$L:$M, 2, FALSE), 0)</f>
        <v>12</v>
      </c>
      <c r="N55" t="str">
        <f>IFERROR(VLOOKUP($B55, blitz!$L:$M, 2, FALSE), 0)</f>
        <v>12</v>
      </c>
      <c r="O55" t="b">
        <f t="shared" si="3"/>
        <v>1</v>
      </c>
      <c r="P55" t="str">
        <f>IFERROR(VLOOKUP($B55, aegis!$Q:$R, 2, FALSE), 0)</f>
        <v>7</v>
      </c>
      <c r="Q55" t="str">
        <f>IFERROR(VLOOKUP($B55, duel!$Q:$R, 2, FALSE), 0)</f>
        <v>7</v>
      </c>
      <c r="R55" t="str">
        <f>IFERROR(VLOOKUP($B55, blitz!$Q:$R, 2, FALSE), 0)</f>
        <v>7</v>
      </c>
      <c r="S55" t="b">
        <f t="shared" si="4"/>
        <v>1</v>
      </c>
      <c r="T55">
        <f>IFERROR(VLOOKUP($B55, aegis!$V:$W, 2, FALSE), 0)</f>
        <v>0</v>
      </c>
      <c r="U55">
        <f>IFERROR(VLOOKUP($B55, duel!$V:$W, 2, FALSE), 0)</f>
        <v>0</v>
      </c>
      <c r="V55">
        <f>IFERROR(VLOOKUP($B55, blitz!$V:$W, 2, FALSE), 0)</f>
        <v>0</v>
      </c>
      <c r="W55" t="b">
        <f t="shared" si="5"/>
        <v>1</v>
      </c>
      <c r="X55" t="str">
        <f>IFERROR(VLOOKUP($B55, aegis!$AA:$AB, 2, FALSE), 0)</f>
        <v>1</v>
      </c>
      <c r="Y55" t="str">
        <f>IFERROR(VLOOKUP($B55, duel!$AA:$AB, 2, FALSE), 0)</f>
        <v>2</v>
      </c>
      <c r="Z55" t="str">
        <f>IFERROR(VLOOKUP($B55, blitz!$AA:$AB, 2, FALSE), 0)</f>
        <v>1</v>
      </c>
      <c r="AA55" t="b">
        <f t="shared" si="6"/>
        <v>0</v>
      </c>
      <c r="AB55">
        <f>IFERROR(VLOOKUP($B55, aegis!$AF:$AG, 2, FALSE), 0)</f>
        <v>0</v>
      </c>
      <c r="AC55">
        <f>IFERROR(VLOOKUP($B55, duel!$AF:$AG, 2, FALSE), 0)</f>
        <v>0</v>
      </c>
      <c r="AD55">
        <f>IFERROR(VLOOKUP($B55, blitz!$AF:$AG, 2, FALSE), 0)</f>
        <v>0</v>
      </c>
      <c r="AE55" t="b">
        <f t="shared" si="7"/>
        <v>1</v>
      </c>
      <c r="AF55" t="str">
        <f>IFERROR(VLOOKUP($B55, aegis!$AK:$AL, 2, FALSE), 0)</f>
        <v>1</v>
      </c>
      <c r="AG55" t="str">
        <f>IFERROR(VLOOKUP($B55, duel!$AK:$AL, 2, FALSE), 0)</f>
        <v>1</v>
      </c>
      <c r="AH55" t="str">
        <f>IFERROR(VLOOKUP($B55, blitz!$AK:$AL, 2, FALSE), 0)</f>
        <v>1</v>
      </c>
      <c r="AI55" t="b">
        <f t="shared" si="8"/>
        <v>1</v>
      </c>
      <c r="AJ55">
        <f>IFERROR(VLOOKUP($B55, aegis!$AP:$AQ, 2, FALSE), 0)</f>
        <v>0</v>
      </c>
      <c r="AK55">
        <f>IFERROR(VLOOKUP($B55, duel!$AP:$AQ, 2, FALSE), 0)</f>
        <v>0</v>
      </c>
      <c r="AL55">
        <f>IFERROR(VLOOKUP($B55, blitz!$AP:$AQ, 2, FALSE), 0)</f>
        <v>0</v>
      </c>
      <c r="AM55" t="b">
        <f t="shared" si="9"/>
        <v>1</v>
      </c>
      <c r="AN55">
        <f>IFERROR(VLOOKUP($B55, aegis!$AU:$AV, 2, FALSE), 0)</f>
        <v>0</v>
      </c>
      <c r="AO55">
        <f>IFERROR(VLOOKUP($B55, duel!$AU:$AV, 2, FALSE), 0)</f>
        <v>0</v>
      </c>
      <c r="AP55">
        <f>IFERROR(VLOOKUP($B55, blitz!$AU:$AV, 2, FALSE), 0)</f>
        <v>0</v>
      </c>
      <c r="AQ55" t="b">
        <f t="shared" si="10"/>
        <v>1</v>
      </c>
      <c r="AR55" t="str">
        <f>IFERROR(VLOOKUP($B55, aegis!$AZ:$BA, 2, FALSE), 0)</f>
        <v>1</v>
      </c>
      <c r="AS55" t="str">
        <f>IFERROR(VLOOKUP($B55, duel!$AZ:$BA, 2, FALSE), 0)</f>
        <v>1</v>
      </c>
      <c r="AT55" t="str">
        <f>IFERROR(VLOOKUP($B55, blitz!$AZ:$BA, 2, FALSE), 0)</f>
        <v>1</v>
      </c>
      <c r="AU55" t="b">
        <f t="shared" si="11"/>
        <v>1</v>
      </c>
      <c r="AV55">
        <f>IFERROR(VLOOKUP($B55, aegis!$BE:$BF, 2, FALSE), 0)</f>
        <v>0</v>
      </c>
      <c r="AW55">
        <f>IFERROR(VLOOKUP($B55, duel!$BE:$BF, 2, FALSE), 0)</f>
        <v>0</v>
      </c>
      <c r="AX55">
        <f>IFERROR(VLOOKUP($B55, blitz!$BE:$BF, 2, FALSE), 0)</f>
        <v>0</v>
      </c>
      <c r="AY55" t="b">
        <f t="shared" si="12"/>
        <v>1</v>
      </c>
      <c r="AZ55" t="str">
        <f>IFERROR(VLOOKUP($B55, aegis!$BJ:$BK, 2, FALSE), 0)</f>
        <v>1</v>
      </c>
      <c r="BA55" t="str">
        <f>IFERROR(VLOOKUP($B55, duel!$BJ:$BK, 2, FALSE), 0)</f>
        <v>1</v>
      </c>
      <c r="BB55" t="str">
        <f>IFERROR(VLOOKUP($B55, blitz!$BJ:$BK, 2, FALSE), 0)</f>
        <v>1</v>
      </c>
      <c r="BC55" t="b">
        <f t="shared" si="13"/>
        <v>1</v>
      </c>
      <c r="BD55">
        <f>IFERROR(VLOOKUP($B55, aegis!$BO:$BP, 2, FALSE), 0)</f>
        <v>0</v>
      </c>
      <c r="BE55">
        <f>IFERROR(VLOOKUP($B55, duel!$BO:$BP, 2, FALSE), 0)</f>
        <v>0</v>
      </c>
      <c r="BF55">
        <f>IFERROR(VLOOKUP($B55, blitz!$BO:$BP, 2, FALSE), 0)</f>
        <v>0</v>
      </c>
      <c r="BG55" t="b">
        <f t="shared" si="14"/>
        <v>1</v>
      </c>
      <c r="BH55">
        <f>IFERROR(VLOOKUP($B55, aegis!$BT:$BU, 2, FALSE), 0)</f>
        <v>0</v>
      </c>
      <c r="BI55">
        <f>IFERROR(VLOOKUP($B55, duel!$BT:$BU, 2, FALSE), 0)</f>
        <v>0</v>
      </c>
      <c r="BJ55">
        <f>IFERROR(VLOOKUP($B55, blitz!$BT:$BU, 2, FALSE), 0)</f>
        <v>0</v>
      </c>
      <c r="BK55" t="b">
        <f t="shared" si="15"/>
        <v>1</v>
      </c>
      <c r="BL55">
        <f>IFERROR(VLOOKUP($B55, aegis!$BY:$BZ, 2, FALSE), 0)</f>
        <v>0</v>
      </c>
      <c r="BM55">
        <f>IFERROR(VLOOKUP($B55, duel!$BY:$BZ, 2, FALSE), 0)</f>
        <v>0</v>
      </c>
      <c r="BN55">
        <f>IFERROR(VLOOKUP($B55, blitz!$BY:$BZ, 2, FALSE), 0)</f>
        <v>0</v>
      </c>
      <c r="BO55" t="b">
        <f t="shared" si="16"/>
        <v>1</v>
      </c>
      <c r="BP55" t="str">
        <f>IFERROR(VLOOKUP($B55, aegis!$CD:$CE, 2, FALSE), 0)</f>
        <v>1</v>
      </c>
      <c r="BQ55" t="str">
        <f>IFERROR(VLOOKUP($B55, duel!$CD:$CE, 2, FALSE), 0)</f>
        <v>1</v>
      </c>
      <c r="BR55" t="str">
        <f>IFERROR(VLOOKUP($B55, blitz!$CD:$CE, 2, FALSE), 0)</f>
        <v>1</v>
      </c>
      <c r="BS55" t="b">
        <f t="shared" si="17"/>
        <v>1</v>
      </c>
      <c r="BT55">
        <f>IFERROR(VLOOKUP($B55, aegis!$CI:$CJ, 2, FALSE), 0)</f>
        <v>0</v>
      </c>
      <c r="BU55">
        <f>IFERROR(VLOOKUP($B55, duel!$CI:$CJ, 2, FALSE), 0)</f>
        <v>0</v>
      </c>
      <c r="BV55">
        <f>IFERROR(VLOOKUP($B55, blitz!$CI:$CJ, 2, FALSE), 0)</f>
        <v>0</v>
      </c>
      <c r="BW55" t="b">
        <f t="shared" si="18"/>
        <v>1</v>
      </c>
      <c r="BX55">
        <f>IFERROR(VLOOKUP($B55, aegis!$CN:$CO, 2, FALSE), 0)</f>
        <v>0</v>
      </c>
      <c r="BY55">
        <f>IFERROR(VLOOKUP($B55, duel!$CN:$CO, 2, FALSE), 0)</f>
        <v>0</v>
      </c>
      <c r="BZ55">
        <f>IFERROR(VLOOKUP($B55, blitz!$CN:$CO, 2, FALSE), 0)</f>
        <v>0</v>
      </c>
      <c r="CA55" t="b">
        <f t="shared" si="19"/>
        <v>1</v>
      </c>
      <c r="CB55">
        <f>IFERROR(VLOOKUP($B55, aegis!$CS:$CT, 2, FALSE), 0)</f>
        <v>0</v>
      </c>
      <c r="CC55">
        <f>IFERROR(VLOOKUP($B55, duel!$CS:$CT, 2, FALSE), 0)</f>
        <v>0</v>
      </c>
      <c r="CD55">
        <f>IFERROR(VLOOKUP($B55, blitz!$CS:$CT, 2, FALSE), 0)</f>
        <v>0</v>
      </c>
      <c r="CE55" t="b">
        <f t="shared" si="20"/>
        <v>1</v>
      </c>
      <c r="CF55">
        <f>IFERROR(VLOOKUP($B55, aegis!$CX:$CY, 2, FALSE), 0)</f>
        <v>0</v>
      </c>
      <c r="CG55">
        <f>IFERROR(VLOOKUP($B55, duel!$CX:$CY, 2, FALSE), 0)</f>
        <v>0</v>
      </c>
      <c r="CH55">
        <f>IFERROR(VLOOKUP($B55, blitz!$CX:$CY, 2, FALSE), 0)</f>
        <v>0</v>
      </c>
      <c r="CI55" t="b">
        <f t="shared" si="21"/>
        <v>1</v>
      </c>
      <c r="CJ55">
        <f>IFERROR(VLOOKUP($B55, aegis!$DC:$DD, 2, FALSE), 0)</f>
        <v>0</v>
      </c>
      <c r="CK55">
        <f>IFERROR(VLOOKUP($B55, duel!$DC:$DD, 2, FALSE), 0)</f>
        <v>0</v>
      </c>
      <c r="CL55">
        <f>IFERROR(VLOOKUP($B55, blitz!$DC:$DD, 2, FALSE), 0)</f>
        <v>0</v>
      </c>
      <c r="CM55" t="b">
        <f t="shared" si="22"/>
        <v>1</v>
      </c>
      <c r="CN55">
        <f>IFERROR(VLOOKUP($B55, aegis!$DH:$DI, 2, FALSE), 0)</f>
        <v>0</v>
      </c>
      <c r="CO55">
        <f>IFERROR(VLOOKUP($B55, duel!$DH:$DI, 2, FALSE), 0)</f>
        <v>0</v>
      </c>
      <c r="CP55" s="13">
        <f>IFERROR(VLOOKUP($B55, blitz!$DH:$DI, 2, FALSE), 0)</f>
        <v>0</v>
      </c>
      <c r="CQ55" t="b">
        <f t="shared" si="23"/>
        <v>1</v>
      </c>
      <c r="CR55">
        <f>IFERROR(VLOOKUP($B55, aegis!$DM:$DN, 2, FALSE), 0)</f>
        <v>0</v>
      </c>
      <c r="CS55">
        <f>IFERROR(VLOOKUP($B55, duel!$DM:$DN, 2, FALSE), 0)</f>
        <v>0</v>
      </c>
      <c r="CT55">
        <f>IFERROR(VLOOKUP($B55, blitz!$DM:$DN, 2, FALSE), 0)</f>
        <v>0</v>
      </c>
      <c r="CU55" t="b">
        <f t="shared" si="24"/>
        <v>1</v>
      </c>
      <c r="CV55">
        <f>IFERROR(VLOOKUP($B55, aegis!$DR:$DS, 2, FALSE), 0)</f>
        <v>0</v>
      </c>
      <c r="CW55">
        <f>IFERROR(VLOOKUP($B55, duel!$DR:$DS, 2, FALSE), 0)</f>
        <v>0</v>
      </c>
      <c r="CX55">
        <f>IFERROR(VLOOKUP($B55, blitz!$DR:$DS, 2, FALSE), 0)</f>
        <v>0</v>
      </c>
      <c r="CY55" t="b">
        <f t="shared" si="25"/>
        <v>1</v>
      </c>
    </row>
    <row r="56" spans="1:103">
      <c r="A56" t="s">
        <v>1733</v>
      </c>
      <c r="B56" s="6" t="s">
        <v>105</v>
      </c>
      <c r="C56" s="5" t="b">
        <f t="shared" si="0"/>
        <v>0</v>
      </c>
      <c r="D56" t="str">
        <f>IFERROR(VLOOKUP($B56, aegis!$B:$C, 2, FALSE), 0)</f>
        <v>72</v>
      </c>
      <c r="E56" t="str">
        <f>IFERROR(VLOOKUP($B56, duel!$B:$C, 2, FALSE), 0)</f>
        <v>72</v>
      </c>
      <c r="F56" t="str">
        <f>IFERROR(VLOOKUP($B56, blitz!$B:$C, 2, FALSE), 0)</f>
        <v>72</v>
      </c>
      <c r="G56" t="b">
        <f t="shared" si="1"/>
        <v>1</v>
      </c>
      <c r="H56" t="str">
        <f>IFERROR(VLOOKUP($B56, aegis!$G:$H, 2, FALSE), 0)</f>
        <v>42</v>
      </c>
      <c r="I56" t="str">
        <f>IFERROR(VLOOKUP($B56, duel!$G:$H, 2, FALSE), 0)</f>
        <v>42</v>
      </c>
      <c r="J56" t="str">
        <f>IFERROR(VLOOKUP($B56, blitz!$G:$H, 2, FALSE), 0)</f>
        <v>42</v>
      </c>
      <c r="K56" t="b">
        <f t="shared" si="2"/>
        <v>1</v>
      </c>
      <c r="L56" t="str">
        <f>IFERROR(VLOOKUP($B56, aegis!$L:$M, 2, FALSE), 0)</f>
        <v>72</v>
      </c>
      <c r="M56" t="str">
        <f>IFERROR(VLOOKUP($B56, duel!$L:$M, 2, FALSE), 0)</f>
        <v>72</v>
      </c>
      <c r="N56" t="str">
        <f>IFERROR(VLOOKUP($B56, blitz!$L:$M, 2, FALSE), 0)</f>
        <v>72</v>
      </c>
      <c r="O56" t="b">
        <f t="shared" si="3"/>
        <v>1</v>
      </c>
      <c r="P56" t="str">
        <f>IFERROR(VLOOKUP($B56, aegis!$Q:$R, 2, FALSE), 0)</f>
        <v>42</v>
      </c>
      <c r="Q56" t="str">
        <f>IFERROR(VLOOKUP($B56, duel!$Q:$R, 2, FALSE), 0)</f>
        <v>42</v>
      </c>
      <c r="R56" t="str">
        <f>IFERROR(VLOOKUP($B56, blitz!$Q:$R, 2, FALSE), 0)</f>
        <v>42</v>
      </c>
      <c r="S56" t="b">
        <f t="shared" si="4"/>
        <v>1</v>
      </c>
      <c r="T56" t="str">
        <f>IFERROR(VLOOKUP($B56, aegis!$V:$W, 2, FALSE), 0)</f>
        <v>118</v>
      </c>
      <c r="U56" t="str">
        <f>IFERROR(VLOOKUP($B56, duel!$V:$W, 2, FALSE), 0)</f>
        <v>118</v>
      </c>
      <c r="V56" t="str">
        <f>IFERROR(VLOOKUP($B56, blitz!$V:$W, 2, FALSE), 0)</f>
        <v>118</v>
      </c>
      <c r="W56" t="b">
        <f t="shared" si="5"/>
        <v>1</v>
      </c>
      <c r="X56" t="str">
        <f>IFERROR(VLOOKUP($B56, aegis!$AA:$AB, 2, FALSE), 0)</f>
        <v>2</v>
      </c>
      <c r="Y56" t="str">
        <f>IFERROR(VLOOKUP($B56, duel!$AA:$AB, 2, FALSE), 0)</f>
        <v>4</v>
      </c>
      <c r="Z56" t="str">
        <f>IFERROR(VLOOKUP($B56, blitz!$AA:$AB, 2, FALSE), 0)</f>
        <v>2</v>
      </c>
      <c r="AA56" t="b">
        <f t="shared" si="6"/>
        <v>0</v>
      </c>
      <c r="AB56" t="str">
        <f>IFERROR(VLOOKUP($B56, aegis!$AF:$AG, 2, FALSE), 0)</f>
        <v>39</v>
      </c>
      <c r="AC56" t="str">
        <f>IFERROR(VLOOKUP($B56, duel!$AF:$AG, 2, FALSE), 0)</f>
        <v>39</v>
      </c>
      <c r="AD56" t="str">
        <f>IFERROR(VLOOKUP($B56, blitz!$AF:$AG, 2, FALSE), 0)</f>
        <v>39</v>
      </c>
      <c r="AE56" t="b">
        <f t="shared" si="7"/>
        <v>1</v>
      </c>
      <c r="AF56" t="str">
        <f>IFERROR(VLOOKUP($B56, aegis!$AK:$AL, 2, FALSE), 0)</f>
        <v>3</v>
      </c>
      <c r="AG56" t="str">
        <f>IFERROR(VLOOKUP($B56, duel!$AK:$AL, 2, FALSE), 0)</f>
        <v>1</v>
      </c>
      <c r="AH56" t="str">
        <f>IFERROR(VLOOKUP($B56, blitz!$AK:$AL, 2, FALSE), 0)</f>
        <v>1</v>
      </c>
      <c r="AI56" t="b">
        <f t="shared" si="8"/>
        <v>0</v>
      </c>
      <c r="AJ56" t="str">
        <f>IFERROR(VLOOKUP($B56, aegis!$AP:$AQ, 2, FALSE), 0)</f>
        <v>1</v>
      </c>
      <c r="AK56" t="str">
        <f>IFERROR(VLOOKUP($B56, duel!$AP:$AQ, 2, FALSE), 0)</f>
        <v>1</v>
      </c>
      <c r="AL56" t="str">
        <f>IFERROR(VLOOKUP($B56, blitz!$AP:$AQ, 2, FALSE), 0)</f>
        <v>1</v>
      </c>
      <c r="AM56" t="b">
        <f t="shared" si="9"/>
        <v>1</v>
      </c>
      <c r="AN56">
        <f>IFERROR(VLOOKUP($B56, aegis!$AU:$AV, 2, FALSE), 0)</f>
        <v>0</v>
      </c>
      <c r="AO56">
        <f>IFERROR(VLOOKUP($B56, duel!$AU:$AV, 2, FALSE), 0)</f>
        <v>0</v>
      </c>
      <c r="AP56">
        <f>IFERROR(VLOOKUP($B56, blitz!$AU:$AV, 2, FALSE), 0)</f>
        <v>0</v>
      </c>
      <c r="AQ56" t="b">
        <f t="shared" si="10"/>
        <v>1</v>
      </c>
      <c r="AR56" t="str">
        <f>IFERROR(VLOOKUP($B56, aegis!$AZ:$BA, 2, FALSE), 0)</f>
        <v>2</v>
      </c>
      <c r="AS56" t="str">
        <f>IFERROR(VLOOKUP($B56, duel!$AZ:$BA, 2, FALSE), 0)</f>
        <v>2</v>
      </c>
      <c r="AT56" t="str">
        <f>IFERROR(VLOOKUP($B56, blitz!$AZ:$BA, 2, FALSE), 0)</f>
        <v>2</v>
      </c>
      <c r="AU56" t="b">
        <f t="shared" si="11"/>
        <v>1</v>
      </c>
      <c r="AV56" t="str">
        <f>IFERROR(VLOOKUP($B56, aegis!$BE:$BF, 2, FALSE), 0)</f>
        <v>1</v>
      </c>
      <c r="AW56" t="str">
        <f>IFERROR(VLOOKUP($B56, duel!$BE:$BF, 2, FALSE), 0)</f>
        <v>1</v>
      </c>
      <c r="AX56" t="str">
        <f>IFERROR(VLOOKUP($B56, blitz!$BE:$BF, 2, FALSE), 0)</f>
        <v>1</v>
      </c>
      <c r="AY56" t="b">
        <f t="shared" si="12"/>
        <v>1</v>
      </c>
      <c r="AZ56" t="str">
        <f>IFERROR(VLOOKUP($B56, aegis!$BJ:$BK, 2, FALSE), 0)</f>
        <v>1</v>
      </c>
      <c r="BA56" t="str">
        <f>IFERROR(VLOOKUP($B56, duel!$BJ:$BK, 2, FALSE), 0)</f>
        <v>1</v>
      </c>
      <c r="BB56" t="str">
        <f>IFERROR(VLOOKUP($B56, blitz!$BJ:$BK, 2, FALSE), 0)</f>
        <v>1</v>
      </c>
      <c r="BC56" t="b">
        <f t="shared" si="13"/>
        <v>1</v>
      </c>
      <c r="BD56">
        <f>IFERROR(VLOOKUP($B56, aegis!$BO:$BP, 2, FALSE), 0)</f>
        <v>0</v>
      </c>
      <c r="BE56">
        <f>IFERROR(VLOOKUP($B56, duel!$BO:$BP, 2, FALSE), 0)</f>
        <v>0</v>
      </c>
      <c r="BF56">
        <f>IFERROR(VLOOKUP($B56, blitz!$BO:$BP, 2, FALSE), 0)</f>
        <v>0</v>
      </c>
      <c r="BG56" t="b">
        <f t="shared" si="14"/>
        <v>1</v>
      </c>
      <c r="BH56" t="str">
        <f>IFERROR(VLOOKUP($B56, aegis!$BT:$BU, 2, FALSE), 0)</f>
        <v>19</v>
      </c>
      <c r="BI56" t="str">
        <f>IFERROR(VLOOKUP($B56, duel!$BT:$BU, 2, FALSE), 0)</f>
        <v>19</v>
      </c>
      <c r="BJ56" t="str">
        <f>IFERROR(VLOOKUP($B56, blitz!$BT:$BU, 2, FALSE), 0)</f>
        <v>19</v>
      </c>
      <c r="BK56" t="b">
        <f t="shared" si="15"/>
        <v>1</v>
      </c>
      <c r="BL56" t="str">
        <f>IFERROR(VLOOKUP($B56, aegis!$BY:$BZ, 2, FALSE), 0)</f>
        <v>1</v>
      </c>
      <c r="BM56" t="str">
        <f>IFERROR(VLOOKUP($B56, duel!$BY:$BZ, 2, FALSE), 0)</f>
        <v>1</v>
      </c>
      <c r="BN56" t="str">
        <f>IFERROR(VLOOKUP($B56, blitz!$BY:$BZ, 2, FALSE), 0)</f>
        <v>1</v>
      </c>
      <c r="BO56" t="b">
        <f t="shared" si="16"/>
        <v>1</v>
      </c>
      <c r="BP56" t="str">
        <f>IFERROR(VLOOKUP($B56, aegis!$CD:$CE, 2, FALSE), 0)</f>
        <v>7</v>
      </c>
      <c r="BQ56" t="str">
        <f>IFERROR(VLOOKUP($B56, duel!$CD:$CE, 2, FALSE), 0)</f>
        <v>7</v>
      </c>
      <c r="BR56" t="str">
        <f>IFERROR(VLOOKUP($B56, blitz!$CD:$CE, 2, FALSE), 0)</f>
        <v>7</v>
      </c>
      <c r="BS56" t="b">
        <f t="shared" si="17"/>
        <v>1</v>
      </c>
      <c r="BT56">
        <f>IFERROR(VLOOKUP($B56, aegis!$CI:$CJ, 2, FALSE), 0)</f>
        <v>0</v>
      </c>
      <c r="BU56">
        <f>IFERROR(VLOOKUP($B56, duel!$CI:$CJ, 2, FALSE), 0)</f>
        <v>0</v>
      </c>
      <c r="BV56">
        <f>IFERROR(VLOOKUP($B56, blitz!$CI:$CJ, 2, FALSE), 0)</f>
        <v>0</v>
      </c>
      <c r="BW56" t="b">
        <f t="shared" si="18"/>
        <v>1</v>
      </c>
      <c r="BX56">
        <f>IFERROR(VLOOKUP($B56, aegis!$CN:$CO, 2, FALSE), 0)</f>
        <v>0</v>
      </c>
      <c r="BY56">
        <f>IFERROR(VLOOKUP($B56, duel!$CN:$CO, 2, FALSE), 0)</f>
        <v>0</v>
      </c>
      <c r="BZ56">
        <f>IFERROR(VLOOKUP($B56, blitz!$CN:$CO, 2, FALSE), 0)</f>
        <v>0</v>
      </c>
      <c r="CA56" t="b">
        <f t="shared" si="19"/>
        <v>1</v>
      </c>
      <c r="CB56">
        <f>IFERROR(VLOOKUP($B56, aegis!$CS:$CT, 2, FALSE), 0)</f>
        <v>0</v>
      </c>
      <c r="CC56">
        <f>IFERROR(VLOOKUP($B56, duel!$CS:$CT, 2, FALSE), 0)</f>
        <v>0</v>
      </c>
      <c r="CD56">
        <f>IFERROR(VLOOKUP($B56, blitz!$CS:$CT, 2, FALSE), 0)</f>
        <v>0</v>
      </c>
      <c r="CE56" t="b">
        <f t="shared" si="20"/>
        <v>1</v>
      </c>
      <c r="CF56" t="str">
        <f>IFERROR(VLOOKUP($B56, aegis!$CX:$CY, 2, FALSE), 0)</f>
        <v>8172</v>
      </c>
      <c r="CG56" t="str">
        <f>IFERROR(VLOOKUP($B56, duel!$CX:$CY, 2, FALSE), 0)</f>
        <v>8170</v>
      </c>
      <c r="CH56" t="str">
        <f>IFERROR(VLOOKUP($B56, blitz!$CX:$CY, 2, FALSE), 0)</f>
        <v>2577</v>
      </c>
      <c r="CI56" t="b">
        <f t="shared" si="21"/>
        <v>0</v>
      </c>
      <c r="CJ56" t="str">
        <f>IFERROR(VLOOKUP($B56, aegis!$DC:$DD, 2, FALSE), 0)</f>
        <v>2</v>
      </c>
      <c r="CK56" t="str">
        <f>IFERROR(VLOOKUP($B56, duel!$DC:$DD, 2, FALSE), 0)</f>
        <v>2</v>
      </c>
      <c r="CL56" t="str">
        <f>IFERROR(VLOOKUP($B56, blitz!$DC:$DD, 2, FALSE), 0)</f>
        <v>2</v>
      </c>
      <c r="CM56" t="b">
        <f t="shared" si="22"/>
        <v>1</v>
      </c>
      <c r="CN56" t="str">
        <f>IFERROR(VLOOKUP($B56, aegis!$DH:$DI, 2, FALSE), 0)</f>
        <v>4</v>
      </c>
      <c r="CO56" t="str">
        <f>IFERROR(VLOOKUP($B56, duel!$DH:$DI, 2, FALSE), 0)</f>
        <v>4</v>
      </c>
      <c r="CP56" s="13">
        <f>IFERROR(VLOOKUP($B56, blitz!$DH:$DI, 2, FALSE), 0)</f>
        <v>0</v>
      </c>
      <c r="CQ56" t="b">
        <f t="shared" si="23"/>
        <v>1</v>
      </c>
      <c r="CR56" t="str">
        <f>IFERROR(VLOOKUP($B56, aegis!$DM:$DN, 2, FALSE), 0)</f>
        <v>1</v>
      </c>
      <c r="CS56" t="str">
        <f>IFERROR(VLOOKUP($B56, duel!$DM:$DN, 2, FALSE), 0)</f>
        <v>1</v>
      </c>
      <c r="CT56" t="str">
        <f>IFERROR(VLOOKUP($B56, blitz!$DM:$DN, 2, FALSE), 0)</f>
        <v>1</v>
      </c>
      <c r="CU56" t="b">
        <f t="shared" si="24"/>
        <v>1</v>
      </c>
      <c r="CV56" t="str">
        <f>IFERROR(VLOOKUP($B56, aegis!$DR:$DS, 2, FALSE), 0)</f>
        <v>37</v>
      </c>
      <c r="CW56" t="str">
        <f>IFERROR(VLOOKUP($B56, duel!$DR:$DS, 2, FALSE), 0)</f>
        <v>37</v>
      </c>
      <c r="CX56" t="str">
        <f>IFERROR(VLOOKUP($B56, blitz!$DR:$DS, 2, FALSE), 0)</f>
        <v>37</v>
      </c>
      <c r="CY56" t="b">
        <f t="shared" si="25"/>
        <v>1</v>
      </c>
    </row>
    <row r="57" spans="1:103">
      <c r="A57" t="s">
        <v>1733</v>
      </c>
      <c r="B57" s="6" t="s">
        <v>107</v>
      </c>
      <c r="C57" s="5" t="b">
        <f t="shared" si="0"/>
        <v>0</v>
      </c>
      <c r="D57" t="str">
        <f>IFERROR(VLOOKUP($B57, aegis!$B:$C, 2, FALSE), 0)</f>
        <v>24</v>
      </c>
      <c r="E57" t="str">
        <f>IFERROR(VLOOKUP($B57, duel!$B:$C, 2, FALSE), 0)</f>
        <v>24</v>
      </c>
      <c r="F57" t="str">
        <f>IFERROR(VLOOKUP($B57, blitz!$B:$C, 2, FALSE), 0)</f>
        <v>24</v>
      </c>
      <c r="G57" t="b">
        <f t="shared" si="1"/>
        <v>1</v>
      </c>
      <c r="H57" t="str">
        <f>IFERROR(VLOOKUP($B57, aegis!$G:$H, 2, FALSE), 0)</f>
        <v>14</v>
      </c>
      <c r="I57" t="str">
        <f>IFERROR(VLOOKUP($B57, duel!$G:$H, 2, FALSE), 0)</f>
        <v>14</v>
      </c>
      <c r="J57" t="str">
        <f>IFERROR(VLOOKUP($B57, blitz!$G:$H, 2, FALSE), 0)</f>
        <v>14</v>
      </c>
      <c r="K57" t="b">
        <f t="shared" si="2"/>
        <v>1</v>
      </c>
      <c r="L57" t="str">
        <f>IFERROR(VLOOKUP($B57, aegis!$L:$M, 2, FALSE), 0)</f>
        <v>24</v>
      </c>
      <c r="M57" t="str">
        <f>IFERROR(VLOOKUP($B57, duel!$L:$M, 2, FALSE), 0)</f>
        <v>24</v>
      </c>
      <c r="N57" t="str">
        <f>IFERROR(VLOOKUP($B57, blitz!$L:$M, 2, FALSE), 0)</f>
        <v>24</v>
      </c>
      <c r="O57" t="b">
        <f t="shared" si="3"/>
        <v>1</v>
      </c>
      <c r="P57" t="str">
        <f>IFERROR(VLOOKUP($B57, aegis!$Q:$R, 2, FALSE), 0)</f>
        <v>14</v>
      </c>
      <c r="Q57" t="str">
        <f>IFERROR(VLOOKUP($B57, duel!$Q:$R, 2, FALSE), 0)</f>
        <v>14</v>
      </c>
      <c r="R57" t="str">
        <f>IFERROR(VLOOKUP($B57, blitz!$Q:$R, 2, FALSE), 0)</f>
        <v>14</v>
      </c>
      <c r="S57" t="b">
        <f t="shared" si="4"/>
        <v>1</v>
      </c>
      <c r="T57" t="str">
        <f>IFERROR(VLOOKUP($B57, aegis!$V:$W, 2, FALSE), 0)</f>
        <v>36</v>
      </c>
      <c r="U57" t="str">
        <f>IFERROR(VLOOKUP($B57, duel!$V:$W, 2, FALSE), 0)</f>
        <v>36</v>
      </c>
      <c r="V57" t="str">
        <f>IFERROR(VLOOKUP($B57, blitz!$V:$W, 2, FALSE), 0)</f>
        <v>36</v>
      </c>
      <c r="W57" t="b">
        <f t="shared" si="5"/>
        <v>1</v>
      </c>
      <c r="X57" t="str">
        <f>IFERROR(VLOOKUP($B57, aegis!$AA:$AB, 2, FALSE), 0)</f>
        <v>2</v>
      </c>
      <c r="Y57" t="str">
        <f>IFERROR(VLOOKUP($B57, duel!$AA:$AB, 2, FALSE), 0)</f>
        <v>4</v>
      </c>
      <c r="Z57" t="str">
        <f>IFERROR(VLOOKUP($B57, blitz!$AA:$AB, 2, FALSE), 0)</f>
        <v>2</v>
      </c>
      <c r="AA57" t="b">
        <f t="shared" si="6"/>
        <v>0</v>
      </c>
      <c r="AB57" t="str">
        <f>IFERROR(VLOOKUP($B57, aegis!$AF:$AG, 2, FALSE), 0)</f>
        <v>37</v>
      </c>
      <c r="AC57" t="str">
        <f>IFERROR(VLOOKUP($B57, duel!$AF:$AG, 2, FALSE), 0)</f>
        <v>37</v>
      </c>
      <c r="AD57" t="str">
        <f>IFERROR(VLOOKUP($B57, blitz!$AF:$AG, 2, FALSE), 0)</f>
        <v>37</v>
      </c>
      <c r="AE57" t="b">
        <f t="shared" si="7"/>
        <v>1</v>
      </c>
      <c r="AF57" t="str">
        <f>IFERROR(VLOOKUP($B57, aegis!$AK:$AL, 2, FALSE), 0)</f>
        <v>3</v>
      </c>
      <c r="AG57" t="str">
        <f>IFERROR(VLOOKUP($B57, duel!$AK:$AL, 2, FALSE), 0)</f>
        <v>1</v>
      </c>
      <c r="AH57" t="str">
        <f>IFERROR(VLOOKUP($B57, blitz!$AK:$AL, 2, FALSE), 0)</f>
        <v>1</v>
      </c>
      <c r="AI57" t="b">
        <f t="shared" si="8"/>
        <v>0</v>
      </c>
      <c r="AJ57" t="str">
        <f>IFERROR(VLOOKUP($B57, aegis!$AP:$AQ, 2, FALSE), 0)</f>
        <v>1</v>
      </c>
      <c r="AK57" t="str">
        <f>IFERROR(VLOOKUP($B57, duel!$AP:$AQ, 2, FALSE), 0)</f>
        <v>1</v>
      </c>
      <c r="AL57" t="str">
        <f>IFERROR(VLOOKUP($B57, blitz!$AP:$AQ, 2, FALSE), 0)</f>
        <v>1</v>
      </c>
      <c r="AM57" t="b">
        <f t="shared" si="9"/>
        <v>1</v>
      </c>
      <c r="AN57">
        <f>IFERROR(VLOOKUP($B57, aegis!$AU:$AV, 2, FALSE), 0)</f>
        <v>0</v>
      </c>
      <c r="AO57">
        <f>IFERROR(VLOOKUP($B57, duel!$AU:$AV, 2, FALSE), 0)</f>
        <v>0</v>
      </c>
      <c r="AP57">
        <f>IFERROR(VLOOKUP($B57, blitz!$AU:$AV, 2, FALSE), 0)</f>
        <v>0</v>
      </c>
      <c r="AQ57" t="b">
        <f t="shared" si="10"/>
        <v>1</v>
      </c>
      <c r="AR57" t="str">
        <f>IFERROR(VLOOKUP($B57, aegis!$AZ:$BA, 2, FALSE), 0)</f>
        <v>2</v>
      </c>
      <c r="AS57" t="str">
        <f>IFERROR(VLOOKUP($B57, duel!$AZ:$BA, 2, FALSE), 0)</f>
        <v>2</v>
      </c>
      <c r="AT57" t="str">
        <f>IFERROR(VLOOKUP($B57, blitz!$AZ:$BA, 2, FALSE), 0)</f>
        <v>2</v>
      </c>
      <c r="AU57" t="b">
        <f t="shared" si="11"/>
        <v>1</v>
      </c>
      <c r="AV57" t="str">
        <f>IFERROR(VLOOKUP($B57, aegis!$BE:$BF, 2, FALSE), 0)</f>
        <v>1</v>
      </c>
      <c r="AW57" t="str">
        <f>IFERROR(VLOOKUP($B57, duel!$BE:$BF, 2, FALSE), 0)</f>
        <v>1</v>
      </c>
      <c r="AX57" t="str">
        <f>IFERROR(VLOOKUP($B57, blitz!$BE:$BF, 2, FALSE), 0)</f>
        <v>1</v>
      </c>
      <c r="AY57" t="b">
        <f t="shared" si="12"/>
        <v>1</v>
      </c>
      <c r="AZ57" t="str">
        <f>IFERROR(VLOOKUP($B57, aegis!$BJ:$BK, 2, FALSE), 0)</f>
        <v>1</v>
      </c>
      <c r="BA57" t="str">
        <f>IFERROR(VLOOKUP($B57, duel!$BJ:$BK, 2, FALSE), 0)</f>
        <v>1</v>
      </c>
      <c r="BB57" t="str">
        <f>IFERROR(VLOOKUP($B57, blitz!$BJ:$BK, 2, FALSE), 0)</f>
        <v>1</v>
      </c>
      <c r="BC57" t="b">
        <f t="shared" si="13"/>
        <v>1</v>
      </c>
      <c r="BD57">
        <f>IFERROR(VLOOKUP($B57, aegis!$BO:$BP, 2, FALSE), 0)</f>
        <v>0</v>
      </c>
      <c r="BE57">
        <f>IFERROR(VLOOKUP($B57, duel!$BO:$BP, 2, FALSE), 0)</f>
        <v>0</v>
      </c>
      <c r="BF57">
        <f>IFERROR(VLOOKUP($B57, blitz!$BO:$BP, 2, FALSE), 0)</f>
        <v>0</v>
      </c>
      <c r="BG57" t="b">
        <f t="shared" si="14"/>
        <v>1</v>
      </c>
      <c r="BH57" t="str">
        <f>IFERROR(VLOOKUP($B57, aegis!$BT:$BU, 2, FALSE), 0)</f>
        <v>19</v>
      </c>
      <c r="BI57" t="str">
        <f>IFERROR(VLOOKUP($B57, duel!$BT:$BU, 2, FALSE), 0)</f>
        <v>19</v>
      </c>
      <c r="BJ57" t="str">
        <f>IFERROR(VLOOKUP($B57, blitz!$BT:$BU, 2, FALSE), 0)</f>
        <v>19</v>
      </c>
      <c r="BK57" t="b">
        <f t="shared" si="15"/>
        <v>1</v>
      </c>
      <c r="BL57" t="str">
        <f>IFERROR(VLOOKUP($B57, aegis!$BY:$BZ, 2, FALSE), 0)</f>
        <v>1</v>
      </c>
      <c r="BM57" t="str">
        <f>IFERROR(VLOOKUP($B57, duel!$BY:$BZ, 2, FALSE), 0)</f>
        <v>1</v>
      </c>
      <c r="BN57" t="str">
        <f>IFERROR(VLOOKUP($B57, blitz!$BY:$BZ, 2, FALSE), 0)</f>
        <v>1</v>
      </c>
      <c r="BO57" t="b">
        <f t="shared" si="16"/>
        <v>1</v>
      </c>
      <c r="BP57" t="str">
        <f>IFERROR(VLOOKUP($B57, aegis!$CD:$CE, 2, FALSE), 0)</f>
        <v>7</v>
      </c>
      <c r="BQ57" t="str">
        <f>IFERROR(VLOOKUP($B57, duel!$CD:$CE, 2, FALSE), 0)</f>
        <v>7</v>
      </c>
      <c r="BR57" t="str">
        <f>IFERROR(VLOOKUP($B57, blitz!$CD:$CE, 2, FALSE), 0)</f>
        <v>7</v>
      </c>
      <c r="BS57" t="b">
        <f t="shared" si="17"/>
        <v>1</v>
      </c>
      <c r="BT57">
        <f>IFERROR(VLOOKUP($B57, aegis!$CI:$CJ, 2, FALSE), 0)</f>
        <v>0</v>
      </c>
      <c r="BU57">
        <f>IFERROR(VLOOKUP($B57, duel!$CI:$CJ, 2, FALSE), 0)</f>
        <v>0</v>
      </c>
      <c r="BV57">
        <f>IFERROR(VLOOKUP($B57, blitz!$CI:$CJ, 2, FALSE), 0)</f>
        <v>0</v>
      </c>
      <c r="BW57" t="b">
        <f t="shared" si="18"/>
        <v>1</v>
      </c>
      <c r="BX57">
        <f>IFERROR(VLOOKUP($B57, aegis!$CN:$CO, 2, FALSE), 0)</f>
        <v>0</v>
      </c>
      <c r="BY57">
        <f>IFERROR(VLOOKUP($B57, duel!$CN:$CO, 2, FALSE), 0)</f>
        <v>0</v>
      </c>
      <c r="BZ57">
        <f>IFERROR(VLOOKUP($B57, blitz!$CN:$CO, 2, FALSE), 0)</f>
        <v>0</v>
      </c>
      <c r="CA57" t="b">
        <f t="shared" si="19"/>
        <v>1</v>
      </c>
      <c r="CB57">
        <f>IFERROR(VLOOKUP($B57, aegis!$CS:$CT, 2, FALSE), 0)</f>
        <v>0</v>
      </c>
      <c r="CC57">
        <f>IFERROR(VLOOKUP($B57, duel!$CS:$CT, 2, FALSE), 0)</f>
        <v>0</v>
      </c>
      <c r="CD57">
        <f>IFERROR(VLOOKUP($B57, blitz!$CS:$CT, 2, FALSE), 0)</f>
        <v>0</v>
      </c>
      <c r="CE57" t="b">
        <f t="shared" si="20"/>
        <v>1</v>
      </c>
      <c r="CF57" t="str">
        <f>IFERROR(VLOOKUP($B57, aegis!$CX:$CY, 2, FALSE), 0)</f>
        <v>9203</v>
      </c>
      <c r="CG57" t="str">
        <f>IFERROR(VLOOKUP($B57, duel!$CX:$CY, 2, FALSE), 0)</f>
        <v>9202</v>
      </c>
      <c r="CH57" t="str">
        <f>IFERROR(VLOOKUP($B57, blitz!$CX:$CY, 2, FALSE), 0)</f>
        <v>1745</v>
      </c>
      <c r="CI57" t="b">
        <f t="shared" si="21"/>
        <v>0</v>
      </c>
      <c r="CJ57" t="str">
        <f>IFERROR(VLOOKUP($B57, aegis!$DC:$DD, 2, FALSE), 0)</f>
        <v>1</v>
      </c>
      <c r="CK57" t="str">
        <f>IFERROR(VLOOKUP($B57, duel!$DC:$DD, 2, FALSE), 0)</f>
        <v>1</v>
      </c>
      <c r="CL57" t="str">
        <f>IFERROR(VLOOKUP($B57, blitz!$DC:$DD, 2, FALSE), 0)</f>
        <v>1</v>
      </c>
      <c r="CM57" t="b">
        <f t="shared" si="22"/>
        <v>1</v>
      </c>
      <c r="CN57" t="str">
        <f>IFERROR(VLOOKUP($B57, aegis!$DH:$DI, 2, FALSE), 0)</f>
        <v>5</v>
      </c>
      <c r="CO57" t="str">
        <f>IFERROR(VLOOKUP($B57, duel!$DH:$DI, 2, FALSE), 0)</f>
        <v>5</v>
      </c>
      <c r="CP57" s="13">
        <f>IFERROR(VLOOKUP($B57, blitz!$DH:$DI, 2, FALSE), 0)</f>
        <v>0</v>
      </c>
      <c r="CQ57" t="b">
        <f t="shared" si="23"/>
        <v>1</v>
      </c>
      <c r="CR57" t="str">
        <f>IFERROR(VLOOKUP($B57, aegis!$DM:$DN, 2, FALSE), 0)</f>
        <v>1</v>
      </c>
      <c r="CS57" t="str">
        <f>IFERROR(VLOOKUP($B57, duel!$DM:$DN, 2, FALSE), 0)</f>
        <v>1</v>
      </c>
      <c r="CT57" t="str">
        <f>IFERROR(VLOOKUP($B57, blitz!$DM:$DN, 2, FALSE), 0)</f>
        <v>1</v>
      </c>
      <c r="CU57" t="b">
        <f t="shared" si="24"/>
        <v>1</v>
      </c>
      <c r="CV57" t="str">
        <f>IFERROR(VLOOKUP($B57, aegis!$DR:$DS, 2, FALSE), 0)</f>
        <v>37</v>
      </c>
      <c r="CW57" t="str">
        <f>IFERROR(VLOOKUP($B57, duel!$DR:$DS, 2, FALSE), 0)</f>
        <v>37</v>
      </c>
      <c r="CX57" t="str">
        <f>IFERROR(VLOOKUP($B57, blitz!$DR:$DS, 2, FALSE), 0)</f>
        <v>37</v>
      </c>
      <c r="CY57" t="b">
        <f t="shared" si="25"/>
        <v>1</v>
      </c>
    </row>
    <row r="58" spans="1:103">
      <c r="A58" t="s">
        <v>1733</v>
      </c>
      <c r="B58" s="6" t="s">
        <v>108</v>
      </c>
      <c r="C58" s="5" t="b">
        <f t="shared" si="0"/>
        <v>0</v>
      </c>
      <c r="D58" t="str">
        <f>IFERROR(VLOOKUP($B58, aegis!$B:$C, 2, FALSE), 0)</f>
        <v>24</v>
      </c>
      <c r="E58" t="str">
        <f>IFERROR(VLOOKUP($B58, duel!$B:$C, 2, FALSE), 0)</f>
        <v>24</v>
      </c>
      <c r="F58" t="str">
        <f>IFERROR(VLOOKUP($B58, blitz!$B:$C, 2, FALSE), 0)</f>
        <v>24</v>
      </c>
      <c r="G58" t="b">
        <f t="shared" si="1"/>
        <v>1</v>
      </c>
      <c r="H58" t="str">
        <f>IFERROR(VLOOKUP($B58, aegis!$G:$H, 2, FALSE), 0)</f>
        <v>14</v>
      </c>
      <c r="I58" t="str">
        <f>IFERROR(VLOOKUP($B58, duel!$G:$H, 2, FALSE), 0)</f>
        <v>14</v>
      </c>
      <c r="J58" t="str">
        <f>IFERROR(VLOOKUP($B58, blitz!$G:$H, 2, FALSE), 0)</f>
        <v>14</v>
      </c>
      <c r="K58" t="b">
        <f t="shared" si="2"/>
        <v>1</v>
      </c>
      <c r="L58" t="str">
        <f>IFERROR(VLOOKUP($B58, aegis!$L:$M, 2, FALSE), 0)</f>
        <v>24</v>
      </c>
      <c r="M58" t="str">
        <f>IFERROR(VLOOKUP($B58, duel!$L:$M, 2, FALSE), 0)</f>
        <v>24</v>
      </c>
      <c r="N58" t="str">
        <f>IFERROR(VLOOKUP($B58, blitz!$L:$M, 2, FALSE), 0)</f>
        <v>24</v>
      </c>
      <c r="O58" t="b">
        <f t="shared" si="3"/>
        <v>1</v>
      </c>
      <c r="P58" t="str">
        <f>IFERROR(VLOOKUP($B58, aegis!$Q:$R, 2, FALSE), 0)</f>
        <v>14</v>
      </c>
      <c r="Q58" t="str">
        <f>IFERROR(VLOOKUP($B58, duel!$Q:$R, 2, FALSE), 0)</f>
        <v>14</v>
      </c>
      <c r="R58" t="str">
        <f>IFERROR(VLOOKUP($B58, blitz!$Q:$R, 2, FALSE), 0)</f>
        <v>14</v>
      </c>
      <c r="S58" t="b">
        <f t="shared" si="4"/>
        <v>1</v>
      </c>
      <c r="T58" t="str">
        <f>IFERROR(VLOOKUP($B58, aegis!$V:$W, 2, FALSE), 0)</f>
        <v>25</v>
      </c>
      <c r="U58" t="str">
        <f>IFERROR(VLOOKUP($B58, duel!$V:$W, 2, FALSE), 0)</f>
        <v>25</v>
      </c>
      <c r="V58" t="str">
        <f>IFERROR(VLOOKUP($B58, blitz!$V:$W, 2, FALSE), 0)</f>
        <v>25</v>
      </c>
      <c r="W58" t="b">
        <f t="shared" si="5"/>
        <v>1</v>
      </c>
      <c r="X58" t="str">
        <f>IFERROR(VLOOKUP($B58, aegis!$AA:$AB, 2, FALSE), 0)</f>
        <v>2</v>
      </c>
      <c r="Y58" t="str">
        <f>IFERROR(VLOOKUP($B58, duel!$AA:$AB, 2, FALSE), 0)</f>
        <v>4</v>
      </c>
      <c r="Z58" t="str">
        <f>IFERROR(VLOOKUP($B58, blitz!$AA:$AB, 2, FALSE), 0)</f>
        <v>2</v>
      </c>
      <c r="AA58" t="b">
        <f t="shared" si="6"/>
        <v>0</v>
      </c>
      <c r="AB58" t="str">
        <f>IFERROR(VLOOKUP($B58, aegis!$AF:$AG, 2, FALSE), 0)</f>
        <v>40</v>
      </c>
      <c r="AC58" t="str">
        <f>IFERROR(VLOOKUP($B58, duel!$AF:$AG, 2, FALSE), 0)</f>
        <v>40</v>
      </c>
      <c r="AD58" t="str">
        <f>IFERROR(VLOOKUP($B58, blitz!$AF:$AG, 2, FALSE), 0)</f>
        <v>40</v>
      </c>
      <c r="AE58" t="b">
        <f t="shared" si="7"/>
        <v>1</v>
      </c>
      <c r="AF58" t="str">
        <f>IFERROR(VLOOKUP($B58, aegis!$AK:$AL, 2, FALSE), 0)</f>
        <v>3</v>
      </c>
      <c r="AG58" t="str">
        <f>IFERROR(VLOOKUP($B58, duel!$AK:$AL, 2, FALSE), 0)</f>
        <v>1</v>
      </c>
      <c r="AH58" t="str">
        <f>IFERROR(VLOOKUP($B58, blitz!$AK:$AL, 2, FALSE), 0)</f>
        <v>1</v>
      </c>
      <c r="AI58" t="b">
        <f t="shared" si="8"/>
        <v>0</v>
      </c>
      <c r="AJ58" t="str">
        <f>IFERROR(VLOOKUP($B58, aegis!$AP:$AQ, 2, FALSE), 0)</f>
        <v>1</v>
      </c>
      <c r="AK58" t="str">
        <f>IFERROR(VLOOKUP($B58, duel!$AP:$AQ, 2, FALSE), 0)</f>
        <v>1</v>
      </c>
      <c r="AL58" t="str">
        <f>IFERROR(VLOOKUP($B58, blitz!$AP:$AQ, 2, FALSE), 0)</f>
        <v>1</v>
      </c>
      <c r="AM58" t="b">
        <f t="shared" si="9"/>
        <v>1</v>
      </c>
      <c r="AN58">
        <f>IFERROR(VLOOKUP($B58, aegis!$AU:$AV, 2, FALSE), 0)</f>
        <v>0</v>
      </c>
      <c r="AO58">
        <f>IFERROR(VLOOKUP($B58, duel!$AU:$AV, 2, FALSE), 0)</f>
        <v>0</v>
      </c>
      <c r="AP58">
        <f>IFERROR(VLOOKUP($B58, blitz!$AU:$AV, 2, FALSE), 0)</f>
        <v>0</v>
      </c>
      <c r="AQ58" t="b">
        <f t="shared" si="10"/>
        <v>1</v>
      </c>
      <c r="AR58" t="str">
        <f>IFERROR(VLOOKUP($B58, aegis!$AZ:$BA, 2, FALSE), 0)</f>
        <v>2</v>
      </c>
      <c r="AS58" t="str">
        <f>IFERROR(VLOOKUP($B58, duel!$AZ:$BA, 2, FALSE), 0)</f>
        <v>2</v>
      </c>
      <c r="AT58" t="str">
        <f>IFERROR(VLOOKUP($B58, blitz!$AZ:$BA, 2, FALSE), 0)</f>
        <v>2</v>
      </c>
      <c r="AU58" t="b">
        <f t="shared" si="11"/>
        <v>1</v>
      </c>
      <c r="AV58" t="str">
        <f>IFERROR(VLOOKUP($B58, aegis!$BE:$BF, 2, FALSE), 0)</f>
        <v>1</v>
      </c>
      <c r="AW58" t="str">
        <f>IFERROR(VLOOKUP($B58, duel!$BE:$BF, 2, FALSE), 0)</f>
        <v>1</v>
      </c>
      <c r="AX58" t="str">
        <f>IFERROR(VLOOKUP($B58, blitz!$BE:$BF, 2, FALSE), 0)</f>
        <v>1</v>
      </c>
      <c r="AY58" t="b">
        <f t="shared" si="12"/>
        <v>1</v>
      </c>
      <c r="AZ58" t="str">
        <f>IFERROR(VLOOKUP($B58, aegis!$BJ:$BK, 2, FALSE), 0)</f>
        <v>1</v>
      </c>
      <c r="BA58" t="str">
        <f>IFERROR(VLOOKUP($B58, duel!$BJ:$BK, 2, FALSE), 0)</f>
        <v>1</v>
      </c>
      <c r="BB58" t="str">
        <f>IFERROR(VLOOKUP($B58, blitz!$BJ:$BK, 2, FALSE), 0)</f>
        <v>1</v>
      </c>
      <c r="BC58" t="b">
        <f t="shared" si="13"/>
        <v>1</v>
      </c>
      <c r="BD58">
        <f>IFERROR(VLOOKUP($B58, aegis!$BO:$BP, 2, FALSE), 0)</f>
        <v>0</v>
      </c>
      <c r="BE58">
        <f>IFERROR(VLOOKUP($B58, duel!$BO:$BP, 2, FALSE), 0)</f>
        <v>0</v>
      </c>
      <c r="BF58">
        <f>IFERROR(VLOOKUP($B58, blitz!$BO:$BP, 2, FALSE), 0)</f>
        <v>0</v>
      </c>
      <c r="BG58" t="b">
        <f t="shared" si="14"/>
        <v>1</v>
      </c>
      <c r="BH58" t="str">
        <f>IFERROR(VLOOKUP($B58, aegis!$BT:$BU, 2, FALSE), 0)</f>
        <v>15</v>
      </c>
      <c r="BI58" t="str">
        <f>IFERROR(VLOOKUP($B58, duel!$BT:$BU, 2, FALSE), 0)</f>
        <v>15</v>
      </c>
      <c r="BJ58" t="str">
        <f>IFERROR(VLOOKUP($B58, blitz!$BT:$BU, 2, FALSE), 0)</f>
        <v>15</v>
      </c>
      <c r="BK58" t="b">
        <f t="shared" si="15"/>
        <v>1</v>
      </c>
      <c r="BL58" t="str">
        <f>IFERROR(VLOOKUP($B58, aegis!$BY:$BZ, 2, FALSE), 0)</f>
        <v>1</v>
      </c>
      <c r="BM58" t="str">
        <f>IFERROR(VLOOKUP($B58, duel!$BY:$BZ, 2, FALSE), 0)</f>
        <v>1</v>
      </c>
      <c r="BN58" t="str">
        <f>IFERROR(VLOOKUP($B58, blitz!$BY:$BZ, 2, FALSE), 0)</f>
        <v>1</v>
      </c>
      <c r="BO58" t="b">
        <f t="shared" si="16"/>
        <v>1</v>
      </c>
      <c r="BP58" t="str">
        <f>IFERROR(VLOOKUP($B58, aegis!$CD:$CE, 2, FALSE), 0)</f>
        <v>7</v>
      </c>
      <c r="BQ58" t="str">
        <f>IFERROR(VLOOKUP($B58, duel!$CD:$CE, 2, FALSE), 0)</f>
        <v>7</v>
      </c>
      <c r="BR58" t="str">
        <f>IFERROR(VLOOKUP($B58, blitz!$CD:$CE, 2, FALSE), 0)</f>
        <v>7</v>
      </c>
      <c r="BS58" t="b">
        <f t="shared" si="17"/>
        <v>1</v>
      </c>
      <c r="BT58">
        <f>IFERROR(VLOOKUP($B58, aegis!$CI:$CJ, 2, FALSE), 0)</f>
        <v>0</v>
      </c>
      <c r="BU58">
        <f>IFERROR(VLOOKUP($B58, duel!$CI:$CJ, 2, FALSE), 0)</f>
        <v>0</v>
      </c>
      <c r="BV58">
        <f>IFERROR(VLOOKUP($B58, blitz!$CI:$CJ, 2, FALSE), 0)</f>
        <v>0</v>
      </c>
      <c r="BW58" t="b">
        <f t="shared" si="18"/>
        <v>1</v>
      </c>
      <c r="BX58">
        <f>IFERROR(VLOOKUP($B58, aegis!$CN:$CO, 2, FALSE), 0)</f>
        <v>0</v>
      </c>
      <c r="BY58">
        <f>IFERROR(VLOOKUP($B58, duel!$CN:$CO, 2, FALSE), 0)</f>
        <v>0</v>
      </c>
      <c r="BZ58">
        <f>IFERROR(VLOOKUP($B58, blitz!$CN:$CO, 2, FALSE), 0)</f>
        <v>0</v>
      </c>
      <c r="CA58" t="b">
        <f t="shared" si="19"/>
        <v>1</v>
      </c>
      <c r="CB58">
        <f>IFERROR(VLOOKUP($B58, aegis!$CS:$CT, 2, FALSE), 0)</f>
        <v>0</v>
      </c>
      <c r="CC58">
        <f>IFERROR(VLOOKUP($B58, duel!$CS:$CT, 2, FALSE), 0)</f>
        <v>0</v>
      </c>
      <c r="CD58">
        <f>IFERROR(VLOOKUP($B58, blitz!$CS:$CT, 2, FALSE), 0)</f>
        <v>0</v>
      </c>
      <c r="CE58" t="b">
        <f t="shared" si="20"/>
        <v>1</v>
      </c>
      <c r="CF58" t="str">
        <f>IFERROR(VLOOKUP($B58, aegis!$CX:$CY, 2, FALSE), 0)</f>
        <v>7064</v>
      </c>
      <c r="CG58" t="str">
        <f>IFERROR(VLOOKUP($B58, duel!$CX:$CY, 2, FALSE), 0)</f>
        <v>7060</v>
      </c>
      <c r="CH58" t="str">
        <f>IFERROR(VLOOKUP($B58, blitz!$CX:$CY, 2, FALSE), 0)</f>
        <v>1647</v>
      </c>
      <c r="CI58" t="b">
        <f t="shared" si="21"/>
        <v>0</v>
      </c>
      <c r="CJ58" t="str">
        <f>IFERROR(VLOOKUP($B58, aegis!$DC:$DD, 2, FALSE), 0)</f>
        <v>2</v>
      </c>
      <c r="CK58" t="str">
        <f>IFERROR(VLOOKUP($B58, duel!$DC:$DD, 2, FALSE), 0)</f>
        <v>2</v>
      </c>
      <c r="CL58" t="str">
        <f>IFERROR(VLOOKUP($B58, blitz!$DC:$DD, 2, FALSE), 0)</f>
        <v>2</v>
      </c>
      <c r="CM58" t="b">
        <f t="shared" si="22"/>
        <v>1</v>
      </c>
      <c r="CN58" t="str">
        <f>IFERROR(VLOOKUP($B58, aegis!$DH:$DI, 2, FALSE), 0)</f>
        <v>4</v>
      </c>
      <c r="CO58" t="str">
        <f>IFERROR(VLOOKUP($B58, duel!$DH:$DI, 2, FALSE), 0)</f>
        <v>4</v>
      </c>
      <c r="CP58" s="13">
        <f>IFERROR(VLOOKUP($B58, blitz!$DH:$DI, 2, FALSE), 0)</f>
        <v>0</v>
      </c>
      <c r="CQ58" t="b">
        <f t="shared" si="23"/>
        <v>1</v>
      </c>
      <c r="CR58" t="str">
        <f>IFERROR(VLOOKUP($B58, aegis!$DM:$DN, 2, FALSE), 0)</f>
        <v>1</v>
      </c>
      <c r="CS58" t="str">
        <f>IFERROR(VLOOKUP($B58, duel!$DM:$DN, 2, FALSE), 0)</f>
        <v>1</v>
      </c>
      <c r="CT58" t="str">
        <f>IFERROR(VLOOKUP($B58, blitz!$DM:$DN, 2, FALSE), 0)</f>
        <v>1</v>
      </c>
      <c r="CU58" t="b">
        <f t="shared" si="24"/>
        <v>1</v>
      </c>
      <c r="CV58" t="str">
        <f>IFERROR(VLOOKUP($B58, aegis!$DR:$DS, 2, FALSE), 0)</f>
        <v>40</v>
      </c>
      <c r="CW58" t="str">
        <f>IFERROR(VLOOKUP($B58, duel!$DR:$DS, 2, FALSE), 0)</f>
        <v>40</v>
      </c>
      <c r="CX58" t="str">
        <f>IFERROR(VLOOKUP($B58, blitz!$DR:$DS, 2, FALSE), 0)</f>
        <v>40</v>
      </c>
      <c r="CY58" t="b">
        <f t="shared" si="25"/>
        <v>1</v>
      </c>
    </row>
    <row r="59" spans="1:103">
      <c r="A59" t="s">
        <v>1733</v>
      </c>
      <c r="B59" s="6" t="s">
        <v>109</v>
      </c>
      <c r="C59" s="5" t="b">
        <f t="shared" si="0"/>
        <v>0</v>
      </c>
      <c r="D59" t="str">
        <f>IFERROR(VLOOKUP($B59, aegis!$B:$C, 2, FALSE), 0)</f>
        <v>36</v>
      </c>
      <c r="E59" t="str">
        <f>IFERROR(VLOOKUP($B59, duel!$B:$C, 2, FALSE), 0)</f>
        <v>36</v>
      </c>
      <c r="F59" t="str">
        <f>IFERROR(VLOOKUP($B59, blitz!$B:$C, 2, FALSE), 0)</f>
        <v>36</v>
      </c>
      <c r="G59" t="b">
        <f t="shared" si="1"/>
        <v>1</v>
      </c>
      <c r="H59" t="str">
        <f>IFERROR(VLOOKUP($B59, aegis!$G:$H, 2, FALSE), 0)</f>
        <v>21</v>
      </c>
      <c r="I59" t="str">
        <f>IFERROR(VLOOKUP($B59, duel!$G:$H, 2, FALSE), 0)</f>
        <v>21</v>
      </c>
      <c r="J59" t="str">
        <f>IFERROR(VLOOKUP($B59, blitz!$G:$H, 2, FALSE), 0)</f>
        <v>21</v>
      </c>
      <c r="K59" t="b">
        <f t="shared" si="2"/>
        <v>1</v>
      </c>
      <c r="L59" t="str">
        <f>IFERROR(VLOOKUP($B59, aegis!$L:$M, 2, FALSE), 0)</f>
        <v>36</v>
      </c>
      <c r="M59" t="str">
        <f>IFERROR(VLOOKUP($B59, duel!$L:$M, 2, FALSE), 0)</f>
        <v>36</v>
      </c>
      <c r="N59" t="str">
        <f>IFERROR(VLOOKUP($B59, blitz!$L:$M, 2, FALSE), 0)</f>
        <v>36</v>
      </c>
      <c r="O59" t="b">
        <f t="shared" si="3"/>
        <v>1</v>
      </c>
      <c r="P59" t="str">
        <f>IFERROR(VLOOKUP($B59, aegis!$Q:$R, 2, FALSE), 0)</f>
        <v>21</v>
      </c>
      <c r="Q59" t="str">
        <f>IFERROR(VLOOKUP($B59, duel!$Q:$R, 2, FALSE), 0)</f>
        <v>21</v>
      </c>
      <c r="R59" t="str">
        <f>IFERROR(VLOOKUP($B59, blitz!$Q:$R, 2, FALSE), 0)</f>
        <v>21</v>
      </c>
      <c r="S59" t="b">
        <f t="shared" si="4"/>
        <v>1</v>
      </c>
      <c r="T59" t="str">
        <f>IFERROR(VLOOKUP($B59, aegis!$V:$W, 2, FALSE), 0)</f>
        <v>65</v>
      </c>
      <c r="U59" t="str">
        <f>IFERROR(VLOOKUP($B59, duel!$V:$W, 2, FALSE), 0)</f>
        <v>65</v>
      </c>
      <c r="V59" t="str">
        <f>IFERROR(VLOOKUP($B59, blitz!$V:$W, 2, FALSE), 0)</f>
        <v>65</v>
      </c>
      <c r="W59" t="b">
        <f t="shared" si="5"/>
        <v>1</v>
      </c>
      <c r="X59" t="str">
        <f>IFERROR(VLOOKUP($B59, aegis!$AA:$AB, 2, FALSE), 0)</f>
        <v>2</v>
      </c>
      <c r="Y59" t="str">
        <f>IFERROR(VLOOKUP($B59, duel!$AA:$AB, 2, FALSE), 0)</f>
        <v>4</v>
      </c>
      <c r="Z59" t="str">
        <f>IFERROR(VLOOKUP($B59, blitz!$AA:$AB, 2, FALSE), 0)</f>
        <v>2</v>
      </c>
      <c r="AA59" t="b">
        <f t="shared" si="6"/>
        <v>0</v>
      </c>
      <c r="AB59" t="str">
        <f>IFERROR(VLOOKUP($B59, aegis!$AF:$AG, 2, FALSE), 0)</f>
        <v>33</v>
      </c>
      <c r="AC59" t="str">
        <f>IFERROR(VLOOKUP($B59, duel!$AF:$AG, 2, FALSE), 0)</f>
        <v>33</v>
      </c>
      <c r="AD59" t="str">
        <f>IFERROR(VLOOKUP($B59, blitz!$AF:$AG, 2, FALSE), 0)</f>
        <v>33</v>
      </c>
      <c r="AE59" t="b">
        <f t="shared" si="7"/>
        <v>1</v>
      </c>
      <c r="AF59" t="str">
        <f>IFERROR(VLOOKUP($B59, aegis!$AK:$AL, 2, FALSE), 0)</f>
        <v>3</v>
      </c>
      <c r="AG59" t="str">
        <f>IFERROR(VLOOKUP($B59, duel!$AK:$AL, 2, FALSE), 0)</f>
        <v>1</v>
      </c>
      <c r="AH59" t="str">
        <f>IFERROR(VLOOKUP($B59, blitz!$AK:$AL, 2, FALSE), 0)</f>
        <v>1</v>
      </c>
      <c r="AI59" t="b">
        <f t="shared" si="8"/>
        <v>0</v>
      </c>
      <c r="AJ59" t="str">
        <f>IFERROR(VLOOKUP($B59, aegis!$AP:$AQ, 2, FALSE), 0)</f>
        <v>1</v>
      </c>
      <c r="AK59" t="str">
        <f>IFERROR(VLOOKUP($B59, duel!$AP:$AQ, 2, FALSE), 0)</f>
        <v>1</v>
      </c>
      <c r="AL59" t="str">
        <f>IFERROR(VLOOKUP($B59, blitz!$AP:$AQ, 2, FALSE), 0)</f>
        <v>1</v>
      </c>
      <c r="AM59" t="b">
        <f t="shared" si="9"/>
        <v>1</v>
      </c>
      <c r="AN59">
        <f>IFERROR(VLOOKUP($B59, aegis!$AU:$AV, 2, FALSE), 0)</f>
        <v>0</v>
      </c>
      <c r="AO59">
        <f>IFERROR(VLOOKUP($B59, duel!$AU:$AV, 2, FALSE), 0)</f>
        <v>0</v>
      </c>
      <c r="AP59">
        <f>IFERROR(VLOOKUP($B59, blitz!$AU:$AV, 2, FALSE), 0)</f>
        <v>0</v>
      </c>
      <c r="AQ59" t="b">
        <f t="shared" si="10"/>
        <v>1</v>
      </c>
      <c r="AR59" t="str">
        <f>IFERROR(VLOOKUP($B59, aegis!$AZ:$BA, 2, FALSE), 0)</f>
        <v>2</v>
      </c>
      <c r="AS59" t="str">
        <f>IFERROR(VLOOKUP($B59, duel!$AZ:$BA, 2, FALSE), 0)</f>
        <v>2</v>
      </c>
      <c r="AT59" t="str">
        <f>IFERROR(VLOOKUP($B59, blitz!$AZ:$BA, 2, FALSE), 0)</f>
        <v>2</v>
      </c>
      <c r="AU59" t="b">
        <f t="shared" si="11"/>
        <v>1</v>
      </c>
      <c r="AV59" t="str">
        <f>IFERROR(VLOOKUP($B59, aegis!$BE:$BF, 2, FALSE), 0)</f>
        <v>1</v>
      </c>
      <c r="AW59" t="str">
        <f>IFERROR(VLOOKUP($B59, duel!$BE:$BF, 2, FALSE), 0)</f>
        <v>1</v>
      </c>
      <c r="AX59" t="str">
        <f>IFERROR(VLOOKUP($B59, blitz!$BE:$BF, 2, FALSE), 0)</f>
        <v>1</v>
      </c>
      <c r="AY59" t="b">
        <f t="shared" si="12"/>
        <v>1</v>
      </c>
      <c r="AZ59" t="str">
        <f>IFERROR(VLOOKUP($B59, aegis!$BJ:$BK, 2, FALSE), 0)</f>
        <v>1</v>
      </c>
      <c r="BA59" t="str">
        <f>IFERROR(VLOOKUP($B59, duel!$BJ:$BK, 2, FALSE), 0)</f>
        <v>1</v>
      </c>
      <c r="BB59" t="str">
        <f>IFERROR(VLOOKUP($B59, blitz!$BJ:$BK, 2, FALSE), 0)</f>
        <v>1</v>
      </c>
      <c r="BC59" t="b">
        <f t="shared" si="13"/>
        <v>1</v>
      </c>
      <c r="BD59">
        <f>IFERROR(VLOOKUP($B59, aegis!$BO:$BP, 2, FALSE), 0)</f>
        <v>0</v>
      </c>
      <c r="BE59">
        <f>IFERROR(VLOOKUP($B59, duel!$BO:$BP, 2, FALSE), 0)</f>
        <v>0</v>
      </c>
      <c r="BF59">
        <f>IFERROR(VLOOKUP($B59, blitz!$BO:$BP, 2, FALSE), 0)</f>
        <v>0</v>
      </c>
      <c r="BG59" t="b">
        <f t="shared" si="14"/>
        <v>1</v>
      </c>
      <c r="BH59" t="str">
        <f>IFERROR(VLOOKUP($B59, aegis!$BT:$BU, 2, FALSE), 0)</f>
        <v>24</v>
      </c>
      <c r="BI59" t="str">
        <f>IFERROR(VLOOKUP($B59, duel!$BT:$BU, 2, FALSE), 0)</f>
        <v>24</v>
      </c>
      <c r="BJ59" t="str">
        <f>IFERROR(VLOOKUP($B59, blitz!$BT:$BU, 2, FALSE), 0)</f>
        <v>24</v>
      </c>
      <c r="BK59" t="b">
        <f t="shared" si="15"/>
        <v>1</v>
      </c>
      <c r="BL59" t="str">
        <f>IFERROR(VLOOKUP($B59, aegis!$BY:$BZ, 2, FALSE), 0)</f>
        <v>1</v>
      </c>
      <c r="BM59" t="str">
        <f>IFERROR(VLOOKUP($B59, duel!$BY:$BZ, 2, FALSE), 0)</f>
        <v>1</v>
      </c>
      <c r="BN59" t="str">
        <f>IFERROR(VLOOKUP($B59, blitz!$BY:$BZ, 2, FALSE), 0)</f>
        <v>1</v>
      </c>
      <c r="BO59" t="b">
        <f t="shared" si="16"/>
        <v>1</v>
      </c>
      <c r="BP59" t="str">
        <f>IFERROR(VLOOKUP($B59, aegis!$CD:$CE, 2, FALSE), 0)</f>
        <v>6</v>
      </c>
      <c r="BQ59" t="str">
        <f>IFERROR(VLOOKUP($B59, duel!$CD:$CE, 2, FALSE), 0)</f>
        <v>6</v>
      </c>
      <c r="BR59" t="str">
        <f>IFERROR(VLOOKUP($B59, blitz!$CD:$CE, 2, FALSE), 0)</f>
        <v>6</v>
      </c>
      <c r="BS59" t="b">
        <f t="shared" si="17"/>
        <v>1</v>
      </c>
      <c r="BT59" t="str">
        <f>IFERROR(VLOOKUP($B59, aegis!$CI:$CJ, 2, FALSE), 0)</f>
        <v>4</v>
      </c>
      <c r="BU59" t="str">
        <f>IFERROR(VLOOKUP($B59, duel!$CI:$CJ, 2, FALSE), 0)</f>
        <v>4</v>
      </c>
      <c r="BV59" t="str">
        <f>IFERROR(VLOOKUP($B59, blitz!$CI:$CJ, 2, FALSE), 0)</f>
        <v>4</v>
      </c>
      <c r="BW59" t="b">
        <f t="shared" si="18"/>
        <v>1</v>
      </c>
      <c r="BX59" t="str">
        <f>IFERROR(VLOOKUP($B59, aegis!$CN:$CO, 2, FALSE), 0)</f>
        <v>4</v>
      </c>
      <c r="BY59" t="str">
        <f>IFERROR(VLOOKUP($B59, duel!$CN:$CO, 2, FALSE), 0)</f>
        <v>4</v>
      </c>
      <c r="BZ59" t="str">
        <f>IFERROR(VLOOKUP($B59, blitz!$CN:$CO, 2, FALSE), 0)</f>
        <v>4</v>
      </c>
      <c r="CA59" t="b">
        <f t="shared" si="19"/>
        <v>1</v>
      </c>
      <c r="CB59" t="str">
        <f>IFERROR(VLOOKUP($B59, aegis!$CS:$CT, 2, FALSE), 0)</f>
        <v>18</v>
      </c>
      <c r="CC59" t="str">
        <f>IFERROR(VLOOKUP($B59, duel!$CS:$CT, 2, FALSE), 0)</f>
        <v>18</v>
      </c>
      <c r="CD59" t="str">
        <f>IFERROR(VLOOKUP($B59, blitz!$CS:$CT, 2, FALSE), 0)</f>
        <v>18</v>
      </c>
      <c r="CE59" t="b">
        <f t="shared" si="20"/>
        <v>1</v>
      </c>
      <c r="CF59" t="str">
        <f>IFERROR(VLOOKUP($B59, aegis!$CX:$CY, 2, FALSE), 0)</f>
        <v>12182</v>
      </c>
      <c r="CG59" t="str">
        <f>IFERROR(VLOOKUP($B59, duel!$CX:$CY, 2, FALSE), 0)</f>
        <v>12180</v>
      </c>
      <c r="CH59" t="str">
        <f>IFERROR(VLOOKUP($B59, blitz!$CX:$CY, 2, FALSE), 0)</f>
        <v>3262</v>
      </c>
      <c r="CI59" t="b">
        <f t="shared" si="21"/>
        <v>0</v>
      </c>
      <c r="CJ59" t="str">
        <f>IFERROR(VLOOKUP($B59, aegis!$DC:$DD, 2, FALSE), 0)</f>
        <v>1</v>
      </c>
      <c r="CK59" t="str">
        <f>IFERROR(VLOOKUP($B59, duel!$DC:$DD, 2, FALSE), 0)</f>
        <v>1</v>
      </c>
      <c r="CL59" t="str">
        <f>IFERROR(VLOOKUP($B59, blitz!$DC:$DD, 2, FALSE), 0)</f>
        <v>1</v>
      </c>
      <c r="CM59" t="b">
        <f t="shared" si="22"/>
        <v>1</v>
      </c>
      <c r="CN59" t="str">
        <f>IFERROR(VLOOKUP($B59, aegis!$DH:$DI, 2, FALSE), 0)</f>
        <v>2</v>
      </c>
      <c r="CO59" t="str">
        <f>IFERROR(VLOOKUP($B59, duel!$DH:$DI, 2, FALSE), 0)</f>
        <v>2</v>
      </c>
      <c r="CP59" s="13">
        <f>IFERROR(VLOOKUP($B59, blitz!$DH:$DI, 2, FALSE), 0)</f>
        <v>0</v>
      </c>
      <c r="CQ59" t="b">
        <f t="shared" si="23"/>
        <v>1</v>
      </c>
      <c r="CR59" t="str">
        <f>IFERROR(VLOOKUP($B59, aegis!$DM:$DN, 2, FALSE), 0)</f>
        <v>1</v>
      </c>
      <c r="CS59" t="str">
        <f>IFERROR(VLOOKUP($B59, duel!$DM:$DN, 2, FALSE), 0)</f>
        <v>1</v>
      </c>
      <c r="CT59" t="str">
        <f>IFERROR(VLOOKUP($B59, blitz!$DM:$DN, 2, FALSE), 0)</f>
        <v>1</v>
      </c>
      <c r="CU59" t="b">
        <f t="shared" si="24"/>
        <v>1</v>
      </c>
      <c r="CV59" t="str">
        <f>IFERROR(VLOOKUP($B59, aegis!$DR:$DS, 2, FALSE), 0)</f>
        <v>33</v>
      </c>
      <c r="CW59" t="str">
        <f>IFERROR(VLOOKUP($B59, duel!$DR:$DS, 2, FALSE), 0)</f>
        <v>33</v>
      </c>
      <c r="CX59" t="str">
        <f>IFERROR(VLOOKUP($B59, blitz!$DR:$DS, 2, FALSE), 0)</f>
        <v>33</v>
      </c>
      <c r="CY59" t="b">
        <f t="shared" si="25"/>
        <v>1</v>
      </c>
    </row>
    <row r="60" spans="1:103">
      <c r="A60" t="s">
        <v>1733</v>
      </c>
      <c r="B60" s="6" t="s">
        <v>111</v>
      </c>
      <c r="C60" s="5" t="b">
        <f t="shared" si="0"/>
        <v>0</v>
      </c>
      <c r="D60" t="str">
        <f>IFERROR(VLOOKUP($B60, aegis!$B:$C, 2, FALSE), 0)</f>
        <v>24</v>
      </c>
      <c r="E60" t="str">
        <f>IFERROR(VLOOKUP($B60, duel!$B:$C, 2, FALSE), 0)</f>
        <v>24</v>
      </c>
      <c r="F60" t="str">
        <f>IFERROR(VLOOKUP($B60, blitz!$B:$C, 2, FALSE), 0)</f>
        <v>24</v>
      </c>
      <c r="G60" t="b">
        <f t="shared" si="1"/>
        <v>1</v>
      </c>
      <c r="H60" t="str">
        <f>IFERROR(VLOOKUP($B60, aegis!$G:$H, 2, FALSE), 0)</f>
        <v>14</v>
      </c>
      <c r="I60" t="str">
        <f>IFERROR(VLOOKUP($B60, duel!$G:$H, 2, FALSE), 0)</f>
        <v>14</v>
      </c>
      <c r="J60" t="str">
        <f>IFERROR(VLOOKUP($B60, blitz!$G:$H, 2, FALSE), 0)</f>
        <v>14</v>
      </c>
      <c r="K60" t="b">
        <f t="shared" si="2"/>
        <v>1</v>
      </c>
      <c r="L60" t="str">
        <f>IFERROR(VLOOKUP($B60, aegis!$L:$M, 2, FALSE), 0)</f>
        <v>24</v>
      </c>
      <c r="M60" t="str">
        <f>IFERROR(VLOOKUP($B60, duel!$L:$M, 2, FALSE), 0)</f>
        <v>24</v>
      </c>
      <c r="N60" t="str">
        <f>IFERROR(VLOOKUP($B60, blitz!$L:$M, 2, FALSE), 0)</f>
        <v>24</v>
      </c>
      <c r="O60" t="b">
        <f t="shared" si="3"/>
        <v>1</v>
      </c>
      <c r="P60" t="str">
        <f>IFERROR(VLOOKUP($B60, aegis!$Q:$R, 2, FALSE), 0)</f>
        <v>14</v>
      </c>
      <c r="Q60" t="str">
        <f>IFERROR(VLOOKUP($B60, duel!$Q:$R, 2, FALSE), 0)</f>
        <v>14</v>
      </c>
      <c r="R60" t="str">
        <f>IFERROR(VLOOKUP($B60, blitz!$Q:$R, 2, FALSE), 0)</f>
        <v>14</v>
      </c>
      <c r="S60" t="b">
        <f t="shared" si="4"/>
        <v>1</v>
      </c>
      <c r="T60" t="str">
        <f>IFERROR(VLOOKUP($B60, aegis!$V:$W, 2, FALSE), 0)</f>
        <v>19</v>
      </c>
      <c r="U60" t="str">
        <f>IFERROR(VLOOKUP($B60, duel!$V:$W, 2, FALSE), 0)</f>
        <v>19</v>
      </c>
      <c r="V60" t="str">
        <f>IFERROR(VLOOKUP($B60, blitz!$V:$W, 2, FALSE), 0)</f>
        <v>19</v>
      </c>
      <c r="W60" t="b">
        <f t="shared" si="5"/>
        <v>1</v>
      </c>
      <c r="X60" t="str">
        <f>IFERROR(VLOOKUP($B60, aegis!$AA:$AB, 2, FALSE), 0)</f>
        <v>2</v>
      </c>
      <c r="Y60" t="str">
        <f>IFERROR(VLOOKUP($B60, duel!$AA:$AB, 2, FALSE), 0)</f>
        <v>4</v>
      </c>
      <c r="Z60" t="str">
        <f>IFERROR(VLOOKUP($B60, blitz!$AA:$AB, 2, FALSE), 0)</f>
        <v>2</v>
      </c>
      <c r="AA60" t="b">
        <f t="shared" si="6"/>
        <v>0</v>
      </c>
      <c r="AB60" t="str">
        <f>IFERROR(VLOOKUP($B60, aegis!$AF:$AG, 2, FALSE), 0)</f>
        <v>20</v>
      </c>
      <c r="AC60" t="str">
        <f>IFERROR(VLOOKUP($B60, duel!$AF:$AG, 2, FALSE), 0)</f>
        <v>20</v>
      </c>
      <c r="AD60" t="str">
        <f>IFERROR(VLOOKUP($B60, blitz!$AF:$AG, 2, FALSE), 0)</f>
        <v>20</v>
      </c>
      <c r="AE60" t="b">
        <f t="shared" si="7"/>
        <v>1</v>
      </c>
      <c r="AF60" t="str">
        <f>IFERROR(VLOOKUP($B60, aegis!$AK:$AL, 2, FALSE), 0)</f>
        <v>3</v>
      </c>
      <c r="AG60" t="str">
        <f>IFERROR(VLOOKUP($B60, duel!$AK:$AL, 2, FALSE), 0)</f>
        <v>1</v>
      </c>
      <c r="AH60" t="str">
        <f>IFERROR(VLOOKUP($B60, blitz!$AK:$AL, 2, FALSE), 0)</f>
        <v>1</v>
      </c>
      <c r="AI60" t="b">
        <f t="shared" si="8"/>
        <v>0</v>
      </c>
      <c r="AJ60" t="str">
        <f>IFERROR(VLOOKUP($B60, aegis!$AP:$AQ, 2, FALSE), 0)</f>
        <v>1</v>
      </c>
      <c r="AK60" t="str">
        <f>IFERROR(VLOOKUP($B60, duel!$AP:$AQ, 2, FALSE), 0)</f>
        <v>1</v>
      </c>
      <c r="AL60" t="str">
        <f>IFERROR(VLOOKUP($B60, blitz!$AP:$AQ, 2, FALSE), 0)</f>
        <v>1</v>
      </c>
      <c r="AM60" t="b">
        <f t="shared" si="9"/>
        <v>1</v>
      </c>
      <c r="AN60">
        <f>IFERROR(VLOOKUP($B60, aegis!$AU:$AV, 2, FALSE), 0)</f>
        <v>0</v>
      </c>
      <c r="AO60">
        <f>IFERROR(VLOOKUP($B60, duel!$AU:$AV, 2, FALSE), 0)</f>
        <v>0</v>
      </c>
      <c r="AP60">
        <f>IFERROR(VLOOKUP($B60, blitz!$AU:$AV, 2, FALSE), 0)</f>
        <v>0</v>
      </c>
      <c r="AQ60" t="b">
        <f t="shared" si="10"/>
        <v>1</v>
      </c>
      <c r="AR60" t="str">
        <f>IFERROR(VLOOKUP($B60, aegis!$AZ:$BA, 2, FALSE), 0)</f>
        <v>2</v>
      </c>
      <c r="AS60" t="str">
        <f>IFERROR(VLOOKUP($B60, duel!$AZ:$BA, 2, FALSE), 0)</f>
        <v>2</v>
      </c>
      <c r="AT60" t="str">
        <f>IFERROR(VLOOKUP($B60, blitz!$AZ:$BA, 2, FALSE), 0)</f>
        <v>2</v>
      </c>
      <c r="AU60" t="b">
        <f t="shared" si="11"/>
        <v>1</v>
      </c>
      <c r="AV60" t="str">
        <f>IFERROR(VLOOKUP($B60, aegis!$BE:$BF, 2, FALSE), 0)</f>
        <v>1</v>
      </c>
      <c r="AW60" t="str">
        <f>IFERROR(VLOOKUP($B60, duel!$BE:$BF, 2, FALSE), 0)</f>
        <v>1</v>
      </c>
      <c r="AX60" t="str">
        <f>IFERROR(VLOOKUP($B60, blitz!$BE:$BF, 2, FALSE), 0)</f>
        <v>1</v>
      </c>
      <c r="AY60" t="b">
        <f t="shared" si="12"/>
        <v>1</v>
      </c>
      <c r="AZ60" t="str">
        <f>IFERROR(VLOOKUP($B60, aegis!$BJ:$BK, 2, FALSE), 0)</f>
        <v>1</v>
      </c>
      <c r="BA60" t="str">
        <f>IFERROR(VLOOKUP($B60, duel!$BJ:$BK, 2, FALSE), 0)</f>
        <v>1</v>
      </c>
      <c r="BB60" t="str">
        <f>IFERROR(VLOOKUP($B60, blitz!$BJ:$BK, 2, FALSE), 0)</f>
        <v>1</v>
      </c>
      <c r="BC60" t="b">
        <f t="shared" si="13"/>
        <v>1</v>
      </c>
      <c r="BD60">
        <f>IFERROR(VLOOKUP($B60, aegis!$BO:$BP, 2, FALSE), 0)</f>
        <v>0</v>
      </c>
      <c r="BE60">
        <f>IFERROR(VLOOKUP($B60, duel!$BO:$BP, 2, FALSE), 0)</f>
        <v>0</v>
      </c>
      <c r="BF60">
        <f>IFERROR(VLOOKUP($B60, blitz!$BO:$BP, 2, FALSE), 0)</f>
        <v>0</v>
      </c>
      <c r="BG60" t="b">
        <f t="shared" si="14"/>
        <v>1</v>
      </c>
      <c r="BH60" t="str">
        <f>IFERROR(VLOOKUP($B60, aegis!$BT:$BU, 2, FALSE), 0)</f>
        <v>8</v>
      </c>
      <c r="BI60" t="str">
        <f>IFERROR(VLOOKUP($B60, duel!$BT:$BU, 2, FALSE), 0)</f>
        <v>8</v>
      </c>
      <c r="BJ60" t="str">
        <f>IFERROR(VLOOKUP($B60, blitz!$BT:$BU, 2, FALSE), 0)</f>
        <v>8</v>
      </c>
      <c r="BK60" t="b">
        <f t="shared" si="15"/>
        <v>1</v>
      </c>
      <c r="BL60" t="str">
        <f>IFERROR(VLOOKUP($B60, aegis!$BY:$BZ, 2, FALSE), 0)</f>
        <v>1</v>
      </c>
      <c r="BM60" t="str">
        <f>IFERROR(VLOOKUP($B60, duel!$BY:$BZ, 2, FALSE), 0)</f>
        <v>1</v>
      </c>
      <c r="BN60" t="str">
        <f>IFERROR(VLOOKUP($B60, blitz!$BY:$BZ, 2, FALSE), 0)</f>
        <v>1</v>
      </c>
      <c r="BO60" t="b">
        <f t="shared" si="16"/>
        <v>1</v>
      </c>
      <c r="BP60" t="str">
        <f>IFERROR(VLOOKUP($B60, aegis!$CD:$CE, 2, FALSE), 0)</f>
        <v>9</v>
      </c>
      <c r="BQ60" t="str">
        <f>IFERROR(VLOOKUP($B60, duel!$CD:$CE, 2, FALSE), 0)</f>
        <v>9</v>
      </c>
      <c r="BR60" t="str">
        <f>IFERROR(VLOOKUP($B60, blitz!$CD:$CE, 2, FALSE), 0)</f>
        <v>9</v>
      </c>
      <c r="BS60" t="b">
        <f t="shared" si="17"/>
        <v>1</v>
      </c>
      <c r="BT60" t="str">
        <f>IFERROR(VLOOKUP($B60, aegis!$CI:$CJ, 2, FALSE), 0)</f>
        <v>203</v>
      </c>
      <c r="BU60" t="str">
        <f>IFERROR(VLOOKUP($B60, duel!$CI:$CJ, 2, FALSE), 0)</f>
        <v>203</v>
      </c>
      <c r="BV60" t="str">
        <f>IFERROR(VLOOKUP($B60, blitz!$CI:$CJ, 2, FALSE), 0)</f>
        <v>203</v>
      </c>
      <c r="BW60" t="b">
        <f t="shared" si="18"/>
        <v>1</v>
      </c>
      <c r="BX60" t="str">
        <f>IFERROR(VLOOKUP($B60, aegis!$CN:$CO, 2, FALSE), 0)</f>
        <v>203</v>
      </c>
      <c r="BY60" t="str">
        <f>IFERROR(VLOOKUP($B60, duel!$CN:$CO, 2, FALSE), 0)</f>
        <v>203</v>
      </c>
      <c r="BZ60" t="str">
        <f>IFERROR(VLOOKUP($B60, blitz!$CN:$CO, 2, FALSE), 0)</f>
        <v>203</v>
      </c>
      <c r="CA60" t="b">
        <f t="shared" si="19"/>
        <v>1</v>
      </c>
      <c r="CB60" t="str">
        <f>IFERROR(VLOOKUP($B60, aegis!$CS:$CT, 2, FALSE), 0)</f>
        <v>1099</v>
      </c>
      <c r="CC60" t="str">
        <f>IFERROR(VLOOKUP($B60, duel!$CS:$CT, 2, FALSE), 0)</f>
        <v>1099</v>
      </c>
      <c r="CD60" t="str">
        <f>IFERROR(VLOOKUP($B60, blitz!$CS:$CT, 2, FALSE), 0)</f>
        <v>1099</v>
      </c>
      <c r="CE60" t="b">
        <f t="shared" si="20"/>
        <v>1</v>
      </c>
      <c r="CF60" t="str">
        <f>IFERROR(VLOOKUP($B60, aegis!$CX:$CY, 2, FALSE), 0)</f>
        <v>3943</v>
      </c>
      <c r="CG60" t="str">
        <f>IFERROR(VLOOKUP($B60, duel!$CX:$CY, 2, FALSE), 0)</f>
        <v>3937</v>
      </c>
      <c r="CH60" t="str">
        <f>IFERROR(VLOOKUP($B60, blitz!$CX:$CY, 2, FALSE), 0)</f>
        <v>1123</v>
      </c>
      <c r="CI60" t="b">
        <f t="shared" si="21"/>
        <v>0</v>
      </c>
      <c r="CJ60" t="str">
        <f>IFERROR(VLOOKUP($B60, aegis!$DC:$DD, 2, FALSE), 0)</f>
        <v>1</v>
      </c>
      <c r="CK60" t="str">
        <f>IFERROR(VLOOKUP($B60, duel!$DC:$DD, 2, FALSE), 0)</f>
        <v>1</v>
      </c>
      <c r="CL60" t="str">
        <f>IFERROR(VLOOKUP($B60, blitz!$DC:$DD, 2, FALSE), 0)</f>
        <v>1</v>
      </c>
      <c r="CM60" t="b">
        <f t="shared" si="22"/>
        <v>1</v>
      </c>
      <c r="CN60" t="str">
        <f>IFERROR(VLOOKUP($B60, aegis!$DH:$DI, 2, FALSE), 0)</f>
        <v>1</v>
      </c>
      <c r="CO60" t="str">
        <f>IFERROR(VLOOKUP($B60, duel!$DH:$DI, 2, FALSE), 0)</f>
        <v>1</v>
      </c>
      <c r="CP60" s="13">
        <f>IFERROR(VLOOKUP($B60, blitz!$DH:$DI, 2, FALSE), 0)</f>
        <v>0</v>
      </c>
      <c r="CQ60" t="b">
        <f t="shared" si="23"/>
        <v>1</v>
      </c>
      <c r="CR60" t="str">
        <f>IFERROR(VLOOKUP($B60, aegis!$DM:$DN, 2, FALSE), 0)</f>
        <v>1</v>
      </c>
      <c r="CS60" t="str">
        <f>IFERROR(VLOOKUP($B60, duel!$DM:$DN, 2, FALSE), 0)</f>
        <v>1</v>
      </c>
      <c r="CT60" t="str">
        <f>IFERROR(VLOOKUP($B60, blitz!$DM:$DN, 2, FALSE), 0)</f>
        <v>1</v>
      </c>
      <c r="CU60" t="b">
        <f t="shared" si="24"/>
        <v>1</v>
      </c>
      <c r="CV60" t="str">
        <f>IFERROR(VLOOKUP($B60, aegis!$DR:$DS, 2, FALSE), 0)</f>
        <v>20</v>
      </c>
      <c r="CW60" t="str">
        <f>IFERROR(VLOOKUP($B60, duel!$DR:$DS, 2, FALSE), 0)</f>
        <v>20</v>
      </c>
      <c r="CX60" t="str">
        <f>IFERROR(VLOOKUP($B60, blitz!$DR:$DS, 2, FALSE), 0)</f>
        <v>20</v>
      </c>
      <c r="CY60" t="b">
        <f t="shared" si="25"/>
        <v>1</v>
      </c>
    </row>
    <row r="61" spans="1:103">
      <c r="A61" t="s">
        <v>1733</v>
      </c>
      <c r="B61" s="6" t="s">
        <v>112</v>
      </c>
      <c r="C61" s="5" t="b">
        <f t="shared" si="0"/>
        <v>0</v>
      </c>
      <c r="D61" t="str">
        <f>IFERROR(VLOOKUP($B61, aegis!$B:$C, 2, FALSE), 0)</f>
        <v>60</v>
      </c>
      <c r="E61" t="str">
        <f>IFERROR(VLOOKUP($B61, duel!$B:$C, 2, FALSE), 0)</f>
        <v>60</v>
      </c>
      <c r="F61" t="str">
        <f>IFERROR(VLOOKUP($B61, blitz!$B:$C, 2, FALSE), 0)</f>
        <v>60</v>
      </c>
      <c r="G61" t="b">
        <f t="shared" si="1"/>
        <v>1</v>
      </c>
      <c r="H61" t="str">
        <f>IFERROR(VLOOKUP($B61, aegis!$G:$H, 2, FALSE), 0)</f>
        <v>35</v>
      </c>
      <c r="I61" t="str">
        <f>IFERROR(VLOOKUP($B61, duel!$G:$H, 2, FALSE), 0)</f>
        <v>35</v>
      </c>
      <c r="J61" t="str">
        <f>IFERROR(VLOOKUP($B61, blitz!$G:$H, 2, FALSE), 0)</f>
        <v>35</v>
      </c>
      <c r="K61" t="b">
        <f t="shared" si="2"/>
        <v>1</v>
      </c>
      <c r="L61" t="str">
        <f>IFERROR(VLOOKUP($B61, aegis!$L:$M, 2, FALSE), 0)</f>
        <v>60</v>
      </c>
      <c r="M61" t="str">
        <f>IFERROR(VLOOKUP($B61, duel!$L:$M, 2, FALSE), 0)</f>
        <v>60</v>
      </c>
      <c r="N61" t="str">
        <f>IFERROR(VLOOKUP($B61, blitz!$L:$M, 2, FALSE), 0)</f>
        <v>60</v>
      </c>
      <c r="O61" t="b">
        <f t="shared" si="3"/>
        <v>1</v>
      </c>
      <c r="P61" t="str">
        <f>IFERROR(VLOOKUP($B61, aegis!$Q:$R, 2, FALSE), 0)</f>
        <v>35</v>
      </c>
      <c r="Q61" t="str">
        <f>IFERROR(VLOOKUP($B61, duel!$Q:$R, 2, FALSE), 0)</f>
        <v>35</v>
      </c>
      <c r="R61" t="str">
        <f>IFERROR(VLOOKUP($B61, blitz!$Q:$R, 2, FALSE), 0)</f>
        <v>35</v>
      </c>
      <c r="S61" t="b">
        <f t="shared" si="4"/>
        <v>1</v>
      </c>
      <c r="T61" t="str">
        <f>IFERROR(VLOOKUP($B61, aegis!$V:$W, 2, FALSE), 0)</f>
        <v>94</v>
      </c>
      <c r="U61" t="str">
        <f>IFERROR(VLOOKUP($B61, duel!$V:$W, 2, FALSE), 0)</f>
        <v>94</v>
      </c>
      <c r="V61" t="str">
        <f>IFERROR(VLOOKUP($B61, blitz!$V:$W, 2, FALSE), 0)</f>
        <v>94</v>
      </c>
      <c r="W61" t="b">
        <f t="shared" si="5"/>
        <v>1</v>
      </c>
      <c r="X61" t="str">
        <f>IFERROR(VLOOKUP($B61, aegis!$AA:$AB, 2, FALSE), 0)</f>
        <v>2</v>
      </c>
      <c r="Y61" t="str">
        <f>IFERROR(VLOOKUP($B61, duel!$AA:$AB, 2, FALSE), 0)</f>
        <v>4</v>
      </c>
      <c r="Z61" t="str">
        <f>IFERROR(VLOOKUP($B61, blitz!$AA:$AB, 2, FALSE), 0)</f>
        <v>2</v>
      </c>
      <c r="AA61" t="b">
        <f t="shared" si="6"/>
        <v>0</v>
      </c>
      <c r="AB61" t="str">
        <f>IFERROR(VLOOKUP($B61, aegis!$AF:$AG, 2, FALSE), 0)</f>
        <v>45</v>
      </c>
      <c r="AC61" t="str">
        <f>IFERROR(VLOOKUP($B61, duel!$AF:$AG, 2, FALSE), 0)</f>
        <v>45</v>
      </c>
      <c r="AD61" t="str">
        <f>IFERROR(VLOOKUP($B61, blitz!$AF:$AG, 2, FALSE), 0)</f>
        <v>45</v>
      </c>
      <c r="AE61" t="b">
        <f t="shared" si="7"/>
        <v>1</v>
      </c>
      <c r="AF61" t="str">
        <f>IFERROR(VLOOKUP($B61, aegis!$AK:$AL, 2, FALSE), 0)</f>
        <v>3</v>
      </c>
      <c r="AG61" t="str">
        <f>IFERROR(VLOOKUP($B61, duel!$AK:$AL, 2, FALSE), 0)</f>
        <v>1</v>
      </c>
      <c r="AH61" t="str">
        <f>IFERROR(VLOOKUP($B61, blitz!$AK:$AL, 2, FALSE), 0)</f>
        <v>1</v>
      </c>
      <c r="AI61" t="b">
        <f t="shared" si="8"/>
        <v>0</v>
      </c>
      <c r="AJ61" t="str">
        <f>IFERROR(VLOOKUP($B61, aegis!$AP:$AQ, 2, FALSE), 0)</f>
        <v>1</v>
      </c>
      <c r="AK61" t="str">
        <f>IFERROR(VLOOKUP($B61, duel!$AP:$AQ, 2, FALSE), 0)</f>
        <v>1</v>
      </c>
      <c r="AL61" t="str">
        <f>IFERROR(VLOOKUP($B61, blitz!$AP:$AQ, 2, FALSE), 0)</f>
        <v>1</v>
      </c>
      <c r="AM61" t="b">
        <f t="shared" si="9"/>
        <v>1</v>
      </c>
      <c r="AN61">
        <f>IFERROR(VLOOKUP($B61, aegis!$AU:$AV, 2, FALSE), 0)</f>
        <v>0</v>
      </c>
      <c r="AO61">
        <f>IFERROR(VLOOKUP($B61, duel!$AU:$AV, 2, FALSE), 0)</f>
        <v>0</v>
      </c>
      <c r="AP61">
        <f>IFERROR(VLOOKUP($B61, blitz!$AU:$AV, 2, FALSE), 0)</f>
        <v>0</v>
      </c>
      <c r="AQ61" t="b">
        <f t="shared" si="10"/>
        <v>1</v>
      </c>
      <c r="AR61" t="str">
        <f>IFERROR(VLOOKUP($B61, aegis!$AZ:$BA, 2, FALSE), 0)</f>
        <v>2</v>
      </c>
      <c r="AS61" t="str">
        <f>IFERROR(VLOOKUP($B61, duel!$AZ:$BA, 2, FALSE), 0)</f>
        <v>2</v>
      </c>
      <c r="AT61" t="str">
        <f>IFERROR(VLOOKUP($B61, blitz!$AZ:$BA, 2, FALSE), 0)</f>
        <v>2</v>
      </c>
      <c r="AU61" t="b">
        <f t="shared" si="11"/>
        <v>1</v>
      </c>
      <c r="AV61" t="str">
        <f>IFERROR(VLOOKUP($B61, aegis!$BE:$BF, 2, FALSE), 0)</f>
        <v>1</v>
      </c>
      <c r="AW61" t="str">
        <f>IFERROR(VLOOKUP($B61, duel!$BE:$BF, 2, FALSE), 0)</f>
        <v>1</v>
      </c>
      <c r="AX61" t="str">
        <f>IFERROR(VLOOKUP($B61, blitz!$BE:$BF, 2, FALSE), 0)</f>
        <v>1</v>
      </c>
      <c r="AY61" t="b">
        <f t="shared" si="12"/>
        <v>1</v>
      </c>
      <c r="AZ61" t="str">
        <f>IFERROR(VLOOKUP($B61, aegis!$BJ:$BK, 2, FALSE), 0)</f>
        <v>1</v>
      </c>
      <c r="BA61" t="str">
        <f>IFERROR(VLOOKUP($B61, duel!$BJ:$BK, 2, FALSE), 0)</f>
        <v>1</v>
      </c>
      <c r="BB61" t="str">
        <f>IFERROR(VLOOKUP($B61, blitz!$BJ:$BK, 2, FALSE), 0)</f>
        <v>1</v>
      </c>
      <c r="BC61" t="b">
        <f t="shared" si="13"/>
        <v>1</v>
      </c>
      <c r="BD61">
        <f>IFERROR(VLOOKUP($B61, aegis!$BO:$BP, 2, FALSE), 0)</f>
        <v>0</v>
      </c>
      <c r="BE61">
        <f>IFERROR(VLOOKUP($B61, duel!$BO:$BP, 2, FALSE), 0)</f>
        <v>0</v>
      </c>
      <c r="BF61">
        <f>IFERROR(VLOOKUP($B61, blitz!$BO:$BP, 2, FALSE), 0)</f>
        <v>0</v>
      </c>
      <c r="BG61" t="b">
        <f t="shared" si="14"/>
        <v>1</v>
      </c>
      <c r="BH61" t="str">
        <f>IFERROR(VLOOKUP($B61, aegis!$BT:$BU, 2, FALSE), 0)</f>
        <v>14</v>
      </c>
      <c r="BI61" t="str">
        <f>IFERROR(VLOOKUP($B61, duel!$BT:$BU, 2, FALSE), 0)</f>
        <v>14</v>
      </c>
      <c r="BJ61" t="str">
        <f>IFERROR(VLOOKUP($B61, blitz!$BT:$BU, 2, FALSE), 0)</f>
        <v>14</v>
      </c>
      <c r="BK61" t="b">
        <f t="shared" si="15"/>
        <v>1</v>
      </c>
      <c r="BL61" t="str">
        <f>IFERROR(VLOOKUP($B61, aegis!$BY:$BZ, 2, FALSE), 0)</f>
        <v>1</v>
      </c>
      <c r="BM61" t="str">
        <f>IFERROR(VLOOKUP($B61, duel!$BY:$BZ, 2, FALSE), 0)</f>
        <v>1</v>
      </c>
      <c r="BN61" t="str">
        <f>IFERROR(VLOOKUP($B61, blitz!$BY:$BZ, 2, FALSE), 0)</f>
        <v>1</v>
      </c>
      <c r="BO61" t="b">
        <f t="shared" si="16"/>
        <v>1</v>
      </c>
      <c r="BP61" t="str">
        <f>IFERROR(VLOOKUP($B61, aegis!$CD:$CE, 2, FALSE), 0)</f>
        <v>4</v>
      </c>
      <c r="BQ61" t="str">
        <f>IFERROR(VLOOKUP($B61, duel!$CD:$CE, 2, FALSE), 0)</f>
        <v>4</v>
      </c>
      <c r="BR61" t="str">
        <f>IFERROR(VLOOKUP($B61, blitz!$CD:$CE, 2, FALSE), 0)</f>
        <v>4</v>
      </c>
      <c r="BS61" t="b">
        <f t="shared" si="17"/>
        <v>1</v>
      </c>
      <c r="BT61">
        <f>IFERROR(VLOOKUP($B61, aegis!$CI:$CJ, 2, FALSE), 0)</f>
        <v>0</v>
      </c>
      <c r="BU61">
        <f>IFERROR(VLOOKUP($B61, duel!$CI:$CJ, 2, FALSE), 0)</f>
        <v>0</v>
      </c>
      <c r="BV61">
        <f>IFERROR(VLOOKUP($B61, blitz!$CI:$CJ, 2, FALSE), 0)</f>
        <v>0</v>
      </c>
      <c r="BW61" t="b">
        <f t="shared" si="18"/>
        <v>1</v>
      </c>
      <c r="BX61">
        <f>IFERROR(VLOOKUP($B61, aegis!$CN:$CO, 2, FALSE), 0)</f>
        <v>0</v>
      </c>
      <c r="BY61">
        <f>IFERROR(VLOOKUP($B61, duel!$CN:$CO, 2, FALSE), 0)</f>
        <v>0</v>
      </c>
      <c r="BZ61">
        <f>IFERROR(VLOOKUP($B61, blitz!$CN:$CO, 2, FALSE), 0)</f>
        <v>0</v>
      </c>
      <c r="CA61" t="b">
        <f t="shared" si="19"/>
        <v>1</v>
      </c>
      <c r="CB61">
        <f>IFERROR(VLOOKUP($B61, aegis!$CS:$CT, 2, FALSE), 0)</f>
        <v>0</v>
      </c>
      <c r="CC61">
        <f>IFERROR(VLOOKUP($B61, duel!$CS:$CT, 2, FALSE), 0)</f>
        <v>0</v>
      </c>
      <c r="CD61">
        <f>IFERROR(VLOOKUP($B61, blitz!$CS:$CT, 2, FALSE), 0)</f>
        <v>0</v>
      </c>
      <c r="CE61" t="b">
        <f t="shared" si="20"/>
        <v>1</v>
      </c>
      <c r="CF61" t="str">
        <f>IFERROR(VLOOKUP($B61, aegis!$CX:$CY, 2, FALSE), 0)</f>
        <v>4829</v>
      </c>
      <c r="CG61" t="str">
        <f>IFERROR(VLOOKUP($B61, duel!$CX:$CY, 2, FALSE), 0)</f>
        <v>4829</v>
      </c>
      <c r="CH61" t="str">
        <f>IFERROR(VLOOKUP($B61, blitz!$CX:$CY, 2, FALSE), 0)</f>
        <v>1482</v>
      </c>
      <c r="CI61" t="b">
        <f t="shared" si="21"/>
        <v>0</v>
      </c>
      <c r="CJ61" t="str">
        <f>IFERROR(VLOOKUP($B61, aegis!$DC:$DD, 2, FALSE), 0)</f>
        <v>2</v>
      </c>
      <c r="CK61" t="str">
        <f>IFERROR(VLOOKUP($B61, duel!$DC:$DD, 2, FALSE), 0)</f>
        <v>2</v>
      </c>
      <c r="CL61" t="str">
        <f>IFERROR(VLOOKUP($B61, blitz!$DC:$DD, 2, FALSE), 0)</f>
        <v>2</v>
      </c>
      <c r="CM61" t="b">
        <f t="shared" si="22"/>
        <v>1</v>
      </c>
      <c r="CN61" t="str">
        <f>IFERROR(VLOOKUP($B61, aegis!$DH:$DI, 2, FALSE), 0)</f>
        <v>2</v>
      </c>
      <c r="CO61" t="str">
        <f>IFERROR(VLOOKUP($B61, duel!$DH:$DI, 2, FALSE), 0)</f>
        <v>2</v>
      </c>
      <c r="CP61" s="13">
        <f>IFERROR(VLOOKUP($B61, blitz!$DH:$DI, 2, FALSE), 0)</f>
        <v>0</v>
      </c>
      <c r="CQ61" t="b">
        <f t="shared" si="23"/>
        <v>1</v>
      </c>
      <c r="CR61" t="str">
        <f>IFERROR(VLOOKUP($B61, aegis!$DM:$DN, 2, FALSE), 0)</f>
        <v>1</v>
      </c>
      <c r="CS61" t="str">
        <f>IFERROR(VLOOKUP($B61, duel!$DM:$DN, 2, FALSE), 0)</f>
        <v>1</v>
      </c>
      <c r="CT61" t="str">
        <f>IFERROR(VLOOKUP($B61, blitz!$DM:$DN, 2, FALSE), 0)</f>
        <v>1</v>
      </c>
      <c r="CU61" t="b">
        <f t="shared" si="24"/>
        <v>1</v>
      </c>
      <c r="CV61" t="str">
        <f>IFERROR(VLOOKUP($B61, aegis!$DR:$DS, 2, FALSE), 0)</f>
        <v>45</v>
      </c>
      <c r="CW61" t="str">
        <f>IFERROR(VLOOKUP($B61, duel!$DR:$DS, 2, FALSE), 0)</f>
        <v>45</v>
      </c>
      <c r="CX61" t="str">
        <f>IFERROR(VLOOKUP($B61, blitz!$DR:$DS, 2, FALSE), 0)</f>
        <v>45</v>
      </c>
      <c r="CY61" t="b">
        <f t="shared" si="25"/>
        <v>1</v>
      </c>
    </row>
    <row r="62" spans="1:103">
      <c r="A62" t="s">
        <v>1733</v>
      </c>
      <c r="B62" s="6" t="s">
        <v>114</v>
      </c>
      <c r="C62" s="5" t="b">
        <f t="shared" si="0"/>
        <v>0</v>
      </c>
      <c r="D62" t="str">
        <f>IFERROR(VLOOKUP($B62, aegis!$B:$C, 2, FALSE), 0)</f>
        <v>48</v>
      </c>
      <c r="E62" t="str">
        <f>IFERROR(VLOOKUP($B62, duel!$B:$C, 2, FALSE), 0)</f>
        <v>48</v>
      </c>
      <c r="F62" t="str">
        <f>IFERROR(VLOOKUP($B62, blitz!$B:$C, 2, FALSE), 0)</f>
        <v>48</v>
      </c>
      <c r="G62" t="b">
        <f t="shared" si="1"/>
        <v>1</v>
      </c>
      <c r="H62" t="str">
        <f>IFERROR(VLOOKUP($B62, aegis!$G:$H, 2, FALSE), 0)</f>
        <v>28</v>
      </c>
      <c r="I62" t="str">
        <f>IFERROR(VLOOKUP($B62, duel!$G:$H, 2, FALSE), 0)</f>
        <v>28</v>
      </c>
      <c r="J62" t="str">
        <f>IFERROR(VLOOKUP($B62, blitz!$G:$H, 2, FALSE), 0)</f>
        <v>28</v>
      </c>
      <c r="K62" t="b">
        <f t="shared" si="2"/>
        <v>1</v>
      </c>
      <c r="L62" t="str">
        <f>IFERROR(VLOOKUP($B62, aegis!$L:$M, 2, FALSE), 0)</f>
        <v>48</v>
      </c>
      <c r="M62" t="str">
        <f>IFERROR(VLOOKUP($B62, duel!$L:$M, 2, FALSE), 0)</f>
        <v>48</v>
      </c>
      <c r="N62" t="str">
        <f>IFERROR(VLOOKUP($B62, blitz!$L:$M, 2, FALSE), 0)</f>
        <v>48</v>
      </c>
      <c r="O62" t="b">
        <f t="shared" si="3"/>
        <v>1</v>
      </c>
      <c r="P62" t="str">
        <f>IFERROR(VLOOKUP($B62, aegis!$Q:$R, 2, FALSE), 0)</f>
        <v>28</v>
      </c>
      <c r="Q62" t="str">
        <f>IFERROR(VLOOKUP($B62, duel!$Q:$R, 2, FALSE), 0)</f>
        <v>28</v>
      </c>
      <c r="R62" t="str">
        <f>IFERROR(VLOOKUP($B62, blitz!$Q:$R, 2, FALSE), 0)</f>
        <v>28</v>
      </c>
      <c r="S62" t="b">
        <f t="shared" si="4"/>
        <v>1</v>
      </c>
      <c r="T62" t="str">
        <f>IFERROR(VLOOKUP($B62, aegis!$V:$W, 2, FALSE), 0)</f>
        <v>674</v>
      </c>
      <c r="U62" t="str">
        <f>IFERROR(VLOOKUP($B62, duel!$V:$W, 2, FALSE), 0)</f>
        <v>674</v>
      </c>
      <c r="V62" t="str">
        <f>IFERROR(VLOOKUP($B62, blitz!$V:$W, 2, FALSE), 0)</f>
        <v>674</v>
      </c>
      <c r="W62" t="b">
        <f t="shared" si="5"/>
        <v>1</v>
      </c>
      <c r="X62" t="str">
        <f>IFERROR(VLOOKUP($B62, aegis!$AA:$AB, 2, FALSE), 0)</f>
        <v>2</v>
      </c>
      <c r="Y62" t="str">
        <f>IFERROR(VLOOKUP($B62, duel!$AA:$AB, 2, FALSE), 0)</f>
        <v>4</v>
      </c>
      <c r="Z62" t="str">
        <f>IFERROR(VLOOKUP($B62, blitz!$AA:$AB, 2, FALSE), 0)</f>
        <v>2</v>
      </c>
      <c r="AA62" t="b">
        <f t="shared" si="6"/>
        <v>0</v>
      </c>
      <c r="AB62" t="str">
        <f>IFERROR(VLOOKUP($B62, aegis!$AF:$AG, 2, FALSE), 0)</f>
        <v>340</v>
      </c>
      <c r="AC62" t="str">
        <f>IFERROR(VLOOKUP($B62, duel!$AF:$AG, 2, FALSE), 0)</f>
        <v>340</v>
      </c>
      <c r="AD62" t="str">
        <f>IFERROR(VLOOKUP($B62, blitz!$AF:$AG, 2, FALSE), 0)</f>
        <v>340</v>
      </c>
      <c r="AE62" t="b">
        <f t="shared" si="7"/>
        <v>1</v>
      </c>
      <c r="AF62" t="str">
        <f>IFERROR(VLOOKUP($B62, aegis!$AK:$AL, 2, FALSE), 0)</f>
        <v>3</v>
      </c>
      <c r="AG62" t="str">
        <f>IFERROR(VLOOKUP($B62, duel!$AK:$AL, 2, FALSE), 0)</f>
        <v>1</v>
      </c>
      <c r="AH62" t="str">
        <f>IFERROR(VLOOKUP($B62, blitz!$AK:$AL, 2, FALSE), 0)</f>
        <v>1</v>
      </c>
      <c r="AI62" t="b">
        <f t="shared" si="8"/>
        <v>0</v>
      </c>
      <c r="AJ62" t="str">
        <f>IFERROR(VLOOKUP($B62, aegis!$AP:$AQ, 2, FALSE), 0)</f>
        <v>1</v>
      </c>
      <c r="AK62" t="str">
        <f>IFERROR(VLOOKUP($B62, duel!$AP:$AQ, 2, FALSE), 0)</f>
        <v>1</v>
      </c>
      <c r="AL62" t="str">
        <f>IFERROR(VLOOKUP($B62, blitz!$AP:$AQ, 2, FALSE), 0)</f>
        <v>1</v>
      </c>
      <c r="AM62" t="b">
        <f t="shared" si="9"/>
        <v>1</v>
      </c>
      <c r="AN62">
        <f>IFERROR(VLOOKUP($B62, aegis!$AU:$AV, 2, FALSE), 0)</f>
        <v>0</v>
      </c>
      <c r="AO62">
        <f>IFERROR(VLOOKUP($B62, duel!$AU:$AV, 2, FALSE), 0)</f>
        <v>0</v>
      </c>
      <c r="AP62">
        <f>IFERROR(VLOOKUP($B62, blitz!$AU:$AV, 2, FALSE), 0)</f>
        <v>0</v>
      </c>
      <c r="AQ62" t="b">
        <f t="shared" si="10"/>
        <v>1</v>
      </c>
      <c r="AR62" t="str">
        <f>IFERROR(VLOOKUP($B62, aegis!$AZ:$BA, 2, FALSE), 0)</f>
        <v>2</v>
      </c>
      <c r="AS62" t="str">
        <f>IFERROR(VLOOKUP($B62, duel!$AZ:$BA, 2, FALSE), 0)</f>
        <v>2</v>
      </c>
      <c r="AT62" t="str">
        <f>IFERROR(VLOOKUP($B62, blitz!$AZ:$BA, 2, FALSE), 0)</f>
        <v>2</v>
      </c>
      <c r="AU62" t="b">
        <f t="shared" si="11"/>
        <v>1</v>
      </c>
      <c r="AV62" t="str">
        <f>IFERROR(VLOOKUP($B62, aegis!$BE:$BF, 2, FALSE), 0)</f>
        <v>1</v>
      </c>
      <c r="AW62" t="str">
        <f>IFERROR(VLOOKUP($B62, duel!$BE:$BF, 2, FALSE), 0)</f>
        <v>1</v>
      </c>
      <c r="AX62" t="str">
        <f>IFERROR(VLOOKUP($B62, blitz!$BE:$BF, 2, FALSE), 0)</f>
        <v>1</v>
      </c>
      <c r="AY62" t="b">
        <f t="shared" si="12"/>
        <v>1</v>
      </c>
      <c r="AZ62" t="str">
        <f>IFERROR(VLOOKUP($B62, aegis!$BJ:$BK, 2, FALSE), 0)</f>
        <v>1</v>
      </c>
      <c r="BA62" t="str">
        <f>IFERROR(VLOOKUP($B62, duel!$BJ:$BK, 2, FALSE), 0)</f>
        <v>1</v>
      </c>
      <c r="BB62" t="str">
        <f>IFERROR(VLOOKUP($B62, blitz!$BJ:$BK, 2, FALSE), 0)</f>
        <v>1</v>
      </c>
      <c r="BC62" t="b">
        <f t="shared" si="13"/>
        <v>1</v>
      </c>
      <c r="BD62">
        <f>IFERROR(VLOOKUP($B62, aegis!$BO:$BP, 2, FALSE), 0)</f>
        <v>0</v>
      </c>
      <c r="BE62">
        <f>IFERROR(VLOOKUP($B62, duel!$BO:$BP, 2, FALSE), 0)</f>
        <v>0</v>
      </c>
      <c r="BF62">
        <f>IFERROR(VLOOKUP($B62, blitz!$BO:$BP, 2, FALSE), 0)</f>
        <v>0</v>
      </c>
      <c r="BG62" t="b">
        <f t="shared" si="14"/>
        <v>1</v>
      </c>
      <c r="BH62" t="str">
        <f>IFERROR(VLOOKUP($B62, aegis!$BT:$BU, 2, FALSE), 0)</f>
        <v>252</v>
      </c>
      <c r="BI62" t="str">
        <f>IFERROR(VLOOKUP($B62, duel!$BT:$BU, 2, FALSE), 0)</f>
        <v>252</v>
      </c>
      <c r="BJ62" t="str">
        <f>IFERROR(VLOOKUP($B62, blitz!$BT:$BU, 2, FALSE), 0)</f>
        <v>252</v>
      </c>
      <c r="BK62" t="b">
        <f t="shared" si="15"/>
        <v>1</v>
      </c>
      <c r="BL62" t="str">
        <f>IFERROR(VLOOKUP($B62, aegis!$BY:$BZ, 2, FALSE), 0)</f>
        <v>1</v>
      </c>
      <c r="BM62" t="str">
        <f>IFERROR(VLOOKUP($B62, duel!$BY:$BZ, 2, FALSE), 0)</f>
        <v>1</v>
      </c>
      <c r="BN62" t="str">
        <f>IFERROR(VLOOKUP($B62, blitz!$BY:$BZ, 2, FALSE), 0)</f>
        <v>1</v>
      </c>
      <c r="BO62" t="b">
        <f t="shared" si="16"/>
        <v>1</v>
      </c>
      <c r="BP62" t="str">
        <f>IFERROR(VLOOKUP($B62, aegis!$CD:$CE, 2, FALSE), 0)</f>
        <v>3</v>
      </c>
      <c r="BQ62" t="str">
        <f>IFERROR(VLOOKUP($B62, duel!$CD:$CE, 2, FALSE), 0)</f>
        <v>3</v>
      </c>
      <c r="BR62" t="str">
        <f>IFERROR(VLOOKUP($B62, blitz!$CD:$CE, 2, FALSE), 0)</f>
        <v>3</v>
      </c>
      <c r="BS62" t="b">
        <f t="shared" si="17"/>
        <v>1</v>
      </c>
      <c r="BT62">
        <f>IFERROR(VLOOKUP($B62, aegis!$CI:$CJ, 2, FALSE), 0)</f>
        <v>0</v>
      </c>
      <c r="BU62">
        <f>IFERROR(VLOOKUP($B62, duel!$CI:$CJ, 2, FALSE), 0)</f>
        <v>0</v>
      </c>
      <c r="BV62">
        <f>IFERROR(VLOOKUP($B62, blitz!$CI:$CJ, 2, FALSE), 0)</f>
        <v>0</v>
      </c>
      <c r="BW62" t="b">
        <f t="shared" si="18"/>
        <v>1</v>
      </c>
      <c r="BX62">
        <f>IFERROR(VLOOKUP($B62, aegis!$CN:$CO, 2, FALSE), 0)</f>
        <v>0</v>
      </c>
      <c r="BY62">
        <f>IFERROR(VLOOKUP($B62, duel!$CN:$CO, 2, FALSE), 0)</f>
        <v>0</v>
      </c>
      <c r="BZ62">
        <f>IFERROR(VLOOKUP($B62, blitz!$CN:$CO, 2, FALSE), 0)</f>
        <v>0</v>
      </c>
      <c r="CA62" t="b">
        <f t="shared" si="19"/>
        <v>1</v>
      </c>
      <c r="CB62">
        <f>IFERROR(VLOOKUP($B62, aegis!$CS:$CT, 2, FALSE), 0)</f>
        <v>0</v>
      </c>
      <c r="CC62">
        <f>IFERROR(VLOOKUP($B62, duel!$CS:$CT, 2, FALSE), 0)</f>
        <v>0</v>
      </c>
      <c r="CD62">
        <f>IFERROR(VLOOKUP($B62, blitz!$CS:$CT, 2, FALSE), 0)</f>
        <v>0</v>
      </c>
      <c r="CE62" t="b">
        <f t="shared" si="20"/>
        <v>1</v>
      </c>
      <c r="CF62" t="str">
        <f>IFERROR(VLOOKUP($B62, aegis!$CX:$CY, 2, FALSE), 0)</f>
        <v>42135</v>
      </c>
      <c r="CG62" t="str">
        <f>IFERROR(VLOOKUP($B62, duel!$CX:$CY, 2, FALSE), 0)</f>
        <v>42125</v>
      </c>
      <c r="CH62" t="str">
        <f>IFERROR(VLOOKUP($B62, blitz!$CX:$CY, 2, FALSE), 0)</f>
        <v>25555</v>
      </c>
      <c r="CI62" t="b">
        <f t="shared" si="21"/>
        <v>0</v>
      </c>
      <c r="CJ62" t="str">
        <f>IFERROR(VLOOKUP($B62, aegis!$DC:$DD, 2, FALSE), 0)</f>
        <v>2</v>
      </c>
      <c r="CK62" t="str">
        <f>IFERROR(VLOOKUP($B62, duel!$DC:$DD, 2, FALSE), 0)</f>
        <v>2</v>
      </c>
      <c r="CL62" t="str">
        <f>IFERROR(VLOOKUP($B62, blitz!$DC:$DD, 2, FALSE), 0)</f>
        <v>2</v>
      </c>
      <c r="CM62" t="b">
        <f t="shared" si="22"/>
        <v>1</v>
      </c>
      <c r="CN62" t="str">
        <f>IFERROR(VLOOKUP($B62, aegis!$DH:$DI, 2, FALSE), 0)</f>
        <v>1</v>
      </c>
      <c r="CO62" t="str">
        <f>IFERROR(VLOOKUP($B62, duel!$DH:$DI, 2, FALSE), 0)</f>
        <v>1</v>
      </c>
      <c r="CP62" s="13">
        <f>IFERROR(VLOOKUP($B62, blitz!$DH:$DI, 2, FALSE), 0)</f>
        <v>0</v>
      </c>
      <c r="CQ62" t="b">
        <f t="shared" si="23"/>
        <v>1</v>
      </c>
      <c r="CR62" t="str">
        <f>IFERROR(VLOOKUP($B62, aegis!$DM:$DN, 2, FALSE), 0)</f>
        <v>1</v>
      </c>
      <c r="CS62" t="str">
        <f>IFERROR(VLOOKUP($B62, duel!$DM:$DN, 2, FALSE), 0)</f>
        <v>1</v>
      </c>
      <c r="CT62" t="str">
        <f>IFERROR(VLOOKUP($B62, blitz!$DM:$DN, 2, FALSE), 0)</f>
        <v>1</v>
      </c>
      <c r="CU62" t="b">
        <f t="shared" si="24"/>
        <v>1</v>
      </c>
      <c r="CV62" t="str">
        <f>IFERROR(VLOOKUP($B62, aegis!$DR:$DS, 2, FALSE), 0)</f>
        <v>335</v>
      </c>
      <c r="CW62" t="str">
        <f>IFERROR(VLOOKUP($B62, duel!$DR:$DS, 2, FALSE), 0)</f>
        <v>335</v>
      </c>
      <c r="CX62" t="str">
        <f>IFERROR(VLOOKUP($B62, blitz!$DR:$DS, 2, FALSE), 0)</f>
        <v>335</v>
      </c>
      <c r="CY62" t="b">
        <f t="shared" si="25"/>
        <v>1</v>
      </c>
    </row>
    <row r="63" spans="1:103">
      <c r="A63" t="s">
        <v>1733</v>
      </c>
      <c r="B63" s="6" t="s">
        <v>116</v>
      </c>
      <c r="C63" s="5" t="b">
        <f t="shared" si="0"/>
        <v>0</v>
      </c>
      <c r="D63" t="str">
        <f>IFERROR(VLOOKUP($B63, aegis!$B:$C, 2, FALSE), 0)</f>
        <v>36</v>
      </c>
      <c r="E63" t="str">
        <f>IFERROR(VLOOKUP($B63, duel!$B:$C, 2, FALSE), 0)</f>
        <v>36</v>
      </c>
      <c r="F63" t="str">
        <f>IFERROR(VLOOKUP($B63, blitz!$B:$C, 2, FALSE), 0)</f>
        <v>36</v>
      </c>
      <c r="G63" t="b">
        <f t="shared" si="1"/>
        <v>1</v>
      </c>
      <c r="H63" t="str">
        <f>IFERROR(VLOOKUP($B63, aegis!$G:$H, 2, FALSE), 0)</f>
        <v>21</v>
      </c>
      <c r="I63" t="str">
        <f>IFERROR(VLOOKUP($B63, duel!$G:$H, 2, FALSE), 0)</f>
        <v>21</v>
      </c>
      <c r="J63" t="str">
        <f>IFERROR(VLOOKUP($B63, blitz!$G:$H, 2, FALSE), 0)</f>
        <v>21</v>
      </c>
      <c r="K63" t="b">
        <f t="shared" si="2"/>
        <v>1</v>
      </c>
      <c r="L63" t="str">
        <f>IFERROR(VLOOKUP($B63, aegis!$L:$M, 2, FALSE), 0)</f>
        <v>36</v>
      </c>
      <c r="M63" t="str">
        <f>IFERROR(VLOOKUP($B63, duel!$L:$M, 2, FALSE), 0)</f>
        <v>36</v>
      </c>
      <c r="N63" t="str">
        <f>IFERROR(VLOOKUP($B63, blitz!$L:$M, 2, FALSE), 0)</f>
        <v>36</v>
      </c>
      <c r="O63" t="b">
        <f t="shared" si="3"/>
        <v>1</v>
      </c>
      <c r="P63" t="str">
        <f>IFERROR(VLOOKUP($B63, aegis!$Q:$R, 2, FALSE), 0)</f>
        <v>21</v>
      </c>
      <c r="Q63" t="str">
        <f>IFERROR(VLOOKUP($B63, duel!$Q:$R, 2, FALSE), 0)</f>
        <v>21</v>
      </c>
      <c r="R63" t="str">
        <f>IFERROR(VLOOKUP($B63, blitz!$Q:$R, 2, FALSE), 0)</f>
        <v>21</v>
      </c>
      <c r="S63" t="b">
        <f t="shared" si="4"/>
        <v>1</v>
      </c>
      <c r="T63" t="str">
        <f>IFERROR(VLOOKUP($B63, aegis!$V:$W, 2, FALSE), 0)</f>
        <v>41</v>
      </c>
      <c r="U63" t="str">
        <f>IFERROR(VLOOKUP($B63, duel!$V:$W, 2, FALSE), 0)</f>
        <v>41</v>
      </c>
      <c r="V63" t="str">
        <f>IFERROR(VLOOKUP($B63, blitz!$V:$W, 2, FALSE), 0)</f>
        <v>41</v>
      </c>
      <c r="W63" t="b">
        <f t="shared" si="5"/>
        <v>1</v>
      </c>
      <c r="X63" t="str">
        <f>IFERROR(VLOOKUP($B63, aegis!$AA:$AB, 2, FALSE), 0)</f>
        <v>2</v>
      </c>
      <c r="Y63" t="str">
        <f>IFERROR(VLOOKUP($B63, duel!$AA:$AB, 2, FALSE), 0)</f>
        <v>4</v>
      </c>
      <c r="Z63" t="str">
        <f>IFERROR(VLOOKUP($B63, blitz!$AA:$AB, 2, FALSE), 0)</f>
        <v>2</v>
      </c>
      <c r="AA63" t="b">
        <f t="shared" si="6"/>
        <v>0</v>
      </c>
      <c r="AB63" t="str">
        <f>IFERROR(VLOOKUP($B63, aegis!$AF:$AG, 2, FALSE), 0)</f>
        <v>25</v>
      </c>
      <c r="AC63" t="str">
        <f>IFERROR(VLOOKUP($B63, duel!$AF:$AG, 2, FALSE), 0)</f>
        <v>25</v>
      </c>
      <c r="AD63" t="str">
        <f>IFERROR(VLOOKUP($B63, blitz!$AF:$AG, 2, FALSE), 0)</f>
        <v>25</v>
      </c>
      <c r="AE63" t="b">
        <f t="shared" si="7"/>
        <v>1</v>
      </c>
      <c r="AF63" t="str">
        <f>IFERROR(VLOOKUP($B63, aegis!$AK:$AL, 2, FALSE), 0)</f>
        <v>3</v>
      </c>
      <c r="AG63" t="str">
        <f>IFERROR(VLOOKUP($B63, duel!$AK:$AL, 2, FALSE), 0)</f>
        <v>1</v>
      </c>
      <c r="AH63" t="str">
        <f>IFERROR(VLOOKUP($B63, blitz!$AK:$AL, 2, FALSE), 0)</f>
        <v>1</v>
      </c>
      <c r="AI63" t="b">
        <f t="shared" si="8"/>
        <v>0</v>
      </c>
      <c r="AJ63" t="str">
        <f>IFERROR(VLOOKUP($B63, aegis!$AP:$AQ, 2, FALSE), 0)</f>
        <v>1</v>
      </c>
      <c r="AK63" t="str">
        <f>IFERROR(VLOOKUP($B63, duel!$AP:$AQ, 2, FALSE), 0)</f>
        <v>1</v>
      </c>
      <c r="AL63" t="str">
        <f>IFERROR(VLOOKUP($B63, blitz!$AP:$AQ, 2, FALSE), 0)</f>
        <v>1</v>
      </c>
      <c r="AM63" t="b">
        <f t="shared" si="9"/>
        <v>1</v>
      </c>
      <c r="AN63">
        <f>IFERROR(VLOOKUP($B63, aegis!$AU:$AV, 2, FALSE), 0)</f>
        <v>0</v>
      </c>
      <c r="AO63">
        <f>IFERROR(VLOOKUP($B63, duel!$AU:$AV, 2, FALSE), 0)</f>
        <v>0</v>
      </c>
      <c r="AP63">
        <f>IFERROR(VLOOKUP($B63, blitz!$AU:$AV, 2, FALSE), 0)</f>
        <v>0</v>
      </c>
      <c r="AQ63" t="b">
        <f t="shared" si="10"/>
        <v>1</v>
      </c>
      <c r="AR63" t="str">
        <f>IFERROR(VLOOKUP($B63, aegis!$AZ:$BA, 2, FALSE), 0)</f>
        <v>2</v>
      </c>
      <c r="AS63" t="str">
        <f>IFERROR(VLOOKUP($B63, duel!$AZ:$BA, 2, FALSE), 0)</f>
        <v>2</v>
      </c>
      <c r="AT63" t="str">
        <f>IFERROR(VLOOKUP($B63, blitz!$AZ:$BA, 2, FALSE), 0)</f>
        <v>2</v>
      </c>
      <c r="AU63" t="b">
        <f t="shared" si="11"/>
        <v>1</v>
      </c>
      <c r="AV63" t="str">
        <f>IFERROR(VLOOKUP($B63, aegis!$BE:$BF, 2, FALSE), 0)</f>
        <v>1</v>
      </c>
      <c r="AW63" t="str">
        <f>IFERROR(VLOOKUP($B63, duel!$BE:$BF, 2, FALSE), 0)</f>
        <v>1</v>
      </c>
      <c r="AX63" t="str">
        <f>IFERROR(VLOOKUP($B63, blitz!$BE:$BF, 2, FALSE), 0)</f>
        <v>1</v>
      </c>
      <c r="AY63" t="b">
        <f t="shared" si="12"/>
        <v>1</v>
      </c>
      <c r="AZ63" t="str">
        <f>IFERROR(VLOOKUP($B63, aegis!$BJ:$BK, 2, FALSE), 0)</f>
        <v>1</v>
      </c>
      <c r="BA63" t="str">
        <f>IFERROR(VLOOKUP($B63, duel!$BJ:$BK, 2, FALSE), 0)</f>
        <v>1</v>
      </c>
      <c r="BB63" t="str">
        <f>IFERROR(VLOOKUP($B63, blitz!$BJ:$BK, 2, FALSE), 0)</f>
        <v>1</v>
      </c>
      <c r="BC63" t="b">
        <f t="shared" si="13"/>
        <v>1</v>
      </c>
      <c r="BD63">
        <f>IFERROR(VLOOKUP($B63, aegis!$BO:$BP, 2, FALSE), 0)</f>
        <v>0</v>
      </c>
      <c r="BE63">
        <f>IFERROR(VLOOKUP($B63, duel!$BO:$BP, 2, FALSE), 0)</f>
        <v>0</v>
      </c>
      <c r="BF63">
        <f>IFERROR(VLOOKUP($B63, blitz!$BO:$BP, 2, FALSE), 0)</f>
        <v>0</v>
      </c>
      <c r="BG63" t="b">
        <f t="shared" si="14"/>
        <v>1</v>
      </c>
      <c r="BH63" t="str">
        <f>IFERROR(VLOOKUP($B63, aegis!$BT:$BU, 2, FALSE), 0)</f>
        <v>14</v>
      </c>
      <c r="BI63" t="str">
        <f>IFERROR(VLOOKUP($B63, duel!$BT:$BU, 2, FALSE), 0)</f>
        <v>14</v>
      </c>
      <c r="BJ63" t="str">
        <f>IFERROR(VLOOKUP($B63, blitz!$BT:$BU, 2, FALSE), 0)</f>
        <v>14</v>
      </c>
      <c r="BK63" t="b">
        <f t="shared" si="15"/>
        <v>1</v>
      </c>
      <c r="BL63" t="str">
        <f>IFERROR(VLOOKUP($B63, aegis!$BY:$BZ, 2, FALSE), 0)</f>
        <v>1</v>
      </c>
      <c r="BM63" t="str">
        <f>IFERROR(VLOOKUP($B63, duel!$BY:$BZ, 2, FALSE), 0)</f>
        <v>1</v>
      </c>
      <c r="BN63" t="str">
        <f>IFERROR(VLOOKUP($B63, blitz!$BY:$BZ, 2, FALSE), 0)</f>
        <v>1</v>
      </c>
      <c r="BO63" t="b">
        <f t="shared" si="16"/>
        <v>1</v>
      </c>
      <c r="BP63" t="str">
        <f>IFERROR(VLOOKUP($B63, aegis!$CD:$CE, 2, FALSE), 0)</f>
        <v>7</v>
      </c>
      <c r="BQ63" t="str">
        <f>IFERROR(VLOOKUP($B63, duel!$CD:$CE, 2, FALSE), 0)</f>
        <v>7</v>
      </c>
      <c r="BR63" t="str">
        <f>IFERROR(VLOOKUP($B63, blitz!$CD:$CE, 2, FALSE), 0)</f>
        <v>7</v>
      </c>
      <c r="BS63" t="b">
        <f t="shared" si="17"/>
        <v>1</v>
      </c>
      <c r="BT63">
        <f>IFERROR(VLOOKUP($B63, aegis!$CI:$CJ, 2, FALSE), 0)</f>
        <v>0</v>
      </c>
      <c r="BU63">
        <f>IFERROR(VLOOKUP($B63, duel!$CI:$CJ, 2, FALSE), 0)</f>
        <v>0</v>
      </c>
      <c r="BV63">
        <f>IFERROR(VLOOKUP($B63, blitz!$CI:$CJ, 2, FALSE), 0)</f>
        <v>0</v>
      </c>
      <c r="BW63" t="b">
        <f t="shared" si="18"/>
        <v>1</v>
      </c>
      <c r="BX63">
        <f>IFERROR(VLOOKUP($B63, aegis!$CN:$CO, 2, FALSE), 0)</f>
        <v>0</v>
      </c>
      <c r="BY63">
        <f>IFERROR(VLOOKUP($B63, duel!$CN:$CO, 2, FALSE), 0)</f>
        <v>0</v>
      </c>
      <c r="BZ63">
        <f>IFERROR(VLOOKUP($B63, blitz!$CN:$CO, 2, FALSE), 0)</f>
        <v>0</v>
      </c>
      <c r="CA63" t="b">
        <f t="shared" si="19"/>
        <v>1</v>
      </c>
      <c r="CB63">
        <f>IFERROR(VLOOKUP($B63, aegis!$CS:$CT, 2, FALSE), 0)</f>
        <v>0</v>
      </c>
      <c r="CC63">
        <f>IFERROR(VLOOKUP($B63, duel!$CS:$CT, 2, FALSE), 0)</f>
        <v>0</v>
      </c>
      <c r="CD63">
        <f>IFERROR(VLOOKUP($B63, blitz!$CS:$CT, 2, FALSE), 0)</f>
        <v>0</v>
      </c>
      <c r="CE63" t="b">
        <f t="shared" si="20"/>
        <v>1</v>
      </c>
      <c r="CF63" t="str">
        <f>IFERROR(VLOOKUP($B63, aegis!$CX:$CY, 2, FALSE), 0)</f>
        <v>6353</v>
      </c>
      <c r="CG63" t="str">
        <f>IFERROR(VLOOKUP($B63, duel!$CX:$CY, 2, FALSE), 0)</f>
        <v>6342</v>
      </c>
      <c r="CH63" t="str">
        <f>IFERROR(VLOOKUP($B63, blitz!$CX:$CY, 2, FALSE), 0)</f>
        <v>1777</v>
      </c>
      <c r="CI63" t="b">
        <f t="shared" si="21"/>
        <v>0</v>
      </c>
      <c r="CJ63" t="str">
        <f>IFERROR(VLOOKUP($B63, aegis!$DC:$DD, 2, FALSE), 0)</f>
        <v>1</v>
      </c>
      <c r="CK63" t="str">
        <f>IFERROR(VLOOKUP($B63, duel!$DC:$DD, 2, FALSE), 0)</f>
        <v>1</v>
      </c>
      <c r="CL63" t="str">
        <f>IFERROR(VLOOKUP($B63, blitz!$DC:$DD, 2, FALSE), 0)</f>
        <v>1</v>
      </c>
      <c r="CM63" t="b">
        <f t="shared" si="22"/>
        <v>1</v>
      </c>
      <c r="CN63" t="str">
        <f>IFERROR(VLOOKUP($B63, aegis!$DH:$DI, 2, FALSE), 0)</f>
        <v>4</v>
      </c>
      <c r="CO63" t="str">
        <f>IFERROR(VLOOKUP($B63, duel!$DH:$DI, 2, FALSE), 0)</f>
        <v>4</v>
      </c>
      <c r="CP63" s="13">
        <f>IFERROR(VLOOKUP($B63, blitz!$DH:$DI, 2, FALSE), 0)</f>
        <v>0</v>
      </c>
      <c r="CQ63" t="b">
        <f t="shared" si="23"/>
        <v>1</v>
      </c>
      <c r="CR63" t="str">
        <f>IFERROR(VLOOKUP($B63, aegis!$DM:$DN, 2, FALSE), 0)</f>
        <v>1</v>
      </c>
      <c r="CS63" t="str">
        <f>IFERROR(VLOOKUP($B63, duel!$DM:$DN, 2, FALSE), 0)</f>
        <v>1</v>
      </c>
      <c r="CT63" t="str">
        <f>IFERROR(VLOOKUP($B63, blitz!$DM:$DN, 2, FALSE), 0)</f>
        <v>1</v>
      </c>
      <c r="CU63" t="b">
        <f t="shared" si="24"/>
        <v>1</v>
      </c>
      <c r="CV63" t="str">
        <f>IFERROR(VLOOKUP($B63, aegis!$DR:$DS, 2, FALSE), 0)</f>
        <v>25</v>
      </c>
      <c r="CW63" t="str">
        <f>IFERROR(VLOOKUP($B63, duel!$DR:$DS, 2, FALSE), 0)</f>
        <v>25</v>
      </c>
      <c r="CX63" t="str">
        <f>IFERROR(VLOOKUP($B63, blitz!$DR:$DS, 2, FALSE), 0)</f>
        <v>25</v>
      </c>
      <c r="CY63" t="b">
        <f t="shared" si="25"/>
        <v>1</v>
      </c>
    </row>
    <row r="64" spans="1:103">
      <c r="A64" t="s">
        <v>1733</v>
      </c>
      <c r="B64" s="6" t="s">
        <v>118</v>
      </c>
      <c r="C64" s="5" t="b">
        <f t="shared" si="0"/>
        <v>0</v>
      </c>
      <c r="D64" t="str">
        <f>IFERROR(VLOOKUP($B64, aegis!$B:$C, 2, FALSE), 0)</f>
        <v>336</v>
      </c>
      <c r="E64" t="str">
        <f>IFERROR(VLOOKUP($B64, duel!$B:$C, 2, FALSE), 0)</f>
        <v>336</v>
      </c>
      <c r="F64" t="str">
        <f>IFERROR(VLOOKUP($B64, blitz!$B:$C, 2, FALSE), 0)</f>
        <v>336</v>
      </c>
      <c r="G64" t="b">
        <f t="shared" si="1"/>
        <v>1</v>
      </c>
      <c r="H64" t="str">
        <f>IFERROR(VLOOKUP($B64, aegis!$G:$H, 2, FALSE), 0)</f>
        <v>196</v>
      </c>
      <c r="I64" t="str">
        <f>IFERROR(VLOOKUP($B64, duel!$G:$H, 2, FALSE), 0)</f>
        <v>196</v>
      </c>
      <c r="J64" t="str">
        <f>IFERROR(VLOOKUP($B64, blitz!$G:$H, 2, FALSE), 0)</f>
        <v>196</v>
      </c>
      <c r="K64" t="b">
        <f t="shared" si="2"/>
        <v>1</v>
      </c>
      <c r="L64" t="str">
        <f>IFERROR(VLOOKUP($B64, aegis!$L:$M, 2, FALSE), 0)</f>
        <v>336</v>
      </c>
      <c r="M64" t="str">
        <f>IFERROR(VLOOKUP($B64, duel!$L:$M, 2, FALSE), 0)</f>
        <v>336</v>
      </c>
      <c r="N64" t="str">
        <f>IFERROR(VLOOKUP($B64, blitz!$L:$M, 2, FALSE), 0)</f>
        <v>336</v>
      </c>
      <c r="O64" t="b">
        <f t="shared" si="3"/>
        <v>1</v>
      </c>
      <c r="P64" t="str">
        <f>IFERROR(VLOOKUP($B64, aegis!$Q:$R, 2, FALSE), 0)</f>
        <v>196</v>
      </c>
      <c r="Q64" t="str">
        <f>IFERROR(VLOOKUP($B64, duel!$Q:$R, 2, FALSE), 0)</f>
        <v>196</v>
      </c>
      <c r="R64" t="str">
        <f>IFERROR(VLOOKUP($B64, blitz!$Q:$R, 2, FALSE), 0)</f>
        <v>196</v>
      </c>
      <c r="S64" t="b">
        <f t="shared" si="4"/>
        <v>1</v>
      </c>
      <c r="T64" t="str">
        <f>IFERROR(VLOOKUP($B64, aegis!$V:$W, 2, FALSE), 0)</f>
        <v>1211</v>
      </c>
      <c r="U64" t="str">
        <f>IFERROR(VLOOKUP($B64, duel!$V:$W, 2, FALSE), 0)</f>
        <v>1211</v>
      </c>
      <c r="V64" t="str">
        <f>IFERROR(VLOOKUP($B64, blitz!$V:$W, 2, FALSE), 0)</f>
        <v>1211</v>
      </c>
      <c r="W64" t="b">
        <f t="shared" si="5"/>
        <v>1</v>
      </c>
      <c r="X64" t="str">
        <f>IFERROR(VLOOKUP($B64, aegis!$AA:$AB, 2, FALSE), 0)</f>
        <v>9</v>
      </c>
      <c r="Y64" t="str">
        <f>IFERROR(VLOOKUP($B64, duel!$AA:$AB, 2, FALSE), 0)</f>
        <v>17</v>
      </c>
      <c r="Z64" t="str">
        <f>IFERROR(VLOOKUP($B64, blitz!$AA:$AB, 2, FALSE), 0)</f>
        <v>9</v>
      </c>
      <c r="AA64" t="b">
        <f t="shared" si="6"/>
        <v>0</v>
      </c>
      <c r="AB64" t="str">
        <f>IFERROR(VLOOKUP($B64, aegis!$AF:$AG, 2, FALSE), 0)</f>
        <v>339</v>
      </c>
      <c r="AC64" t="str">
        <f>IFERROR(VLOOKUP($B64, duel!$AF:$AG, 2, FALSE), 0)</f>
        <v>339</v>
      </c>
      <c r="AD64" t="str">
        <f>IFERROR(VLOOKUP($B64, blitz!$AF:$AG, 2, FALSE), 0)</f>
        <v>339</v>
      </c>
      <c r="AE64" t="b">
        <f t="shared" si="7"/>
        <v>1</v>
      </c>
      <c r="AF64" t="str">
        <f>IFERROR(VLOOKUP($B64, aegis!$AK:$AL, 2, FALSE), 0)</f>
        <v>9</v>
      </c>
      <c r="AG64" t="str">
        <f>IFERROR(VLOOKUP($B64, duel!$AK:$AL, 2, FALSE), 0)</f>
        <v>1</v>
      </c>
      <c r="AH64" t="str">
        <f>IFERROR(VLOOKUP($B64, blitz!$AK:$AL, 2, FALSE), 0)</f>
        <v>1</v>
      </c>
      <c r="AI64" t="b">
        <f t="shared" si="8"/>
        <v>0</v>
      </c>
      <c r="AJ64" t="str">
        <f>IFERROR(VLOOKUP($B64, aegis!$AP:$AQ, 2, FALSE), 0)</f>
        <v>7</v>
      </c>
      <c r="AK64" t="str">
        <f>IFERROR(VLOOKUP($B64, duel!$AP:$AQ, 2, FALSE), 0)</f>
        <v>7</v>
      </c>
      <c r="AL64" t="str">
        <f>IFERROR(VLOOKUP($B64, blitz!$AP:$AQ, 2, FALSE), 0)</f>
        <v>7</v>
      </c>
      <c r="AM64" t="b">
        <f t="shared" si="9"/>
        <v>1</v>
      </c>
      <c r="AN64">
        <f>IFERROR(VLOOKUP($B64, aegis!$AU:$AV, 2, FALSE), 0)</f>
        <v>0</v>
      </c>
      <c r="AO64">
        <f>IFERROR(VLOOKUP($B64, duel!$AU:$AV, 2, FALSE), 0)</f>
        <v>0</v>
      </c>
      <c r="AP64">
        <f>IFERROR(VLOOKUP($B64, blitz!$AU:$AV, 2, FALSE), 0)</f>
        <v>0</v>
      </c>
      <c r="AQ64" t="b">
        <f t="shared" si="10"/>
        <v>1</v>
      </c>
      <c r="AR64" t="str">
        <f>IFERROR(VLOOKUP($B64, aegis!$AZ:$BA, 2, FALSE), 0)</f>
        <v>8</v>
      </c>
      <c r="AS64" t="str">
        <f>IFERROR(VLOOKUP($B64, duel!$AZ:$BA, 2, FALSE), 0)</f>
        <v>8</v>
      </c>
      <c r="AT64" t="str">
        <f>IFERROR(VLOOKUP($B64, blitz!$AZ:$BA, 2, FALSE), 0)</f>
        <v>8</v>
      </c>
      <c r="AU64" t="b">
        <f t="shared" si="11"/>
        <v>1</v>
      </c>
      <c r="AV64" t="str">
        <f>IFERROR(VLOOKUP($B64, aegis!$BE:$BF, 2, FALSE), 0)</f>
        <v>8</v>
      </c>
      <c r="AW64" t="str">
        <f>IFERROR(VLOOKUP($B64, duel!$BE:$BF, 2, FALSE), 0)</f>
        <v>8</v>
      </c>
      <c r="AX64" t="str">
        <f>IFERROR(VLOOKUP($B64, blitz!$BE:$BF, 2, FALSE), 0)</f>
        <v>8</v>
      </c>
      <c r="AY64" t="b">
        <f t="shared" si="12"/>
        <v>1</v>
      </c>
      <c r="AZ64" t="str">
        <f>IFERROR(VLOOKUP($B64, aegis!$BJ:$BK, 2, FALSE), 0)</f>
        <v>1</v>
      </c>
      <c r="BA64" t="str">
        <f>IFERROR(VLOOKUP($B64, duel!$BJ:$BK, 2, FALSE), 0)</f>
        <v>1</v>
      </c>
      <c r="BB64" t="str">
        <f>IFERROR(VLOOKUP($B64, blitz!$BJ:$BK, 2, FALSE), 0)</f>
        <v>1</v>
      </c>
      <c r="BC64" t="b">
        <f t="shared" si="13"/>
        <v>1</v>
      </c>
      <c r="BD64">
        <f>IFERROR(VLOOKUP($B64, aegis!$BO:$BP, 2, FALSE), 0)</f>
        <v>0</v>
      </c>
      <c r="BE64">
        <f>IFERROR(VLOOKUP($B64, duel!$BO:$BP, 2, FALSE), 0)</f>
        <v>0</v>
      </c>
      <c r="BF64">
        <f>IFERROR(VLOOKUP($B64, blitz!$BO:$BP, 2, FALSE), 0)</f>
        <v>0</v>
      </c>
      <c r="BG64" t="b">
        <f t="shared" si="14"/>
        <v>1</v>
      </c>
      <c r="BH64" t="str">
        <f>IFERROR(VLOOKUP($B64, aegis!$BT:$BU, 2, FALSE), 0)</f>
        <v>279</v>
      </c>
      <c r="BI64" t="str">
        <f>IFERROR(VLOOKUP($B64, duel!$BT:$BU, 2, FALSE), 0)</f>
        <v>279</v>
      </c>
      <c r="BJ64" t="str">
        <f>IFERROR(VLOOKUP($B64, blitz!$BT:$BU, 2, FALSE), 0)</f>
        <v>279</v>
      </c>
      <c r="BK64" t="b">
        <f t="shared" si="15"/>
        <v>1</v>
      </c>
      <c r="BL64" t="str">
        <f>IFERROR(VLOOKUP($B64, aegis!$BY:$BZ, 2, FALSE), 0)</f>
        <v>8</v>
      </c>
      <c r="BM64" t="str">
        <f>IFERROR(VLOOKUP($B64, duel!$BY:$BZ, 2, FALSE), 0)</f>
        <v>8</v>
      </c>
      <c r="BN64" t="str">
        <f>IFERROR(VLOOKUP($B64, blitz!$BY:$BZ, 2, FALSE), 0)</f>
        <v>8</v>
      </c>
      <c r="BO64" t="b">
        <f t="shared" si="16"/>
        <v>1</v>
      </c>
      <c r="BP64" t="str">
        <f>IFERROR(VLOOKUP($B64, aegis!$CD:$CE, 2, FALSE), 0)</f>
        <v>24</v>
      </c>
      <c r="BQ64" t="str">
        <f>IFERROR(VLOOKUP($B64, duel!$CD:$CE, 2, FALSE), 0)</f>
        <v>24</v>
      </c>
      <c r="BR64" t="str">
        <f>IFERROR(VLOOKUP($B64, blitz!$CD:$CE, 2, FALSE), 0)</f>
        <v>24</v>
      </c>
      <c r="BS64" t="b">
        <f t="shared" si="17"/>
        <v>1</v>
      </c>
      <c r="BT64" t="str">
        <f>IFERROR(VLOOKUP($B64, aegis!$CI:$CJ, 2, FALSE), 0)</f>
        <v>2</v>
      </c>
      <c r="BU64" t="str">
        <f>IFERROR(VLOOKUP($B64, duel!$CI:$CJ, 2, FALSE), 0)</f>
        <v>2</v>
      </c>
      <c r="BV64" t="str">
        <f>IFERROR(VLOOKUP($B64, blitz!$CI:$CJ, 2, FALSE), 0)</f>
        <v>2</v>
      </c>
      <c r="BW64" t="b">
        <f t="shared" si="18"/>
        <v>1</v>
      </c>
      <c r="BX64" t="str">
        <f>IFERROR(VLOOKUP($B64, aegis!$CN:$CO, 2, FALSE), 0)</f>
        <v>2</v>
      </c>
      <c r="BY64" t="str">
        <f>IFERROR(VLOOKUP($B64, duel!$CN:$CO, 2, FALSE), 0)</f>
        <v>2</v>
      </c>
      <c r="BZ64" t="str">
        <f>IFERROR(VLOOKUP($B64, blitz!$CN:$CO, 2, FALSE), 0)</f>
        <v>2</v>
      </c>
      <c r="CA64" t="b">
        <f t="shared" si="19"/>
        <v>1</v>
      </c>
      <c r="CB64" t="str">
        <f>IFERROR(VLOOKUP($B64, aegis!$CS:$CT, 2, FALSE), 0)</f>
        <v>8</v>
      </c>
      <c r="CC64" t="str">
        <f>IFERROR(VLOOKUP($B64, duel!$CS:$CT, 2, FALSE), 0)</f>
        <v>8</v>
      </c>
      <c r="CD64" t="str">
        <f>IFERROR(VLOOKUP($B64, blitz!$CS:$CT, 2, FALSE), 0)</f>
        <v>8</v>
      </c>
      <c r="CE64" t="b">
        <f t="shared" si="20"/>
        <v>1</v>
      </c>
      <c r="CF64" t="str">
        <f>IFERROR(VLOOKUP($B64, aegis!$CX:$CY, 2, FALSE), 0)</f>
        <v>99075</v>
      </c>
      <c r="CG64" t="str">
        <f>IFERROR(VLOOKUP($B64, duel!$CX:$CY, 2, FALSE), 0)</f>
        <v>99023</v>
      </c>
      <c r="CH64" t="str">
        <f>IFERROR(VLOOKUP($B64, blitz!$CX:$CY, 2, FALSE), 0)</f>
        <v>33045</v>
      </c>
      <c r="CI64" t="b">
        <f t="shared" si="21"/>
        <v>0</v>
      </c>
      <c r="CJ64" t="str">
        <f>IFERROR(VLOOKUP($B64, aegis!$DC:$DD, 2, FALSE), 0)</f>
        <v>2</v>
      </c>
      <c r="CK64" t="str">
        <f>IFERROR(VLOOKUP($B64, duel!$DC:$DD, 2, FALSE), 0)</f>
        <v>2</v>
      </c>
      <c r="CL64" t="str">
        <f>IFERROR(VLOOKUP($B64, blitz!$DC:$DD, 2, FALSE), 0)</f>
        <v>2</v>
      </c>
      <c r="CM64" t="b">
        <f t="shared" si="22"/>
        <v>1</v>
      </c>
      <c r="CN64" t="str">
        <f>IFERROR(VLOOKUP($B64, aegis!$DH:$DI, 2, FALSE), 0)</f>
        <v>28</v>
      </c>
      <c r="CO64" t="str">
        <f>IFERROR(VLOOKUP($B64, duel!$DH:$DI, 2, FALSE), 0)</f>
        <v>28</v>
      </c>
      <c r="CP64" s="13">
        <f>IFERROR(VLOOKUP($B64, blitz!$DH:$DI, 2, FALSE), 0)</f>
        <v>0</v>
      </c>
      <c r="CQ64" t="b">
        <f t="shared" si="23"/>
        <v>1</v>
      </c>
      <c r="CR64" t="str">
        <f>IFERROR(VLOOKUP($B64, aegis!$DM:$DN, 2, FALSE), 0)</f>
        <v>7</v>
      </c>
      <c r="CS64" t="str">
        <f>IFERROR(VLOOKUP($B64, duel!$DM:$DN, 2, FALSE), 0)</f>
        <v>7</v>
      </c>
      <c r="CT64" t="str">
        <f>IFERROR(VLOOKUP($B64, blitz!$DM:$DN, 2, FALSE), 0)</f>
        <v>7</v>
      </c>
      <c r="CU64" t="b">
        <f t="shared" si="24"/>
        <v>1</v>
      </c>
      <c r="CV64" t="str">
        <f>IFERROR(VLOOKUP($B64, aegis!$DR:$DS, 2, FALSE), 0)</f>
        <v>328</v>
      </c>
      <c r="CW64" t="str">
        <f>IFERROR(VLOOKUP($B64, duel!$DR:$DS, 2, FALSE), 0)</f>
        <v>328</v>
      </c>
      <c r="CX64" t="str">
        <f>IFERROR(VLOOKUP($B64, blitz!$DR:$DS, 2, FALSE), 0)</f>
        <v>328</v>
      </c>
      <c r="CY64" t="b">
        <f t="shared" si="25"/>
        <v>1</v>
      </c>
    </row>
    <row r="65" spans="1:103">
      <c r="B65" s="6" t="s">
        <v>121</v>
      </c>
      <c r="C65" s="5" t="b">
        <f t="shared" si="0"/>
        <v>0</v>
      </c>
      <c r="D65" t="str">
        <f>IFERROR(VLOOKUP($B65, aegis!$B:$C, 2, FALSE), 0)</f>
        <v>24</v>
      </c>
      <c r="E65" t="str">
        <f>IFERROR(VLOOKUP($B65, duel!$B:$C, 2, FALSE), 0)</f>
        <v>24</v>
      </c>
      <c r="F65" t="str">
        <f>IFERROR(VLOOKUP($B65, blitz!$B:$C, 2, FALSE), 0)</f>
        <v>24</v>
      </c>
      <c r="G65" t="b">
        <f t="shared" si="1"/>
        <v>1</v>
      </c>
      <c r="H65" t="str">
        <f>IFERROR(VLOOKUP($B65, aegis!$G:$H, 2, FALSE), 0)</f>
        <v>14</v>
      </c>
      <c r="I65" t="str">
        <f>IFERROR(VLOOKUP($B65, duel!$G:$H, 2, FALSE), 0)</f>
        <v>14</v>
      </c>
      <c r="J65" t="str">
        <f>IFERROR(VLOOKUP($B65, blitz!$G:$H, 2, FALSE), 0)</f>
        <v>14</v>
      </c>
      <c r="K65" t="b">
        <f t="shared" si="2"/>
        <v>1</v>
      </c>
      <c r="L65" t="str">
        <f>IFERROR(VLOOKUP($B65, aegis!$L:$M, 2, FALSE), 0)</f>
        <v>24</v>
      </c>
      <c r="M65" t="str">
        <f>IFERROR(VLOOKUP($B65, duel!$L:$M, 2, FALSE), 0)</f>
        <v>24</v>
      </c>
      <c r="N65" t="str">
        <f>IFERROR(VLOOKUP($B65, blitz!$L:$M, 2, FALSE), 0)</f>
        <v>24</v>
      </c>
      <c r="O65" t="b">
        <f t="shared" si="3"/>
        <v>1</v>
      </c>
      <c r="P65" t="str">
        <f>IFERROR(VLOOKUP($B65, aegis!$Q:$R, 2, FALSE), 0)</f>
        <v>14</v>
      </c>
      <c r="Q65" t="str">
        <f>IFERROR(VLOOKUP($B65, duel!$Q:$R, 2, FALSE), 0)</f>
        <v>14</v>
      </c>
      <c r="R65" t="str">
        <f>IFERROR(VLOOKUP($B65, blitz!$Q:$R, 2, FALSE), 0)</f>
        <v>14</v>
      </c>
      <c r="S65" t="b">
        <f t="shared" si="4"/>
        <v>1</v>
      </c>
      <c r="T65">
        <f>IFERROR(VLOOKUP($B65, aegis!$V:$W, 2, FALSE), 0)</f>
        <v>0</v>
      </c>
      <c r="U65">
        <f>IFERROR(VLOOKUP($B65, duel!$V:$W, 2, FALSE), 0)</f>
        <v>0</v>
      </c>
      <c r="V65">
        <f>IFERROR(VLOOKUP($B65, blitz!$V:$W, 2, FALSE), 0)</f>
        <v>0</v>
      </c>
      <c r="W65" t="b">
        <f t="shared" si="5"/>
        <v>1</v>
      </c>
      <c r="X65" t="str">
        <f>IFERROR(VLOOKUP($B65, aegis!$AA:$AB, 2, FALSE), 0)</f>
        <v>2</v>
      </c>
      <c r="Y65" t="str">
        <f>IFERROR(VLOOKUP($B65, duel!$AA:$AB, 2, FALSE), 0)</f>
        <v>3</v>
      </c>
      <c r="Z65" t="str">
        <f>IFERROR(VLOOKUP($B65, blitz!$AA:$AB, 2, FALSE), 0)</f>
        <v>2</v>
      </c>
      <c r="AA65" t="b">
        <f t="shared" si="6"/>
        <v>0</v>
      </c>
      <c r="AB65">
        <f>IFERROR(VLOOKUP($B65, aegis!$AF:$AG, 2, FALSE), 0)</f>
        <v>0</v>
      </c>
      <c r="AC65">
        <f>IFERROR(VLOOKUP($B65, duel!$AF:$AG, 2, FALSE), 0)</f>
        <v>0</v>
      </c>
      <c r="AD65">
        <f>IFERROR(VLOOKUP($B65, blitz!$AF:$AG, 2, FALSE), 0)</f>
        <v>0</v>
      </c>
      <c r="AE65" t="b">
        <f t="shared" si="7"/>
        <v>1</v>
      </c>
      <c r="AF65" t="str">
        <f>IFERROR(VLOOKUP($B65, aegis!$AK:$AL, 2, FALSE), 0)</f>
        <v>1</v>
      </c>
      <c r="AG65" t="str">
        <f>IFERROR(VLOOKUP($B65, duel!$AK:$AL, 2, FALSE), 0)</f>
        <v>1</v>
      </c>
      <c r="AH65" t="str">
        <f>IFERROR(VLOOKUP($B65, blitz!$AK:$AL, 2, FALSE), 0)</f>
        <v>1</v>
      </c>
      <c r="AI65" t="b">
        <f t="shared" si="8"/>
        <v>1</v>
      </c>
      <c r="AJ65" t="str">
        <f>IFERROR(VLOOKUP($B65, aegis!$AP:$AQ, 2, FALSE), 0)</f>
        <v>1</v>
      </c>
      <c r="AK65" t="str">
        <f>IFERROR(VLOOKUP($B65, duel!$AP:$AQ, 2, FALSE), 0)</f>
        <v>1</v>
      </c>
      <c r="AL65" t="str">
        <f>IFERROR(VLOOKUP($B65, blitz!$AP:$AQ, 2, FALSE), 0)</f>
        <v>1</v>
      </c>
      <c r="AM65" t="b">
        <f t="shared" si="9"/>
        <v>1</v>
      </c>
      <c r="AN65">
        <f>IFERROR(VLOOKUP($B65, aegis!$AU:$AV, 2, FALSE), 0)</f>
        <v>0</v>
      </c>
      <c r="AO65">
        <f>IFERROR(VLOOKUP($B65, duel!$AU:$AV, 2, FALSE), 0)</f>
        <v>0</v>
      </c>
      <c r="AP65">
        <f>IFERROR(VLOOKUP($B65, blitz!$AU:$AV, 2, FALSE), 0)</f>
        <v>0</v>
      </c>
      <c r="AQ65" t="b">
        <f t="shared" si="10"/>
        <v>1</v>
      </c>
      <c r="AR65" t="str">
        <f>IFERROR(VLOOKUP($B65, aegis!$AZ:$BA, 2, FALSE), 0)</f>
        <v>2</v>
      </c>
      <c r="AS65" t="str">
        <f>IFERROR(VLOOKUP($B65, duel!$AZ:$BA, 2, FALSE), 0)</f>
        <v>2</v>
      </c>
      <c r="AT65" t="str">
        <f>IFERROR(VLOOKUP($B65, blitz!$AZ:$BA, 2, FALSE), 0)</f>
        <v>2</v>
      </c>
      <c r="AU65" t="b">
        <f t="shared" si="11"/>
        <v>1</v>
      </c>
      <c r="AV65" t="str">
        <f>IFERROR(VLOOKUP($B65, aegis!$BE:$BF, 2, FALSE), 0)</f>
        <v>1</v>
      </c>
      <c r="AW65" t="str">
        <f>IFERROR(VLOOKUP($B65, duel!$BE:$BF, 2, FALSE), 0)</f>
        <v>1</v>
      </c>
      <c r="AX65" t="str">
        <f>IFERROR(VLOOKUP($B65, blitz!$BE:$BF, 2, FALSE), 0)</f>
        <v>1</v>
      </c>
      <c r="AY65" t="b">
        <f t="shared" si="12"/>
        <v>1</v>
      </c>
      <c r="AZ65" t="str">
        <f>IFERROR(VLOOKUP($B65, aegis!$BJ:$BK, 2, FALSE), 0)</f>
        <v>1</v>
      </c>
      <c r="BA65" t="str">
        <f>IFERROR(VLOOKUP($B65, duel!$BJ:$BK, 2, FALSE), 0)</f>
        <v>1</v>
      </c>
      <c r="BB65" t="str">
        <f>IFERROR(VLOOKUP($B65, blitz!$BJ:$BK, 2, FALSE), 0)</f>
        <v>1</v>
      </c>
      <c r="BC65" t="b">
        <f t="shared" si="13"/>
        <v>1</v>
      </c>
      <c r="BD65">
        <f>IFERROR(VLOOKUP($B65, aegis!$BO:$BP, 2, FALSE), 0)</f>
        <v>0</v>
      </c>
      <c r="BE65">
        <f>IFERROR(VLOOKUP($B65, duel!$BO:$BP, 2, FALSE), 0)</f>
        <v>0</v>
      </c>
      <c r="BF65">
        <f>IFERROR(VLOOKUP($B65, blitz!$BO:$BP, 2, FALSE), 0)</f>
        <v>0</v>
      </c>
      <c r="BG65" t="b">
        <f t="shared" si="14"/>
        <v>1</v>
      </c>
      <c r="BH65">
        <f>IFERROR(VLOOKUP($B65, aegis!$BT:$BU, 2, FALSE), 0)</f>
        <v>0</v>
      </c>
      <c r="BI65">
        <f>IFERROR(VLOOKUP($B65, duel!$BT:$BU, 2, FALSE), 0)</f>
        <v>0</v>
      </c>
      <c r="BJ65">
        <f>IFERROR(VLOOKUP($B65, blitz!$BT:$BU, 2, FALSE), 0)</f>
        <v>0</v>
      </c>
      <c r="BK65" t="b">
        <f t="shared" si="15"/>
        <v>1</v>
      </c>
      <c r="BL65" t="str">
        <f>IFERROR(VLOOKUP($B65, aegis!$BY:$BZ, 2, FALSE), 0)</f>
        <v>1</v>
      </c>
      <c r="BM65" t="str">
        <f>IFERROR(VLOOKUP($B65, duel!$BY:$BZ, 2, FALSE), 0)</f>
        <v>1</v>
      </c>
      <c r="BN65" t="str">
        <f>IFERROR(VLOOKUP($B65, blitz!$BY:$BZ, 2, FALSE), 0)</f>
        <v>1</v>
      </c>
      <c r="BO65" t="b">
        <f t="shared" si="16"/>
        <v>1</v>
      </c>
      <c r="BP65" t="str">
        <f>IFERROR(VLOOKUP($B65, aegis!$CD:$CE, 2, FALSE), 0)</f>
        <v>1</v>
      </c>
      <c r="BQ65" t="str">
        <f>IFERROR(VLOOKUP($B65, duel!$CD:$CE, 2, FALSE), 0)</f>
        <v>1</v>
      </c>
      <c r="BR65" t="str">
        <f>IFERROR(VLOOKUP($B65, blitz!$CD:$CE, 2, FALSE), 0)</f>
        <v>1</v>
      </c>
      <c r="BS65" t="b">
        <f t="shared" si="17"/>
        <v>1</v>
      </c>
      <c r="BT65">
        <f>IFERROR(VLOOKUP($B65, aegis!$CI:$CJ, 2, FALSE), 0)</f>
        <v>0</v>
      </c>
      <c r="BU65">
        <f>IFERROR(VLOOKUP($B65, duel!$CI:$CJ, 2, FALSE), 0)</f>
        <v>0</v>
      </c>
      <c r="BV65">
        <f>IFERROR(VLOOKUP($B65, blitz!$CI:$CJ, 2, FALSE), 0)</f>
        <v>0</v>
      </c>
      <c r="BW65" t="b">
        <f t="shared" si="18"/>
        <v>1</v>
      </c>
      <c r="BX65">
        <f>IFERROR(VLOOKUP($B65, aegis!$CN:$CO, 2, FALSE), 0)</f>
        <v>0</v>
      </c>
      <c r="BY65">
        <f>IFERROR(VLOOKUP($B65, duel!$CN:$CO, 2, FALSE), 0)</f>
        <v>0</v>
      </c>
      <c r="BZ65">
        <f>IFERROR(VLOOKUP($B65, blitz!$CN:$CO, 2, FALSE), 0)</f>
        <v>0</v>
      </c>
      <c r="CA65" t="b">
        <f t="shared" si="19"/>
        <v>1</v>
      </c>
      <c r="CB65">
        <f>IFERROR(VLOOKUP($B65, aegis!$CS:$CT, 2, FALSE), 0)</f>
        <v>0</v>
      </c>
      <c r="CC65">
        <f>IFERROR(VLOOKUP($B65, duel!$CS:$CT, 2, FALSE), 0)</f>
        <v>0</v>
      </c>
      <c r="CD65">
        <f>IFERROR(VLOOKUP($B65, blitz!$CS:$CT, 2, FALSE), 0)</f>
        <v>0</v>
      </c>
      <c r="CE65" t="b">
        <f t="shared" si="20"/>
        <v>1</v>
      </c>
      <c r="CF65">
        <f>IFERROR(VLOOKUP($B65, aegis!$CX:$CY, 2, FALSE), 0)</f>
        <v>0</v>
      </c>
      <c r="CG65">
        <f>IFERROR(VLOOKUP($B65, duel!$CX:$CY, 2, FALSE), 0)</f>
        <v>0</v>
      </c>
      <c r="CH65">
        <f>IFERROR(VLOOKUP($B65, blitz!$CX:$CY, 2, FALSE), 0)</f>
        <v>0</v>
      </c>
      <c r="CI65" t="b">
        <f t="shared" si="21"/>
        <v>1</v>
      </c>
      <c r="CJ65">
        <f>IFERROR(VLOOKUP($B65, aegis!$DC:$DD, 2, FALSE), 0)</f>
        <v>0</v>
      </c>
      <c r="CK65">
        <f>IFERROR(VLOOKUP($B65, duel!$DC:$DD, 2, FALSE), 0)</f>
        <v>0</v>
      </c>
      <c r="CL65">
        <f>IFERROR(VLOOKUP($B65, blitz!$DC:$DD, 2, FALSE), 0)</f>
        <v>0</v>
      </c>
      <c r="CM65" t="b">
        <f t="shared" si="22"/>
        <v>1</v>
      </c>
      <c r="CN65" t="str">
        <f>IFERROR(VLOOKUP($B65, aegis!$DH:$DI, 2, FALSE), 0)</f>
        <v>1</v>
      </c>
      <c r="CO65" t="str">
        <f>IFERROR(VLOOKUP($B65, duel!$DH:$DI, 2, FALSE), 0)</f>
        <v>1</v>
      </c>
      <c r="CP65" s="13">
        <f>IFERROR(VLOOKUP($B65, blitz!$DH:$DI, 2, FALSE), 0)</f>
        <v>0</v>
      </c>
      <c r="CQ65" t="b">
        <f t="shared" si="23"/>
        <v>1</v>
      </c>
      <c r="CR65" t="str">
        <f>IFERROR(VLOOKUP($B65, aegis!$DM:$DN, 2, FALSE), 0)</f>
        <v>1</v>
      </c>
      <c r="CS65" t="str">
        <f>IFERROR(VLOOKUP($B65, duel!$DM:$DN, 2, FALSE), 0)</f>
        <v>1</v>
      </c>
      <c r="CT65" t="str">
        <f>IFERROR(VLOOKUP($B65, blitz!$DM:$DN, 2, FALSE), 0)</f>
        <v>1</v>
      </c>
      <c r="CU65" t="b">
        <f t="shared" si="24"/>
        <v>1</v>
      </c>
      <c r="CV65">
        <f>IFERROR(VLOOKUP($B65, aegis!$DR:$DS, 2, FALSE), 0)</f>
        <v>0</v>
      </c>
      <c r="CW65">
        <f>IFERROR(VLOOKUP($B65, duel!$DR:$DS, 2, FALSE), 0)</f>
        <v>0</v>
      </c>
      <c r="CX65">
        <f>IFERROR(VLOOKUP($B65, blitz!$DR:$DS, 2, FALSE), 0)</f>
        <v>0</v>
      </c>
      <c r="CY65" t="b">
        <f t="shared" si="25"/>
        <v>1</v>
      </c>
    </row>
    <row r="66" spans="1:103">
      <c r="B66" s="6" t="s">
        <v>123</v>
      </c>
      <c r="C66" s="5" t="b">
        <f t="shared" si="0"/>
        <v>0</v>
      </c>
      <c r="D66" t="str">
        <f>IFERROR(VLOOKUP($B66, aegis!$B:$C, 2, FALSE), 0)</f>
        <v>24</v>
      </c>
      <c r="E66" t="str">
        <f>IFERROR(VLOOKUP($B66, duel!$B:$C, 2, FALSE), 0)</f>
        <v>24</v>
      </c>
      <c r="F66" t="str">
        <f>IFERROR(VLOOKUP($B66, blitz!$B:$C, 2, FALSE), 0)</f>
        <v>24</v>
      </c>
      <c r="G66" t="b">
        <f t="shared" si="1"/>
        <v>1</v>
      </c>
      <c r="H66" t="str">
        <f>IFERROR(VLOOKUP($B66, aegis!$G:$H, 2, FALSE), 0)</f>
        <v>14</v>
      </c>
      <c r="I66" t="str">
        <f>IFERROR(VLOOKUP($B66, duel!$G:$H, 2, FALSE), 0)</f>
        <v>14</v>
      </c>
      <c r="J66" t="str">
        <f>IFERROR(VLOOKUP($B66, blitz!$G:$H, 2, FALSE), 0)</f>
        <v>14</v>
      </c>
      <c r="K66" t="b">
        <f t="shared" si="2"/>
        <v>1</v>
      </c>
      <c r="L66" t="str">
        <f>IFERROR(VLOOKUP($B66, aegis!$L:$M, 2, FALSE), 0)</f>
        <v>24</v>
      </c>
      <c r="M66" t="str">
        <f>IFERROR(VLOOKUP($B66, duel!$L:$M, 2, FALSE), 0)</f>
        <v>24</v>
      </c>
      <c r="N66" t="str">
        <f>IFERROR(VLOOKUP($B66, blitz!$L:$M, 2, FALSE), 0)</f>
        <v>24</v>
      </c>
      <c r="O66" t="b">
        <f t="shared" si="3"/>
        <v>1</v>
      </c>
      <c r="P66" t="str">
        <f>IFERROR(VLOOKUP($B66, aegis!$Q:$R, 2, FALSE), 0)</f>
        <v>14</v>
      </c>
      <c r="Q66" t="str">
        <f>IFERROR(VLOOKUP($B66, duel!$Q:$R, 2, FALSE), 0)</f>
        <v>14</v>
      </c>
      <c r="R66" t="str">
        <f>IFERROR(VLOOKUP($B66, blitz!$Q:$R, 2, FALSE), 0)</f>
        <v>14</v>
      </c>
      <c r="S66" t="b">
        <f t="shared" si="4"/>
        <v>1</v>
      </c>
      <c r="T66">
        <f>IFERROR(VLOOKUP($B66, aegis!$V:$W, 2, FALSE), 0)</f>
        <v>0</v>
      </c>
      <c r="U66">
        <f>IFERROR(VLOOKUP($B66, duel!$V:$W, 2, FALSE), 0)</f>
        <v>0</v>
      </c>
      <c r="V66">
        <f>IFERROR(VLOOKUP($B66, blitz!$V:$W, 2, FALSE), 0)</f>
        <v>0</v>
      </c>
      <c r="W66" t="b">
        <f t="shared" si="5"/>
        <v>1</v>
      </c>
      <c r="X66" t="str">
        <f>IFERROR(VLOOKUP($B66, aegis!$AA:$AB, 2, FALSE), 0)</f>
        <v>2</v>
      </c>
      <c r="Y66" t="str">
        <f>IFERROR(VLOOKUP($B66, duel!$AA:$AB, 2, FALSE), 0)</f>
        <v>3</v>
      </c>
      <c r="Z66" t="str">
        <f>IFERROR(VLOOKUP($B66, blitz!$AA:$AB, 2, FALSE), 0)</f>
        <v>2</v>
      </c>
      <c r="AA66" t="b">
        <f t="shared" si="6"/>
        <v>0</v>
      </c>
      <c r="AB66">
        <f>IFERROR(VLOOKUP($B66, aegis!$AF:$AG, 2, FALSE), 0)</f>
        <v>0</v>
      </c>
      <c r="AC66">
        <f>IFERROR(VLOOKUP($B66, duel!$AF:$AG, 2, FALSE), 0)</f>
        <v>0</v>
      </c>
      <c r="AD66">
        <f>IFERROR(VLOOKUP($B66, blitz!$AF:$AG, 2, FALSE), 0)</f>
        <v>0</v>
      </c>
      <c r="AE66" t="b">
        <f t="shared" si="7"/>
        <v>1</v>
      </c>
      <c r="AF66" t="str">
        <f>IFERROR(VLOOKUP($B66, aegis!$AK:$AL, 2, FALSE), 0)</f>
        <v>1</v>
      </c>
      <c r="AG66" t="str">
        <f>IFERROR(VLOOKUP($B66, duel!$AK:$AL, 2, FALSE), 0)</f>
        <v>1</v>
      </c>
      <c r="AH66" t="str">
        <f>IFERROR(VLOOKUP($B66, blitz!$AK:$AL, 2, FALSE), 0)</f>
        <v>1</v>
      </c>
      <c r="AI66" t="b">
        <f t="shared" si="8"/>
        <v>1</v>
      </c>
      <c r="AJ66" t="str">
        <f>IFERROR(VLOOKUP($B66, aegis!$AP:$AQ, 2, FALSE), 0)</f>
        <v>1</v>
      </c>
      <c r="AK66" t="str">
        <f>IFERROR(VLOOKUP($B66, duel!$AP:$AQ, 2, FALSE), 0)</f>
        <v>1</v>
      </c>
      <c r="AL66" t="str">
        <f>IFERROR(VLOOKUP($B66, blitz!$AP:$AQ, 2, FALSE), 0)</f>
        <v>1</v>
      </c>
      <c r="AM66" t="b">
        <f t="shared" si="9"/>
        <v>1</v>
      </c>
      <c r="AN66">
        <f>IFERROR(VLOOKUP($B66, aegis!$AU:$AV, 2, FALSE), 0)</f>
        <v>0</v>
      </c>
      <c r="AO66">
        <f>IFERROR(VLOOKUP($B66, duel!$AU:$AV, 2, FALSE), 0)</f>
        <v>0</v>
      </c>
      <c r="AP66">
        <f>IFERROR(VLOOKUP($B66, blitz!$AU:$AV, 2, FALSE), 0)</f>
        <v>0</v>
      </c>
      <c r="AQ66" t="b">
        <f t="shared" si="10"/>
        <v>1</v>
      </c>
      <c r="AR66" t="str">
        <f>IFERROR(VLOOKUP($B66, aegis!$AZ:$BA, 2, FALSE), 0)</f>
        <v>2</v>
      </c>
      <c r="AS66" t="str">
        <f>IFERROR(VLOOKUP($B66, duel!$AZ:$BA, 2, FALSE), 0)</f>
        <v>2</v>
      </c>
      <c r="AT66" t="str">
        <f>IFERROR(VLOOKUP($B66, blitz!$AZ:$BA, 2, FALSE), 0)</f>
        <v>2</v>
      </c>
      <c r="AU66" t="b">
        <f t="shared" si="11"/>
        <v>1</v>
      </c>
      <c r="AV66" t="str">
        <f>IFERROR(VLOOKUP($B66, aegis!$BE:$BF, 2, FALSE), 0)</f>
        <v>1</v>
      </c>
      <c r="AW66" t="str">
        <f>IFERROR(VLOOKUP($B66, duel!$BE:$BF, 2, FALSE), 0)</f>
        <v>1</v>
      </c>
      <c r="AX66" t="str">
        <f>IFERROR(VLOOKUP($B66, blitz!$BE:$BF, 2, FALSE), 0)</f>
        <v>1</v>
      </c>
      <c r="AY66" t="b">
        <f t="shared" si="12"/>
        <v>1</v>
      </c>
      <c r="AZ66" t="str">
        <f>IFERROR(VLOOKUP($B66, aegis!$BJ:$BK, 2, FALSE), 0)</f>
        <v>1</v>
      </c>
      <c r="BA66" t="str">
        <f>IFERROR(VLOOKUP($B66, duel!$BJ:$BK, 2, FALSE), 0)</f>
        <v>1</v>
      </c>
      <c r="BB66" t="str">
        <f>IFERROR(VLOOKUP($B66, blitz!$BJ:$BK, 2, FALSE), 0)</f>
        <v>1</v>
      </c>
      <c r="BC66" t="b">
        <f t="shared" si="13"/>
        <v>1</v>
      </c>
      <c r="BD66">
        <f>IFERROR(VLOOKUP($B66, aegis!$BO:$BP, 2, FALSE), 0)</f>
        <v>0</v>
      </c>
      <c r="BE66">
        <f>IFERROR(VLOOKUP($B66, duel!$BO:$BP, 2, FALSE), 0)</f>
        <v>0</v>
      </c>
      <c r="BF66">
        <f>IFERROR(VLOOKUP($B66, blitz!$BO:$BP, 2, FALSE), 0)</f>
        <v>0</v>
      </c>
      <c r="BG66" t="b">
        <f t="shared" si="14"/>
        <v>1</v>
      </c>
      <c r="BH66">
        <f>IFERROR(VLOOKUP($B66, aegis!$BT:$BU, 2, FALSE), 0)</f>
        <v>0</v>
      </c>
      <c r="BI66">
        <f>IFERROR(VLOOKUP($B66, duel!$BT:$BU, 2, FALSE), 0)</f>
        <v>0</v>
      </c>
      <c r="BJ66">
        <f>IFERROR(VLOOKUP($B66, blitz!$BT:$BU, 2, FALSE), 0)</f>
        <v>0</v>
      </c>
      <c r="BK66" t="b">
        <f t="shared" si="15"/>
        <v>1</v>
      </c>
      <c r="BL66" t="str">
        <f>IFERROR(VLOOKUP($B66, aegis!$BY:$BZ, 2, FALSE), 0)</f>
        <v>1</v>
      </c>
      <c r="BM66" t="str">
        <f>IFERROR(VLOOKUP($B66, duel!$BY:$BZ, 2, FALSE), 0)</f>
        <v>1</v>
      </c>
      <c r="BN66" t="str">
        <f>IFERROR(VLOOKUP($B66, blitz!$BY:$BZ, 2, FALSE), 0)</f>
        <v>1</v>
      </c>
      <c r="BO66" t="b">
        <f t="shared" si="16"/>
        <v>1</v>
      </c>
      <c r="BP66" t="str">
        <f>IFERROR(VLOOKUP($B66, aegis!$CD:$CE, 2, FALSE), 0)</f>
        <v>1</v>
      </c>
      <c r="BQ66" t="str">
        <f>IFERROR(VLOOKUP($B66, duel!$CD:$CE, 2, FALSE), 0)</f>
        <v>1</v>
      </c>
      <c r="BR66" t="str">
        <f>IFERROR(VLOOKUP($B66, blitz!$CD:$CE, 2, FALSE), 0)</f>
        <v>1</v>
      </c>
      <c r="BS66" t="b">
        <f t="shared" si="17"/>
        <v>1</v>
      </c>
      <c r="BT66">
        <f>IFERROR(VLOOKUP($B66, aegis!$CI:$CJ, 2, FALSE), 0)</f>
        <v>0</v>
      </c>
      <c r="BU66">
        <f>IFERROR(VLOOKUP($B66, duel!$CI:$CJ, 2, FALSE), 0)</f>
        <v>0</v>
      </c>
      <c r="BV66">
        <f>IFERROR(VLOOKUP($B66, blitz!$CI:$CJ, 2, FALSE), 0)</f>
        <v>0</v>
      </c>
      <c r="BW66" t="b">
        <f t="shared" si="18"/>
        <v>1</v>
      </c>
      <c r="BX66">
        <f>IFERROR(VLOOKUP($B66, aegis!$CN:$CO, 2, FALSE), 0)</f>
        <v>0</v>
      </c>
      <c r="BY66">
        <f>IFERROR(VLOOKUP($B66, duel!$CN:$CO, 2, FALSE), 0)</f>
        <v>0</v>
      </c>
      <c r="BZ66">
        <f>IFERROR(VLOOKUP($B66, blitz!$CN:$CO, 2, FALSE), 0)</f>
        <v>0</v>
      </c>
      <c r="CA66" t="b">
        <f t="shared" si="19"/>
        <v>1</v>
      </c>
      <c r="CB66">
        <f>IFERROR(VLOOKUP($B66, aegis!$CS:$CT, 2, FALSE), 0)</f>
        <v>0</v>
      </c>
      <c r="CC66">
        <f>IFERROR(VLOOKUP($B66, duel!$CS:$CT, 2, FALSE), 0)</f>
        <v>0</v>
      </c>
      <c r="CD66">
        <f>IFERROR(VLOOKUP($B66, blitz!$CS:$CT, 2, FALSE), 0)</f>
        <v>0</v>
      </c>
      <c r="CE66" t="b">
        <f t="shared" si="20"/>
        <v>1</v>
      </c>
      <c r="CF66">
        <f>IFERROR(VLOOKUP($B66, aegis!$CX:$CY, 2, FALSE), 0)</f>
        <v>0</v>
      </c>
      <c r="CG66">
        <f>IFERROR(VLOOKUP($B66, duel!$CX:$CY, 2, FALSE), 0)</f>
        <v>0</v>
      </c>
      <c r="CH66">
        <f>IFERROR(VLOOKUP($B66, blitz!$CX:$CY, 2, FALSE), 0)</f>
        <v>0</v>
      </c>
      <c r="CI66" t="b">
        <f t="shared" si="21"/>
        <v>1</v>
      </c>
      <c r="CJ66">
        <f>IFERROR(VLOOKUP($B66, aegis!$DC:$DD, 2, FALSE), 0)</f>
        <v>0</v>
      </c>
      <c r="CK66">
        <f>IFERROR(VLOOKUP($B66, duel!$DC:$DD, 2, FALSE), 0)</f>
        <v>0</v>
      </c>
      <c r="CL66">
        <f>IFERROR(VLOOKUP($B66, blitz!$DC:$DD, 2, FALSE), 0)</f>
        <v>0</v>
      </c>
      <c r="CM66" t="b">
        <f t="shared" si="22"/>
        <v>1</v>
      </c>
      <c r="CN66" t="str">
        <f>IFERROR(VLOOKUP($B66, aegis!$DH:$DI, 2, FALSE), 0)</f>
        <v>1</v>
      </c>
      <c r="CO66" t="str">
        <f>IFERROR(VLOOKUP($B66, duel!$DH:$DI, 2, FALSE), 0)</f>
        <v>1</v>
      </c>
      <c r="CP66" s="13">
        <f>IFERROR(VLOOKUP($B66, blitz!$DH:$DI, 2, FALSE), 0)</f>
        <v>0</v>
      </c>
      <c r="CQ66" t="b">
        <f t="shared" si="23"/>
        <v>1</v>
      </c>
      <c r="CR66" t="str">
        <f>IFERROR(VLOOKUP($B66, aegis!$DM:$DN, 2, FALSE), 0)</f>
        <v>1</v>
      </c>
      <c r="CS66" t="str">
        <f>IFERROR(VLOOKUP($B66, duel!$DM:$DN, 2, FALSE), 0)</f>
        <v>1</v>
      </c>
      <c r="CT66" t="str">
        <f>IFERROR(VLOOKUP($B66, blitz!$DM:$DN, 2, FALSE), 0)</f>
        <v>1</v>
      </c>
      <c r="CU66" t="b">
        <f t="shared" si="24"/>
        <v>1</v>
      </c>
      <c r="CV66">
        <f>IFERROR(VLOOKUP($B66, aegis!$DR:$DS, 2, FALSE), 0)</f>
        <v>0</v>
      </c>
      <c r="CW66">
        <f>IFERROR(VLOOKUP($B66, duel!$DR:$DS, 2, FALSE), 0)</f>
        <v>0</v>
      </c>
      <c r="CX66">
        <f>IFERROR(VLOOKUP($B66, blitz!$DR:$DS, 2, FALSE), 0)</f>
        <v>0</v>
      </c>
      <c r="CY66" t="b">
        <f t="shared" si="25"/>
        <v>1</v>
      </c>
    </row>
    <row r="67" spans="1:103">
      <c r="B67" s="6" t="s">
        <v>124</v>
      </c>
      <c r="C67" s="5" t="b">
        <f t="shared" si="0"/>
        <v>0</v>
      </c>
      <c r="D67" t="str">
        <f>IFERROR(VLOOKUP($B67, aegis!$B:$C, 2, FALSE), 0)</f>
        <v>24</v>
      </c>
      <c r="E67" t="str">
        <f>IFERROR(VLOOKUP($B67, duel!$B:$C, 2, FALSE), 0)</f>
        <v>24</v>
      </c>
      <c r="F67" t="str">
        <f>IFERROR(VLOOKUP($B67, blitz!$B:$C, 2, FALSE), 0)</f>
        <v>24</v>
      </c>
      <c r="G67" t="b">
        <f t="shared" si="1"/>
        <v>1</v>
      </c>
      <c r="H67" t="str">
        <f>IFERROR(VLOOKUP($B67, aegis!$G:$H, 2, FALSE), 0)</f>
        <v>14</v>
      </c>
      <c r="I67" t="str">
        <f>IFERROR(VLOOKUP($B67, duel!$G:$H, 2, FALSE), 0)</f>
        <v>14</v>
      </c>
      <c r="J67" t="str">
        <f>IFERROR(VLOOKUP($B67, blitz!$G:$H, 2, FALSE), 0)</f>
        <v>14</v>
      </c>
      <c r="K67" t="b">
        <f t="shared" si="2"/>
        <v>1</v>
      </c>
      <c r="L67" t="str">
        <f>IFERROR(VLOOKUP($B67, aegis!$L:$M, 2, FALSE), 0)</f>
        <v>24</v>
      </c>
      <c r="M67" t="str">
        <f>IFERROR(VLOOKUP($B67, duel!$L:$M, 2, FALSE), 0)</f>
        <v>24</v>
      </c>
      <c r="N67" t="str">
        <f>IFERROR(VLOOKUP($B67, blitz!$L:$M, 2, FALSE), 0)</f>
        <v>24</v>
      </c>
      <c r="O67" t="b">
        <f t="shared" si="3"/>
        <v>1</v>
      </c>
      <c r="P67" t="str">
        <f>IFERROR(VLOOKUP($B67, aegis!$Q:$R, 2, FALSE), 0)</f>
        <v>14</v>
      </c>
      <c r="Q67" t="str">
        <f>IFERROR(VLOOKUP($B67, duel!$Q:$R, 2, FALSE), 0)</f>
        <v>14</v>
      </c>
      <c r="R67" t="str">
        <f>IFERROR(VLOOKUP($B67, blitz!$Q:$R, 2, FALSE), 0)</f>
        <v>14</v>
      </c>
      <c r="S67" t="b">
        <f t="shared" si="4"/>
        <v>1</v>
      </c>
      <c r="T67">
        <f>IFERROR(VLOOKUP($B67, aegis!$V:$W, 2, FALSE), 0)</f>
        <v>0</v>
      </c>
      <c r="U67">
        <f>IFERROR(VLOOKUP($B67, duel!$V:$W, 2, FALSE), 0)</f>
        <v>0</v>
      </c>
      <c r="V67">
        <f>IFERROR(VLOOKUP($B67, blitz!$V:$W, 2, FALSE), 0)</f>
        <v>0</v>
      </c>
      <c r="W67" t="b">
        <f t="shared" si="5"/>
        <v>1</v>
      </c>
      <c r="X67" t="str">
        <f>IFERROR(VLOOKUP($B67, aegis!$AA:$AB, 2, FALSE), 0)</f>
        <v>2</v>
      </c>
      <c r="Y67" t="str">
        <f>IFERROR(VLOOKUP($B67, duel!$AA:$AB, 2, FALSE), 0)</f>
        <v>3</v>
      </c>
      <c r="Z67" t="str">
        <f>IFERROR(VLOOKUP($B67, blitz!$AA:$AB, 2, FALSE), 0)</f>
        <v>2</v>
      </c>
      <c r="AA67" t="b">
        <f t="shared" si="6"/>
        <v>0</v>
      </c>
      <c r="AB67">
        <f>IFERROR(VLOOKUP($B67, aegis!$AF:$AG, 2, FALSE), 0)</f>
        <v>0</v>
      </c>
      <c r="AC67">
        <f>IFERROR(VLOOKUP($B67, duel!$AF:$AG, 2, FALSE), 0)</f>
        <v>0</v>
      </c>
      <c r="AD67">
        <f>IFERROR(VLOOKUP($B67, blitz!$AF:$AG, 2, FALSE), 0)</f>
        <v>0</v>
      </c>
      <c r="AE67" t="b">
        <f t="shared" si="7"/>
        <v>1</v>
      </c>
      <c r="AF67" t="str">
        <f>IFERROR(VLOOKUP($B67, aegis!$AK:$AL, 2, FALSE), 0)</f>
        <v>1</v>
      </c>
      <c r="AG67" t="str">
        <f>IFERROR(VLOOKUP($B67, duel!$AK:$AL, 2, FALSE), 0)</f>
        <v>1</v>
      </c>
      <c r="AH67" t="str">
        <f>IFERROR(VLOOKUP($B67, blitz!$AK:$AL, 2, FALSE), 0)</f>
        <v>1</v>
      </c>
      <c r="AI67" t="b">
        <f t="shared" si="8"/>
        <v>1</v>
      </c>
      <c r="AJ67" t="str">
        <f>IFERROR(VLOOKUP($B67, aegis!$AP:$AQ, 2, FALSE), 0)</f>
        <v>1</v>
      </c>
      <c r="AK67" t="str">
        <f>IFERROR(VLOOKUP($B67, duel!$AP:$AQ, 2, FALSE), 0)</f>
        <v>1</v>
      </c>
      <c r="AL67" t="str">
        <f>IFERROR(VLOOKUP($B67, blitz!$AP:$AQ, 2, FALSE), 0)</f>
        <v>1</v>
      </c>
      <c r="AM67" t="b">
        <f t="shared" si="9"/>
        <v>1</v>
      </c>
      <c r="AN67">
        <f>IFERROR(VLOOKUP($B67, aegis!$AU:$AV, 2, FALSE), 0)</f>
        <v>0</v>
      </c>
      <c r="AO67">
        <f>IFERROR(VLOOKUP($B67, duel!$AU:$AV, 2, FALSE), 0)</f>
        <v>0</v>
      </c>
      <c r="AP67">
        <f>IFERROR(VLOOKUP($B67, blitz!$AU:$AV, 2, FALSE), 0)</f>
        <v>0</v>
      </c>
      <c r="AQ67" t="b">
        <f t="shared" si="10"/>
        <v>1</v>
      </c>
      <c r="AR67" t="str">
        <f>IFERROR(VLOOKUP($B67, aegis!$AZ:$BA, 2, FALSE), 0)</f>
        <v>2</v>
      </c>
      <c r="AS67" t="str">
        <f>IFERROR(VLOOKUP($B67, duel!$AZ:$BA, 2, FALSE), 0)</f>
        <v>2</v>
      </c>
      <c r="AT67" t="str">
        <f>IFERROR(VLOOKUP($B67, blitz!$AZ:$BA, 2, FALSE), 0)</f>
        <v>2</v>
      </c>
      <c r="AU67" t="b">
        <f t="shared" si="11"/>
        <v>1</v>
      </c>
      <c r="AV67" t="str">
        <f>IFERROR(VLOOKUP($B67, aegis!$BE:$BF, 2, FALSE), 0)</f>
        <v>1</v>
      </c>
      <c r="AW67" t="str">
        <f>IFERROR(VLOOKUP($B67, duel!$BE:$BF, 2, FALSE), 0)</f>
        <v>1</v>
      </c>
      <c r="AX67" t="str">
        <f>IFERROR(VLOOKUP($B67, blitz!$BE:$BF, 2, FALSE), 0)</f>
        <v>1</v>
      </c>
      <c r="AY67" t="b">
        <f t="shared" si="12"/>
        <v>1</v>
      </c>
      <c r="AZ67" t="str">
        <f>IFERROR(VLOOKUP($B67, aegis!$BJ:$BK, 2, FALSE), 0)</f>
        <v>1</v>
      </c>
      <c r="BA67" t="str">
        <f>IFERROR(VLOOKUP($B67, duel!$BJ:$BK, 2, FALSE), 0)</f>
        <v>1</v>
      </c>
      <c r="BB67" t="str">
        <f>IFERROR(VLOOKUP($B67, blitz!$BJ:$BK, 2, FALSE), 0)</f>
        <v>1</v>
      </c>
      <c r="BC67" t="b">
        <f t="shared" si="13"/>
        <v>1</v>
      </c>
      <c r="BD67">
        <f>IFERROR(VLOOKUP($B67, aegis!$BO:$BP, 2, FALSE), 0)</f>
        <v>0</v>
      </c>
      <c r="BE67">
        <f>IFERROR(VLOOKUP($B67, duel!$BO:$BP, 2, FALSE), 0)</f>
        <v>0</v>
      </c>
      <c r="BF67">
        <f>IFERROR(VLOOKUP($B67, blitz!$BO:$BP, 2, FALSE), 0)</f>
        <v>0</v>
      </c>
      <c r="BG67" t="b">
        <f t="shared" si="14"/>
        <v>1</v>
      </c>
      <c r="BH67">
        <f>IFERROR(VLOOKUP($B67, aegis!$BT:$BU, 2, FALSE), 0)</f>
        <v>0</v>
      </c>
      <c r="BI67">
        <f>IFERROR(VLOOKUP($B67, duel!$BT:$BU, 2, FALSE), 0)</f>
        <v>0</v>
      </c>
      <c r="BJ67">
        <f>IFERROR(VLOOKUP($B67, blitz!$BT:$BU, 2, FALSE), 0)</f>
        <v>0</v>
      </c>
      <c r="BK67" t="b">
        <f t="shared" si="15"/>
        <v>1</v>
      </c>
      <c r="BL67" t="str">
        <f>IFERROR(VLOOKUP($B67, aegis!$BY:$BZ, 2, FALSE), 0)</f>
        <v>1</v>
      </c>
      <c r="BM67" t="str">
        <f>IFERROR(VLOOKUP($B67, duel!$BY:$BZ, 2, FALSE), 0)</f>
        <v>1</v>
      </c>
      <c r="BN67" t="str">
        <f>IFERROR(VLOOKUP($B67, blitz!$BY:$BZ, 2, FALSE), 0)</f>
        <v>1</v>
      </c>
      <c r="BO67" t="b">
        <f t="shared" si="16"/>
        <v>1</v>
      </c>
      <c r="BP67" t="str">
        <f>IFERROR(VLOOKUP($B67, aegis!$CD:$CE, 2, FALSE), 0)</f>
        <v>1</v>
      </c>
      <c r="BQ67" t="str">
        <f>IFERROR(VLOOKUP($B67, duel!$CD:$CE, 2, FALSE), 0)</f>
        <v>1</v>
      </c>
      <c r="BR67" t="str">
        <f>IFERROR(VLOOKUP($B67, blitz!$CD:$CE, 2, FALSE), 0)</f>
        <v>1</v>
      </c>
      <c r="BS67" t="b">
        <f t="shared" si="17"/>
        <v>1</v>
      </c>
      <c r="BT67">
        <f>IFERROR(VLOOKUP($B67, aegis!$CI:$CJ, 2, FALSE), 0)</f>
        <v>0</v>
      </c>
      <c r="BU67">
        <f>IFERROR(VLOOKUP($B67, duel!$CI:$CJ, 2, FALSE), 0)</f>
        <v>0</v>
      </c>
      <c r="BV67">
        <f>IFERROR(VLOOKUP($B67, blitz!$CI:$CJ, 2, FALSE), 0)</f>
        <v>0</v>
      </c>
      <c r="BW67" t="b">
        <f t="shared" si="18"/>
        <v>1</v>
      </c>
      <c r="BX67">
        <f>IFERROR(VLOOKUP($B67, aegis!$CN:$CO, 2, FALSE), 0)</f>
        <v>0</v>
      </c>
      <c r="BY67">
        <f>IFERROR(VLOOKUP($B67, duel!$CN:$CO, 2, FALSE), 0)</f>
        <v>0</v>
      </c>
      <c r="BZ67">
        <f>IFERROR(VLOOKUP($B67, blitz!$CN:$CO, 2, FALSE), 0)</f>
        <v>0</v>
      </c>
      <c r="CA67" t="b">
        <f t="shared" si="19"/>
        <v>1</v>
      </c>
      <c r="CB67">
        <f>IFERROR(VLOOKUP($B67, aegis!$CS:$CT, 2, FALSE), 0)</f>
        <v>0</v>
      </c>
      <c r="CC67">
        <f>IFERROR(VLOOKUP($B67, duel!$CS:$CT, 2, FALSE), 0)</f>
        <v>0</v>
      </c>
      <c r="CD67">
        <f>IFERROR(VLOOKUP($B67, blitz!$CS:$CT, 2, FALSE), 0)</f>
        <v>0</v>
      </c>
      <c r="CE67" t="b">
        <f t="shared" si="20"/>
        <v>1</v>
      </c>
      <c r="CF67">
        <f>IFERROR(VLOOKUP($B67, aegis!$CX:$CY, 2, FALSE), 0)</f>
        <v>0</v>
      </c>
      <c r="CG67">
        <f>IFERROR(VLOOKUP($B67, duel!$CX:$CY, 2, FALSE), 0)</f>
        <v>0</v>
      </c>
      <c r="CH67">
        <f>IFERROR(VLOOKUP($B67, blitz!$CX:$CY, 2, FALSE), 0)</f>
        <v>0</v>
      </c>
      <c r="CI67" t="b">
        <f t="shared" si="21"/>
        <v>1</v>
      </c>
      <c r="CJ67">
        <f>IFERROR(VLOOKUP($B67, aegis!$DC:$DD, 2, FALSE), 0)</f>
        <v>0</v>
      </c>
      <c r="CK67">
        <f>IFERROR(VLOOKUP($B67, duel!$DC:$DD, 2, FALSE), 0)</f>
        <v>0</v>
      </c>
      <c r="CL67">
        <f>IFERROR(VLOOKUP($B67, blitz!$DC:$DD, 2, FALSE), 0)</f>
        <v>0</v>
      </c>
      <c r="CM67" t="b">
        <f t="shared" si="22"/>
        <v>1</v>
      </c>
      <c r="CN67" t="str">
        <f>IFERROR(VLOOKUP($B67, aegis!$DH:$DI, 2, FALSE), 0)</f>
        <v>1</v>
      </c>
      <c r="CO67" t="str">
        <f>IFERROR(VLOOKUP($B67, duel!$DH:$DI, 2, FALSE), 0)</f>
        <v>1</v>
      </c>
      <c r="CP67" s="13">
        <f>IFERROR(VLOOKUP($B67, blitz!$DH:$DI, 2, FALSE), 0)</f>
        <v>0</v>
      </c>
      <c r="CQ67" t="b">
        <f t="shared" si="23"/>
        <v>1</v>
      </c>
      <c r="CR67" t="str">
        <f>IFERROR(VLOOKUP($B67, aegis!$DM:$DN, 2, FALSE), 0)</f>
        <v>1</v>
      </c>
      <c r="CS67" t="str">
        <f>IFERROR(VLOOKUP($B67, duel!$DM:$DN, 2, FALSE), 0)</f>
        <v>1</v>
      </c>
      <c r="CT67" t="str">
        <f>IFERROR(VLOOKUP($B67, blitz!$DM:$DN, 2, FALSE), 0)</f>
        <v>1</v>
      </c>
      <c r="CU67" t="b">
        <f t="shared" si="24"/>
        <v>1</v>
      </c>
      <c r="CV67">
        <f>IFERROR(VLOOKUP($B67, aegis!$DR:$DS, 2, FALSE), 0)</f>
        <v>0</v>
      </c>
      <c r="CW67">
        <f>IFERROR(VLOOKUP($B67, duel!$DR:$DS, 2, FALSE), 0)</f>
        <v>0</v>
      </c>
      <c r="CX67">
        <f>IFERROR(VLOOKUP($B67, blitz!$DR:$DS, 2, FALSE), 0)</f>
        <v>0</v>
      </c>
      <c r="CY67" t="b">
        <f t="shared" si="25"/>
        <v>1</v>
      </c>
    </row>
    <row r="68" spans="1:103">
      <c r="B68" s="6" t="s">
        <v>125</v>
      </c>
      <c r="C68" s="5" t="b">
        <f t="shared" si="0"/>
        <v>0</v>
      </c>
      <c r="D68" t="str">
        <f>IFERROR(VLOOKUP($B68, aegis!$B:$C, 2, FALSE), 0)</f>
        <v>24</v>
      </c>
      <c r="E68" t="str">
        <f>IFERROR(VLOOKUP($B68, duel!$B:$C, 2, FALSE), 0)</f>
        <v>24</v>
      </c>
      <c r="F68" t="str">
        <f>IFERROR(VLOOKUP($B68, blitz!$B:$C, 2, FALSE), 0)</f>
        <v>24</v>
      </c>
      <c r="G68" t="b">
        <f t="shared" si="1"/>
        <v>1</v>
      </c>
      <c r="H68" t="str">
        <f>IFERROR(VLOOKUP($B68, aegis!$G:$H, 2, FALSE), 0)</f>
        <v>14</v>
      </c>
      <c r="I68" t="str">
        <f>IFERROR(VLOOKUP($B68, duel!$G:$H, 2, FALSE), 0)</f>
        <v>14</v>
      </c>
      <c r="J68" t="str">
        <f>IFERROR(VLOOKUP($B68, blitz!$G:$H, 2, FALSE), 0)</f>
        <v>14</v>
      </c>
      <c r="K68" t="b">
        <f t="shared" si="2"/>
        <v>1</v>
      </c>
      <c r="L68" t="str">
        <f>IFERROR(VLOOKUP($B68, aegis!$L:$M, 2, FALSE), 0)</f>
        <v>24</v>
      </c>
      <c r="M68" t="str">
        <f>IFERROR(VLOOKUP($B68, duel!$L:$M, 2, FALSE), 0)</f>
        <v>24</v>
      </c>
      <c r="N68" t="str">
        <f>IFERROR(VLOOKUP($B68, blitz!$L:$M, 2, FALSE), 0)</f>
        <v>24</v>
      </c>
      <c r="O68" t="b">
        <f t="shared" si="3"/>
        <v>1</v>
      </c>
      <c r="P68" t="str">
        <f>IFERROR(VLOOKUP($B68, aegis!$Q:$R, 2, FALSE), 0)</f>
        <v>14</v>
      </c>
      <c r="Q68" t="str">
        <f>IFERROR(VLOOKUP($B68, duel!$Q:$R, 2, FALSE), 0)</f>
        <v>14</v>
      </c>
      <c r="R68" t="str">
        <f>IFERROR(VLOOKUP($B68, blitz!$Q:$R, 2, FALSE), 0)</f>
        <v>14</v>
      </c>
      <c r="S68" t="b">
        <f t="shared" si="4"/>
        <v>1</v>
      </c>
      <c r="T68">
        <f>IFERROR(VLOOKUP($B68, aegis!$V:$W, 2, FALSE), 0)</f>
        <v>0</v>
      </c>
      <c r="U68">
        <f>IFERROR(VLOOKUP($B68, duel!$V:$W, 2, FALSE), 0)</f>
        <v>0</v>
      </c>
      <c r="V68">
        <f>IFERROR(VLOOKUP($B68, blitz!$V:$W, 2, FALSE), 0)</f>
        <v>0</v>
      </c>
      <c r="W68" t="b">
        <f t="shared" si="5"/>
        <v>1</v>
      </c>
      <c r="X68" t="str">
        <f>IFERROR(VLOOKUP($B68, aegis!$AA:$AB, 2, FALSE), 0)</f>
        <v>2</v>
      </c>
      <c r="Y68" t="str">
        <f>IFERROR(VLOOKUP($B68, duel!$AA:$AB, 2, FALSE), 0)</f>
        <v>3</v>
      </c>
      <c r="Z68" t="str">
        <f>IFERROR(VLOOKUP($B68, blitz!$AA:$AB, 2, FALSE), 0)</f>
        <v>2</v>
      </c>
      <c r="AA68" t="b">
        <f t="shared" si="6"/>
        <v>0</v>
      </c>
      <c r="AB68">
        <f>IFERROR(VLOOKUP($B68, aegis!$AF:$AG, 2, FALSE), 0)</f>
        <v>0</v>
      </c>
      <c r="AC68">
        <f>IFERROR(VLOOKUP($B68, duel!$AF:$AG, 2, FALSE), 0)</f>
        <v>0</v>
      </c>
      <c r="AD68">
        <f>IFERROR(VLOOKUP($B68, blitz!$AF:$AG, 2, FALSE), 0)</f>
        <v>0</v>
      </c>
      <c r="AE68" t="b">
        <f t="shared" si="7"/>
        <v>1</v>
      </c>
      <c r="AF68" t="str">
        <f>IFERROR(VLOOKUP($B68, aegis!$AK:$AL, 2, FALSE), 0)</f>
        <v>1</v>
      </c>
      <c r="AG68" t="str">
        <f>IFERROR(VLOOKUP($B68, duel!$AK:$AL, 2, FALSE), 0)</f>
        <v>1</v>
      </c>
      <c r="AH68" t="str">
        <f>IFERROR(VLOOKUP($B68, blitz!$AK:$AL, 2, FALSE), 0)</f>
        <v>1</v>
      </c>
      <c r="AI68" t="b">
        <f t="shared" si="8"/>
        <v>1</v>
      </c>
      <c r="AJ68" t="str">
        <f>IFERROR(VLOOKUP($B68, aegis!$AP:$AQ, 2, FALSE), 0)</f>
        <v>1</v>
      </c>
      <c r="AK68" t="str">
        <f>IFERROR(VLOOKUP($B68, duel!$AP:$AQ, 2, FALSE), 0)</f>
        <v>1</v>
      </c>
      <c r="AL68" t="str">
        <f>IFERROR(VLOOKUP($B68, blitz!$AP:$AQ, 2, FALSE), 0)</f>
        <v>1</v>
      </c>
      <c r="AM68" t="b">
        <f t="shared" si="9"/>
        <v>1</v>
      </c>
      <c r="AN68">
        <f>IFERROR(VLOOKUP($B68, aegis!$AU:$AV, 2, FALSE), 0)</f>
        <v>0</v>
      </c>
      <c r="AO68">
        <f>IFERROR(VLOOKUP($B68, duel!$AU:$AV, 2, FALSE), 0)</f>
        <v>0</v>
      </c>
      <c r="AP68">
        <f>IFERROR(VLOOKUP($B68, blitz!$AU:$AV, 2, FALSE), 0)</f>
        <v>0</v>
      </c>
      <c r="AQ68" t="b">
        <f t="shared" si="10"/>
        <v>1</v>
      </c>
      <c r="AR68" t="str">
        <f>IFERROR(VLOOKUP($B68, aegis!$AZ:$BA, 2, FALSE), 0)</f>
        <v>2</v>
      </c>
      <c r="AS68" t="str">
        <f>IFERROR(VLOOKUP($B68, duel!$AZ:$BA, 2, FALSE), 0)</f>
        <v>2</v>
      </c>
      <c r="AT68" t="str">
        <f>IFERROR(VLOOKUP($B68, blitz!$AZ:$BA, 2, FALSE), 0)</f>
        <v>2</v>
      </c>
      <c r="AU68" t="b">
        <f t="shared" si="11"/>
        <v>1</v>
      </c>
      <c r="AV68" t="str">
        <f>IFERROR(VLOOKUP($B68, aegis!$BE:$BF, 2, FALSE), 0)</f>
        <v>1</v>
      </c>
      <c r="AW68" t="str">
        <f>IFERROR(VLOOKUP($B68, duel!$BE:$BF, 2, FALSE), 0)</f>
        <v>1</v>
      </c>
      <c r="AX68" t="str">
        <f>IFERROR(VLOOKUP($B68, blitz!$BE:$BF, 2, FALSE), 0)</f>
        <v>1</v>
      </c>
      <c r="AY68" t="b">
        <f t="shared" si="12"/>
        <v>1</v>
      </c>
      <c r="AZ68" t="str">
        <f>IFERROR(VLOOKUP($B68, aegis!$BJ:$BK, 2, FALSE), 0)</f>
        <v>1</v>
      </c>
      <c r="BA68" t="str">
        <f>IFERROR(VLOOKUP($B68, duel!$BJ:$BK, 2, FALSE), 0)</f>
        <v>1</v>
      </c>
      <c r="BB68" t="str">
        <f>IFERROR(VLOOKUP($B68, blitz!$BJ:$BK, 2, FALSE), 0)</f>
        <v>1</v>
      </c>
      <c r="BC68" t="b">
        <f t="shared" si="13"/>
        <v>1</v>
      </c>
      <c r="BD68">
        <f>IFERROR(VLOOKUP($B68, aegis!$BO:$BP, 2, FALSE), 0)</f>
        <v>0</v>
      </c>
      <c r="BE68">
        <f>IFERROR(VLOOKUP($B68, duel!$BO:$BP, 2, FALSE), 0)</f>
        <v>0</v>
      </c>
      <c r="BF68">
        <f>IFERROR(VLOOKUP($B68, blitz!$BO:$BP, 2, FALSE), 0)</f>
        <v>0</v>
      </c>
      <c r="BG68" t="b">
        <f t="shared" si="14"/>
        <v>1</v>
      </c>
      <c r="BH68">
        <f>IFERROR(VLOOKUP($B68, aegis!$BT:$BU, 2, FALSE), 0)</f>
        <v>0</v>
      </c>
      <c r="BI68">
        <f>IFERROR(VLOOKUP($B68, duel!$BT:$BU, 2, FALSE), 0)</f>
        <v>0</v>
      </c>
      <c r="BJ68">
        <f>IFERROR(VLOOKUP($B68, blitz!$BT:$BU, 2, FALSE), 0)</f>
        <v>0</v>
      </c>
      <c r="BK68" t="b">
        <f t="shared" si="15"/>
        <v>1</v>
      </c>
      <c r="BL68" t="str">
        <f>IFERROR(VLOOKUP($B68, aegis!$BY:$BZ, 2, FALSE), 0)</f>
        <v>1</v>
      </c>
      <c r="BM68" t="str">
        <f>IFERROR(VLOOKUP($B68, duel!$BY:$BZ, 2, FALSE), 0)</f>
        <v>1</v>
      </c>
      <c r="BN68" t="str">
        <f>IFERROR(VLOOKUP($B68, blitz!$BY:$BZ, 2, FALSE), 0)</f>
        <v>1</v>
      </c>
      <c r="BO68" t="b">
        <f t="shared" si="16"/>
        <v>1</v>
      </c>
      <c r="BP68" t="str">
        <f>IFERROR(VLOOKUP($B68, aegis!$CD:$CE, 2, FALSE), 0)</f>
        <v>1</v>
      </c>
      <c r="BQ68" t="str">
        <f>IFERROR(VLOOKUP($B68, duel!$CD:$CE, 2, FALSE), 0)</f>
        <v>1</v>
      </c>
      <c r="BR68" t="str">
        <f>IFERROR(VLOOKUP($B68, blitz!$CD:$CE, 2, FALSE), 0)</f>
        <v>1</v>
      </c>
      <c r="BS68" t="b">
        <f t="shared" si="17"/>
        <v>1</v>
      </c>
      <c r="BT68">
        <f>IFERROR(VLOOKUP($B68, aegis!$CI:$CJ, 2, FALSE), 0)</f>
        <v>0</v>
      </c>
      <c r="BU68">
        <f>IFERROR(VLOOKUP($B68, duel!$CI:$CJ, 2, FALSE), 0)</f>
        <v>0</v>
      </c>
      <c r="BV68">
        <f>IFERROR(VLOOKUP($B68, blitz!$CI:$CJ, 2, FALSE), 0)</f>
        <v>0</v>
      </c>
      <c r="BW68" t="b">
        <f t="shared" si="18"/>
        <v>1</v>
      </c>
      <c r="BX68">
        <f>IFERROR(VLOOKUP($B68, aegis!$CN:$CO, 2, FALSE), 0)</f>
        <v>0</v>
      </c>
      <c r="BY68">
        <f>IFERROR(VLOOKUP($B68, duel!$CN:$CO, 2, FALSE), 0)</f>
        <v>0</v>
      </c>
      <c r="BZ68">
        <f>IFERROR(VLOOKUP($B68, blitz!$CN:$CO, 2, FALSE), 0)</f>
        <v>0</v>
      </c>
      <c r="CA68" t="b">
        <f t="shared" si="19"/>
        <v>1</v>
      </c>
      <c r="CB68">
        <f>IFERROR(VLOOKUP($B68, aegis!$CS:$CT, 2, FALSE), 0)</f>
        <v>0</v>
      </c>
      <c r="CC68">
        <f>IFERROR(VLOOKUP($B68, duel!$CS:$CT, 2, FALSE), 0)</f>
        <v>0</v>
      </c>
      <c r="CD68">
        <f>IFERROR(VLOOKUP($B68, blitz!$CS:$CT, 2, FALSE), 0)</f>
        <v>0</v>
      </c>
      <c r="CE68" t="b">
        <f t="shared" si="20"/>
        <v>1</v>
      </c>
      <c r="CF68">
        <f>IFERROR(VLOOKUP($B68, aegis!$CX:$CY, 2, FALSE), 0)</f>
        <v>0</v>
      </c>
      <c r="CG68">
        <f>IFERROR(VLOOKUP($B68, duel!$CX:$CY, 2, FALSE), 0)</f>
        <v>0</v>
      </c>
      <c r="CH68">
        <f>IFERROR(VLOOKUP($B68, blitz!$CX:$CY, 2, FALSE), 0)</f>
        <v>0</v>
      </c>
      <c r="CI68" t="b">
        <f t="shared" si="21"/>
        <v>1</v>
      </c>
      <c r="CJ68">
        <f>IFERROR(VLOOKUP($B68, aegis!$DC:$DD, 2, FALSE), 0)</f>
        <v>0</v>
      </c>
      <c r="CK68">
        <f>IFERROR(VLOOKUP($B68, duel!$DC:$DD, 2, FALSE), 0)</f>
        <v>0</v>
      </c>
      <c r="CL68">
        <f>IFERROR(VLOOKUP($B68, blitz!$DC:$DD, 2, FALSE), 0)</f>
        <v>0</v>
      </c>
      <c r="CM68" t="b">
        <f t="shared" si="22"/>
        <v>1</v>
      </c>
      <c r="CN68" t="str">
        <f>IFERROR(VLOOKUP($B68, aegis!$DH:$DI, 2, FALSE), 0)</f>
        <v>1</v>
      </c>
      <c r="CO68" t="str">
        <f>IFERROR(VLOOKUP($B68, duel!$DH:$DI, 2, FALSE), 0)</f>
        <v>1</v>
      </c>
      <c r="CP68" s="13">
        <f>IFERROR(VLOOKUP($B68, blitz!$DH:$DI, 2, FALSE), 0)</f>
        <v>0</v>
      </c>
      <c r="CQ68" t="b">
        <f t="shared" si="23"/>
        <v>1</v>
      </c>
      <c r="CR68" t="str">
        <f>IFERROR(VLOOKUP($B68, aegis!$DM:$DN, 2, FALSE), 0)</f>
        <v>1</v>
      </c>
      <c r="CS68" t="str">
        <f>IFERROR(VLOOKUP($B68, duel!$DM:$DN, 2, FALSE), 0)</f>
        <v>1</v>
      </c>
      <c r="CT68" t="str">
        <f>IFERROR(VLOOKUP($B68, blitz!$DM:$DN, 2, FALSE), 0)</f>
        <v>1</v>
      </c>
      <c r="CU68" t="b">
        <f t="shared" si="24"/>
        <v>1</v>
      </c>
      <c r="CV68">
        <f>IFERROR(VLOOKUP($B68, aegis!$DR:$DS, 2, FALSE), 0)</f>
        <v>0</v>
      </c>
      <c r="CW68">
        <f>IFERROR(VLOOKUP($B68, duel!$DR:$DS, 2, FALSE), 0)</f>
        <v>0</v>
      </c>
      <c r="CX68">
        <f>IFERROR(VLOOKUP($B68, blitz!$DR:$DS, 2, FALSE), 0)</f>
        <v>0</v>
      </c>
      <c r="CY68" t="b">
        <f t="shared" si="25"/>
        <v>1</v>
      </c>
    </row>
    <row r="69" spans="1:103">
      <c r="A69" t="s">
        <v>1733</v>
      </c>
      <c r="B69" s="6" t="s">
        <v>126</v>
      </c>
      <c r="C69" s="5" t="b">
        <f t="shared" si="0"/>
        <v>0</v>
      </c>
      <c r="D69" t="str">
        <f>IFERROR(VLOOKUP($B69, aegis!$B:$C, 2, FALSE), 0)</f>
        <v>48</v>
      </c>
      <c r="E69" t="str">
        <f>IFERROR(VLOOKUP($B69, duel!$B:$C, 2, FALSE), 0)</f>
        <v>48</v>
      </c>
      <c r="F69" t="str">
        <f>IFERROR(VLOOKUP($B69, blitz!$B:$C, 2, FALSE), 0)</f>
        <v>48</v>
      </c>
      <c r="G69" t="b">
        <f t="shared" si="1"/>
        <v>1</v>
      </c>
      <c r="H69" t="str">
        <f>IFERROR(VLOOKUP($B69, aegis!$G:$H, 2, FALSE), 0)</f>
        <v>28</v>
      </c>
      <c r="I69" t="str">
        <f>IFERROR(VLOOKUP($B69, duel!$G:$H, 2, FALSE), 0)</f>
        <v>28</v>
      </c>
      <c r="J69" t="str">
        <f>IFERROR(VLOOKUP($B69, blitz!$G:$H, 2, FALSE), 0)</f>
        <v>28</v>
      </c>
      <c r="K69" t="b">
        <f t="shared" si="2"/>
        <v>1</v>
      </c>
      <c r="L69" t="str">
        <f>IFERROR(VLOOKUP($B69, aegis!$L:$M, 2, FALSE), 0)</f>
        <v>48</v>
      </c>
      <c r="M69" t="str">
        <f>IFERROR(VLOOKUP($B69, duel!$L:$M, 2, FALSE), 0)</f>
        <v>48</v>
      </c>
      <c r="N69" t="str">
        <f>IFERROR(VLOOKUP($B69, blitz!$L:$M, 2, FALSE), 0)</f>
        <v>48</v>
      </c>
      <c r="O69" t="b">
        <f t="shared" si="3"/>
        <v>1</v>
      </c>
      <c r="P69" t="str">
        <f>IFERROR(VLOOKUP($B69, aegis!$Q:$R, 2, FALSE), 0)</f>
        <v>28</v>
      </c>
      <c r="Q69" t="str">
        <f>IFERROR(VLOOKUP($B69, duel!$Q:$R, 2, FALSE), 0)</f>
        <v>28</v>
      </c>
      <c r="R69" t="str">
        <f>IFERROR(VLOOKUP($B69, blitz!$Q:$R, 2, FALSE), 0)</f>
        <v>28</v>
      </c>
      <c r="S69" t="b">
        <f t="shared" si="4"/>
        <v>1</v>
      </c>
      <c r="T69" t="str">
        <f>IFERROR(VLOOKUP($B69, aegis!$V:$W, 2, FALSE), 0)</f>
        <v>56</v>
      </c>
      <c r="U69" t="str">
        <f>IFERROR(VLOOKUP($B69, duel!$V:$W, 2, FALSE), 0)</f>
        <v>56</v>
      </c>
      <c r="V69" t="str">
        <f>IFERROR(VLOOKUP($B69, blitz!$V:$W, 2, FALSE), 0)</f>
        <v>56</v>
      </c>
      <c r="W69" t="b">
        <f t="shared" si="5"/>
        <v>1</v>
      </c>
      <c r="X69" t="str">
        <f>IFERROR(VLOOKUP($B69, aegis!$AA:$AB, 2, FALSE), 0)</f>
        <v>2</v>
      </c>
      <c r="Y69" t="str">
        <f>IFERROR(VLOOKUP($B69, duel!$AA:$AB, 2, FALSE), 0)</f>
        <v>4</v>
      </c>
      <c r="Z69" t="str">
        <f>IFERROR(VLOOKUP($B69, blitz!$AA:$AB, 2, FALSE), 0)</f>
        <v>2</v>
      </c>
      <c r="AA69" t="b">
        <f t="shared" si="6"/>
        <v>0</v>
      </c>
      <c r="AB69" t="str">
        <f>IFERROR(VLOOKUP($B69, aegis!$AF:$AG, 2, FALSE), 0)</f>
        <v>29</v>
      </c>
      <c r="AC69" t="str">
        <f>IFERROR(VLOOKUP($B69, duel!$AF:$AG, 2, FALSE), 0)</f>
        <v>29</v>
      </c>
      <c r="AD69" t="str">
        <f>IFERROR(VLOOKUP($B69, blitz!$AF:$AG, 2, FALSE), 0)</f>
        <v>29</v>
      </c>
      <c r="AE69" t="b">
        <f t="shared" si="7"/>
        <v>1</v>
      </c>
      <c r="AF69" t="str">
        <f>IFERROR(VLOOKUP($B69, aegis!$AK:$AL, 2, FALSE), 0)</f>
        <v>3</v>
      </c>
      <c r="AG69" t="str">
        <f>IFERROR(VLOOKUP($B69, duel!$AK:$AL, 2, FALSE), 0)</f>
        <v>1</v>
      </c>
      <c r="AH69" t="str">
        <f>IFERROR(VLOOKUP($B69, blitz!$AK:$AL, 2, FALSE), 0)</f>
        <v>1</v>
      </c>
      <c r="AI69" t="b">
        <f t="shared" si="8"/>
        <v>0</v>
      </c>
      <c r="AJ69" t="str">
        <f>IFERROR(VLOOKUP($B69, aegis!$AP:$AQ, 2, FALSE), 0)</f>
        <v>1</v>
      </c>
      <c r="AK69" t="str">
        <f>IFERROR(VLOOKUP($B69, duel!$AP:$AQ, 2, FALSE), 0)</f>
        <v>1</v>
      </c>
      <c r="AL69" t="str">
        <f>IFERROR(VLOOKUP($B69, blitz!$AP:$AQ, 2, FALSE), 0)</f>
        <v>1</v>
      </c>
      <c r="AM69" t="b">
        <f t="shared" si="9"/>
        <v>1</v>
      </c>
      <c r="AN69">
        <f>IFERROR(VLOOKUP($B69, aegis!$AU:$AV, 2, FALSE), 0)</f>
        <v>0</v>
      </c>
      <c r="AO69">
        <f>IFERROR(VLOOKUP($B69, duel!$AU:$AV, 2, FALSE), 0)</f>
        <v>0</v>
      </c>
      <c r="AP69">
        <f>IFERROR(VLOOKUP($B69, blitz!$AU:$AV, 2, FALSE), 0)</f>
        <v>0</v>
      </c>
      <c r="AQ69" t="b">
        <f t="shared" si="10"/>
        <v>1</v>
      </c>
      <c r="AR69" t="str">
        <f>IFERROR(VLOOKUP($B69, aegis!$AZ:$BA, 2, FALSE), 0)</f>
        <v>2</v>
      </c>
      <c r="AS69" t="str">
        <f>IFERROR(VLOOKUP($B69, duel!$AZ:$BA, 2, FALSE), 0)</f>
        <v>2</v>
      </c>
      <c r="AT69" t="str">
        <f>IFERROR(VLOOKUP($B69, blitz!$AZ:$BA, 2, FALSE), 0)</f>
        <v>2</v>
      </c>
      <c r="AU69" t="b">
        <f t="shared" si="11"/>
        <v>1</v>
      </c>
      <c r="AV69" t="str">
        <f>IFERROR(VLOOKUP($B69, aegis!$BE:$BF, 2, FALSE), 0)</f>
        <v>1</v>
      </c>
      <c r="AW69" t="str">
        <f>IFERROR(VLOOKUP($B69, duel!$BE:$BF, 2, FALSE), 0)</f>
        <v>1</v>
      </c>
      <c r="AX69" t="str">
        <f>IFERROR(VLOOKUP($B69, blitz!$BE:$BF, 2, FALSE), 0)</f>
        <v>1</v>
      </c>
      <c r="AY69" t="b">
        <f t="shared" si="12"/>
        <v>1</v>
      </c>
      <c r="AZ69" t="str">
        <f>IFERROR(VLOOKUP($B69, aegis!$BJ:$BK, 2, FALSE), 0)</f>
        <v>1</v>
      </c>
      <c r="BA69" t="str">
        <f>IFERROR(VLOOKUP($B69, duel!$BJ:$BK, 2, FALSE), 0)</f>
        <v>1</v>
      </c>
      <c r="BB69" t="str">
        <f>IFERROR(VLOOKUP($B69, blitz!$BJ:$BK, 2, FALSE), 0)</f>
        <v>1</v>
      </c>
      <c r="BC69" t="b">
        <f t="shared" si="13"/>
        <v>1</v>
      </c>
      <c r="BD69">
        <f>IFERROR(VLOOKUP($B69, aegis!$BO:$BP, 2, FALSE), 0)</f>
        <v>0</v>
      </c>
      <c r="BE69">
        <f>IFERROR(VLOOKUP($B69, duel!$BO:$BP, 2, FALSE), 0)</f>
        <v>0</v>
      </c>
      <c r="BF69">
        <f>IFERROR(VLOOKUP($B69, blitz!$BO:$BP, 2, FALSE), 0)</f>
        <v>0</v>
      </c>
      <c r="BG69" t="b">
        <f t="shared" si="14"/>
        <v>1</v>
      </c>
      <c r="BH69" t="str">
        <f>IFERROR(VLOOKUP($B69, aegis!$BT:$BU, 2, FALSE), 0)</f>
        <v>20</v>
      </c>
      <c r="BI69" t="str">
        <f>IFERROR(VLOOKUP($B69, duel!$BT:$BU, 2, FALSE), 0)</f>
        <v>20</v>
      </c>
      <c r="BJ69" t="str">
        <f>IFERROR(VLOOKUP($B69, blitz!$BT:$BU, 2, FALSE), 0)</f>
        <v>20</v>
      </c>
      <c r="BK69" t="b">
        <f t="shared" si="15"/>
        <v>1</v>
      </c>
      <c r="BL69" t="str">
        <f>IFERROR(VLOOKUP($B69, aegis!$BY:$BZ, 2, FALSE), 0)</f>
        <v>1</v>
      </c>
      <c r="BM69" t="str">
        <f>IFERROR(VLOOKUP($B69, duel!$BY:$BZ, 2, FALSE), 0)</f>
        <v>1</v>
      </c>
      <c r="BN69" t="str">
        <f>IFERROR(VLOOKUP($B69, blitz!$BY:$BZ, 2, FALSE), 0)</f>
        <v>1</v>
      </c>
      <c r="BO69" t="b">
        <f t="shared" si="16"/>
        <v>1</v>
      </c>
      <c r="BP69" t="str">
        <f>IFERROR(VLOOKUP($B69, aegis!$CD:$CE, 2, FALSE), 0)</f>
        <v>5</v>
      </c>
      <c r="BQ69" t="str">
        <f>IFERROR(VLOOKUP($B69, duel!$CD:$CE, 2, FALSE), 0)</f>
        <v>5</v>
      </c>
      <c r="BR69" t="str">
        <f>IFERROR(VLOOKUP($B69, blitz!$CD:$CE, 2, FALSE), 0)</f>
        <v>5</v>
      </c>
      <c r="BS69" t="b">
        <f t="shared" si="17"/>
        <v>1</v>
      </c>
      <c r="BT69">
        <f>IFERROR(VLOOKUP($B69, aegis!$CI:$CJ, 2, FALSE), 0)</f>
        <v>0</v>
      </c>
      <c r="BU69">
        <f>IFERROR(VLOOKUP($B69, duel!$CI:$CJ, 2, FALSE), 0)</f>
        <v>0</v>
      </c>
      <c r="BV69">
        <f>IFERROR(VLOOKUP($B69, blitz!$CI:$CJ, 2, FALSE), 0)</f>
        <v>0</v>
      </c>
      <c r="BW69" t="b">
        <f t="shared" si="18"/>
        <v>1</v>
      </c>
      <c r="BX69">
        <f>IFERROR(VLOOKUP($B69, aegis!$CN:$CO, 2, FALSE), 0)</f>
        <v>0</v>
      </c>
      <c r="BY69">
        <f>IFERROR(VLOOKUP($B69, duel!$CN:$CO, 2, FALSE), 0)</f>
        <v>0</v>
      </c>
      <c r="BZ69">
        <f>IFERROR(VLOOKUP($B69, blitz!$CN:$CO, 2, FALSE), 0)</f>
        <v>0</v>
      </c>
      <c r="CA69" t="b">
        <f t="shared" si="19"/>
        <v>1</v>
      </c>
      <c r="CB69">
        <f>IFERROR(VLOOKUP($B69, aegis!$CS:$CT, 2, FALSE), 0)</f>
        <v>0</v>
      </c>
      <c r="CC69">
        <f>IFERROR(VLOOKUP($B69, duel!$CS:$CT, 2, FALSE), 0)</f>
        <v>0</v>
      </c>
      <c r="CD69">
        <f>IFERROR(VLOOKUP($B69, blitz!$CS:$CT, 2, FALSE), 0)</f>
        <v>0</v>
      </c>
      <c r="CE69" t="b">
        <f t="shared" si="20"/>
        <v>1</v>
      </c>
      <c r="CF69" t="str">
        <f>IFERROR(VLOOKUP($B69, aegis!$CX:$CY, 2, FALSE), 0)</f>
        <v>6867</v>
      </c>
      <c r="CG69" t="str">
        <f>IFERROR(VLOOKUP($B69, duel!$CX:$CY, 2, FALSE), 0)</f>
        <v>6866</v>
      </c>
      <c r="CH69" t="str">
        <f>IFERROR(VLOOKUP($B69, blitz!$CX:$CY, 2, FALSE), 0)</f>
        <v>2258</v>
      </c>
      <c r="CI69" t="b">
        <f t="shared" si="21"/>
        <v>0</v>
      </c>
      <c r="CJ69" t="str">
        <f>IFERROR(VLOOKUP($B69, aegis!$DC:$DD, 2, FALSE), 0)</f>
        <v>1</v>
      </c>
      <c r="CK69" t="str">
        <f>IFERROR(VLOOKUP($B69, duel!$DC:$DD, 2, FALSE), 0)</f>
        <v>1</v>
      </c>
      <c r="CL69" t="str">
        <f>IFERROR(VLOOKUP($B69, blitz!$DC:$DD, 2, FALSE), 0)</f>
        <v>1</v>
      </c>
      <c r="CM69" t="b">
        <f t="shared" si="22"/>
        <v>1</v>
      </c>
      <c r="CN69" t="str">
        <f>IFERROR(VLOOKUP($B69, aegis!$DH:$DI, 2, FALSE), 0)</f>
        <v>3</v>
      </c>
      <c r="CO69" t="str">
        <f>IFERROR(VLOOKUP($B69, duel!$DH:$DI, 2, FALSE), 0)</f>
        <v>3</v>
      </c>
      <c r="CP69" s="13">
        <f>IFERROR(VLOOKUP($B69, blitz!$DH:$DI, 2, FALSE), 0)</f>
        <v>0</v>
      </c>
      <c r="CQ69" t="b">
        <f t="shared" si="23"/>
        <v>1</v>
      </c>
      <c r="CR69" t="str">
        <f>IFERROR(VLOOKUP($B69, aegis!$DM:$DN, 2, FALSE), 0)</f>
        <v>1</v>
      </c>
      <c r="CS69" t="str">
        <f>IFERROR(VLOOKUP($B69, duel!$DM:$DN, 2, FALSE), 0)</f>
        <v>1</v>
      </c>
      <c r="CT69" t="str">
        <f>IFERROR(VLOOKUP($B69, blitz!$DM:$DN, 2, FALSE), 0)</f>
        <v>1</v>
      </c>
      <c r="CU69" t="b">
        <f t="shared" si="24"/>
        <v>1</v>
      </c>
      <c r="CV69" t="str">
        <f>IFERROR(VLOOKUP($B69, aegis!$DR:$DS, 2, FALSE), 0)</f>
        <v>28</v>
      </c>
      <c r="CW69" t="str">
        <f>IFERROR(VLOOKUP($B69, duel!$DR:$DS, 2, FALSE), 0)</f>
        <v>28</v>
      </c>
      <c r="CX69" t="str">
        <f>IFERROR(VLOOKUP($B69, blitz!$DR:$DS, 2, FALSE), 0)</f>
        <v>28</v>
      </c>
      <c r="CY69" t="b">
        <f t="shared" si="25"/>
        <v>1</v>
      </c>
    </row>
    <row r="70" spans="1:103">
      <c r="A70" t="s">
        <v>1733</v>
      </c>
      <c r="B70" s="6" t="s">
        <v>128</v>
      </c>
      <c r="C70" s="5" t="b">
        <f t="shared" ref="C70:C133" si="26">AND(G70,K70,O70,S70,W70,AA70,AE70,AI70,AM70,AQ70,AU70,AY70,BC70,BG70,BK70,BO70,BS70,BW70,CA70,CE70,CI70,CM70,CQ70,CU70,CY70)</f>
        <v>0</v>
      </c>
      <c r="D70" t="str">
        <f>IFERROR(VLOOKUP($B70, aegis!$B:$C, 2, FALSE), 0)</f>
        <v>72</v>
      </c>
      <c r="E70" t="str">
        <f>IFERROR(VLOOKUP($B70, duel!$B:$C, 2, FALSE), 0)</f>
        <v>72</v>
      </c>
      <c r="F70" t="str">
        <f>IFERROR(VLOOKUP($B70, blitz!$B:$C, 2, FALSE), 0)</f>
        <v>72</v>
      </c>
      <c r="G70" t="b">
        <f t="shared" ref="G70:G133" si="27">AND(D70=E70, E70=F70)</f>
        <v>1</v>
      </c>
      <c r="H70" t="str">
        <f>IFERROR(VLOOKUP($B70, aegis!$G:$H, 2, FALSE), 0)</f>
        <v>42</v>
      </c>
      <c r="I70" t="str">
        <f>IFERROR(VLOOKUP($B70, duel!$G:$H, 2, FALSE), 0)</f>
        <v>42</v>
      </c>
      <c r="J70" t="str">
        <f>IFERROR(VLOOKUP($B70, blitz!$G:$H, 2, FALSE), 0)</f>
        <v>42</v>
      </c>
      <c r="K70" t="b">
        <f t="shared" ref="K70:K133" si="28">AND(H70=I70, I70=J70)</f>
        <v>1</v>
      </c>
      <c r="L70" t="str">
        <f>IFERROR(VLOOKUP($B70, aegis!$L:$M, 2, FALSE), 0)</f>
        <v>72</v>
      </c>
      <c r="M70" t="str">
        <f>IFERROR(VLOOKUP($B70, duel!$L:$M, 2, FALSE), 0)</f>
        <v>72</v>
      </c>
      <c r="N70" t="str">
        <f>IFERROR(VLOOKUP($B70, blitz!$L:$M, 2, FALSE), 0)</f>
        <v>72</v>
      </c>
      <c r="O70" t="b">
        <f t="shared" ref="O70:O133" si="29">AND(L70=M70, M70=N70)</f>
        <v>1</v>
      </c>
      <c r="P70" t="str">
        <f>IFERROR(VLOOKUP($B70, aegis!$Q:$R, 2, FALSE), 0)</f>
        <v>42</v>
      </c>
      <c r="Q70" t="str">
        <f>IFERROR(VLOOKUP($B70, duel!$Q:$R, 2, FALSE), 0)</f>
        <v>42</v>
      </c>
      <c r="R70" t="str">
        <f>IFERROR(VLOOKUP($B70, blitz!$Q:$R, 2, FALSE), 0)</f>
        <v>42</v>
      </c>
      <c r="S70" t="b">
        <f t="shared" ref="S70:S133" si="30">AND(P70=Q70, Q70=R70)</f>
        <v>1</v>
      </c>
      <c r="T70" t="str">
        <f>IFERROR(VLOOKUP($B70, aegis!$V:$W, 2, FALSE), 0)</f>
        <v>135</v>
      </c>
      <c r="U70" t="str">
        <f>IFERROR(VLOOKUP($B70, duel!$V:$W, 2, FALSE), 0)</f>
        <v>135</v>
      </c>
      <c r="V70" t="str">
        <f>IFERROR(VLOOKUP($B70, blitz!$V:$W, 2, FALSE), 0)</f>
        <v>135</v>
      </c>
      <c r="W70" t="b">
        <f t="shared" ref="W70:W133" si="31">AND(T70=U70, U70=V70)</f>
        <v>1</v>
      </c>
      <c r="X70" t="str">
        <f>IFERROR(VLOOKUP($B70, aegis!$AA:$AB, 2, FALSE), 0)</f>
        <v>2</v>
      </c>
      <c r="Y70" t="str">
        <f>IFERROR(VLOOKUP($B70, duel!$AA:$AB, 2, FALSE), 0)</f>
        <v>4</v>
      </c>
      <c r="Z70" t="str">
        <f>IFERROR(VLOOKUP($B70, blitz!$AA:$AB, 2, FALSE), 0)</f>
        <v>2</v>
      </c>
      <c r="AA70" t="b">
        <f t="shared" ref="AA70:AA133" si="32">AND(X70=Y70, Y70=Z70)</f>
        <v>0</v>
      </c>
      <c r="AB70" t="str">
        <f>IFERROR(VLOOKUP($B70, aegis!$AF:$AG, 2, FALSE), 0)</f>
        <v>36</v>
      </c>
      <c r="AC70" t="str">
        <f>IFERROR(VLOOKUP($B70, duel!$AF:$AG, 2, FALSE), 0)</f>
        <v>36</v>
      </c>
      <c r="AD70" t="str">
        <f>IFERROR(VLOOKUP($B70, blitz!$AF:$AG, 2, FALSE), 0)</f>
        <v>36</v>
      </c>
      <c r="AE70" t="b">
        <f t="shared" ref="AE70:AE133" si="33">AND(AB70=AC70, AC70=AD70)</f>
        <v>1</v>
      </c>
      <c r="AF70" t="str">
        <f>IFERROR(VLOOKUP($B70, aegis!$AK:$AL, 2, FALSE), 0)</f>
        <v>3</v>
      </c>
      <c r="AG70" t="str">
        <f>IFERROR(VLOOKUP($B70, duel!$AK:$AL, 2, FALSE), 0)</f>
        <v>1</v>
      </c>
      <c r="AH70" t="str">
        <f>IFERROR(VLOOKUP($B70, blitz!$AK:$AL, 2, FALSE), 0)</f>
        <v>1</v>
      </c>
      <c r="AI70" t="b">
        <f t="shared" ref="AI70:AI133" si="34">AND(AF70=AG70, AG70=AH70)</f>
        <v>0</v>
      </c>
      <c r="AJ70" t="str">
        <f>IFERROR(VLOOKUP($B70, aegis!$AP:$AQ, 2, FALSE), 0)</f>
        <v>1</v>
      </c>
      <c r="AK70" t="str">
        <f>IFERROR(VLOOKUP($B70, duel!$AP:$AQ, 2, FALSE), 0)</f>
        <v>1</v>
      </c>
      <c r="AL70" t="str">
        <f>IFERROR(VLOOKUP($B70, blitz!$AP:$AQ, 2, FALSE), 0)</f>
        <v>1</v>
      </c>
      <c r="AM70" t="b">
        <f t="shared" ref="AM70:AM133" si="35">AND(AJ70=AK70, AK70=AL70)</f>
        <v>1</v>
      </c>
      <c r="AN70">
        <f>IFERROR(VLOOKUP($B70, aegis!$AU:$AV, 2, FALSE), 0)</f>
        <v>0</v>
      </c>
      <c r="AO70">
        <f>IFERROR(VLOOKUP($B70, duel!$AU:$AV, 2, FALSE), 0)</f>
        <v>0</v>
      </c>
      <c r="AP70">
        <f>IFERROR(VLOOKUP($B70, blitz!$AU:$AV, 2, FALSE), 0)</f>
        <v>0</v>
      </c>
      <c r="AQ70" t="b">
        <f t="shared" ref="AQ70:AQ133" si="36">AND(AN70=AO70, AO70=AP70)</f>
        <v>1</v>
      </c>
      <c r="AR70" t="str">
        <f>IFERROR(VLOOKUP($B70, aegis!$AZ:$BA, 2, FALSE), 0)</f>
        <v>2</v>
      </c>
      <c r="AS70" t="str">
        <f>IFERROR(VLOOKUP($B70, duel!$AZ:$BA, 2, FALSE), 0)</f>
        <v>2</v>
      </c>
      <c r="AT70" t="str">
        <f>IFERROR(VLOOKUP($B70, blitz!$AZ:$BA, 2, FALSE), 0)</f>
        <v>2</v>
      </c>
      <c r="AU70" t="b">
        <f t="shared" ref="AU70:AU133" si="37">AND(AR70=AS70, AS70=AT70)</f>
        <v>1</v>
      </c>
      <c r="AV70" t="str">
        <f>IFERROR(VLOOKUP($B70, aegis!$BE:$BF, 2, FALSE), 0)</f>
        <v>1</v>
      </c>
      <c r="AW70" t="str">
        <f>IFERROR(VLOOKUP($B70, duel!$BE:$BF, 2, FALSE), 0)</f>
        <v>1</v>
      </c>
      <c r="AX70" t="str">
        <f>IFERROR(VLOOKUP($B70, blitz!$BE:$BF, 2, FALSE), 0)</f>
        <v>1</v>
      </c>
      <c r="AY70" t="b">
        <f t="shared" ref="AY70:AY133" si="38">AND(AV70=AW70, AW70=AX70)</f>
        <v>1</v>
      </c>
      <c r="AZ70" t="str">
        <f>IFERROR(VLOOKUP($B70, aegis!$BJ:$BK, 2, FALSE), 0)</f>
        <v>1</v>
      </c>
      <c r="BA70" t="str">
        <f>IFERROR(VLOOKUP($B70, duel!$BJ:$BK, 2, FALSE), 0)</f>
        <v>1</v>
      </c>
      <c r="BB70" t="str">
        <f>IFERROR(VLOOKUP($B70, blitz!$BJ:$BK, 2, FALSE), 0)</f>
        <v>1</v>
      </c>
      <c r="BC70" t="b">
        <f t="shared" ref="BC70:BC133" si="39">AND(AZ70=BA70, BA70=BB70)</f>
        <v>1</v>
      </c>
      <c r="BD70">
        <f>IFERROR(VLOOKUP($B70, aegis!$BO:$BP, 2, FALSE), 0)</f>
        <v>0</v>
      </c>
      <c r="BE70">
        <f>IFERROR(VLOOKUP($B70, duel!$BO:$BP, 2, FALSE), 0)</f>
        <v>0</v>
      </c>
      <c r="BF70">
        <f>IFERROR(VLOOKUP($B70, blitz!$BO:$BP, 2, FALSE), 0)</f>
        <v>0</v>
      </c>
      <c r="BG70" t="b">
        <f t="shared" ref="BG70:BG133" si="40">AND(BD70=BE70, BE70=BF70)</f>
        <v>1</v>
      </c>
      <c r="BH70" t="str">
        <f>IFERROR(VLOOKUP($B70, aegis!$BT:$BU, 2, FALSE), 0)</f>
        <v>14</v>
      </c>
      <c r="BI70" t="str">
        <f>IFERROR(VLOOKUP($B70, duel!$BT:$BU, 2, FALSE), 0)</f>
        <v>14</v>
      </c>
      <c r="BJ70" t="str">
        <f>IFERROR(VLOOKUP($B70, blitz!$BT:$BU, 2, FALSE), 0)</f>
        <v>14</v>
      </c>
      <c r="BK70" t="b">
        <f t="shared" ref="BK70:BK133" si="41">AND(BH70=BI70, BI70=BJ70)</f>
        <v>1</v>
      </c>
      <c r="BL70" t="str">
        <f>IFERROR(VLOOKUP($B70, aegis!$BY:$BZ, 2, FALSE), 0)</f>
        <v>1</v>
      </c>
      <c r="BM70" t="str">
        <f>IFERROR(VLOOKUP($B70, duel!$BY:$BZ, 2, FALSE), 0)</f>
        <v>1</v>
      </c>
      <c r="BN70" t="str">
        <f>IFERROR(VLOOKUP($B70, blitz!$BY:$BZ, 2, FALSE), 0)</f>
        <v>1</v>
      </c>
      <c r="BO70" t="b">
        <f t="shared" ref="BO70:BO133" si="42">AND(BL70=BM70, BM70=BN70)</f>
        <v>1</v>
      </c>
      <c r="BP70" t="str">
        <f>IFERROR(VLOOKUP($B70, aegis!$CD:$CE, 2, FALSE), 0)</f>
        <v>4</v>
      </c>
      <c r="BQ70" t="str">
        <f>IFERROR(VLOOKUP($B70, duel!$CD:$CE, 2, FALSE), 0)</f>
        <v>4</v>
      </c>
      <c r="BR70" t="str">
        <f>IFERROR(VLOOKUP($B70, blitz!$CD:$CE, 2, FALSE), 0)</f>
        <v>4</v>
      </c>
      <c r="BS70" t="b">
        <f t="shared" ref="BS70:BS133" si="43">AND(BP70=BQ70, BQ70=BR70)</f>
        <v>1</v>
      </c>
      <c r="BT70">
        <f>IFERROR(VLOOKUP($B70, aegis!$CI:$CJ, 2, FALSE), 0)</f>
        <v>0</v>
      </c>
      <c r="BU70">
        <f>IFERROR(VLOOKUP($B70, duel!$CI:$CJ, 2, FALSE), 0)</f>
        <v>0</v>
      </c>
      <c r="BV70">
        <f>IFERROR(VLOOKUP($B70, blitz!$CI:$CJ, 2, FALSE), 0)</f>
        <v>0</v>
      </c>
      <c r="BW70" t="b">
        <f t="shared" ref="BW70:BW133" si="44">AND(BT70=BU70, BU70=BV70)</f>
        <v>1</v>
      </c>
      <c r="BX70">
        <f>IFERROR(VLOOKUP($B70, aegis!$CN:$CO, 2, FALSE), 0)</f>
        <v>0</v>
      </c>
      <c r="BY70">
        <f>IFERROR(VLOOKUP($B70, duel!$CN:$CO, 2, FALSE), 0)</f>
        <v>0</v>
      </c>
      <c r="BZ70">
        <f>IFERROR(VLOOKUP($B70, blitz!$CN:$CO, 2, FALSE), 0)</f>
        <v>0</v>
      </c>
      <c r="CA70" t="b">
        <f t="shared" ref="CA70:CA133" si="45">AND(BX70=BY70, BY70=BZ70)</f>
        <v>1</v>
      </c>
      <c r="CB70">
        <f>IFERROR(VLOOKUP($B70, aegis!$CS:$CT, 2, FALSE), 0)</f>
        <v>0</v>
      </c>
      <c r="CC70">
        <f>IFERROR(VLOOKUP($B70, duel!$CS:$CT, 2, FALSE), 0)</f>
        <v>0</v>
      </c>
      <c r="CD70">
        <f>IFERROR(VLOOKUP($B70, blitz!$CS:$CT, 2, FALSE), 0)</f>
        <v>0</v>
      </c>
      <c r="CE70" t="b">
        <f t="shared" ref="CE70:CE133" si="46">AND(CB70=CC70, CC70=CD70)</f>
        <v>1</v>
      </c>
      <c r="CF70" t="str">
        <f>IFERROR(VLOOKUP($B70, aegis!$CX:$CY, 2, FALSE), 0)</f>
        <v>5857</v>
      </c>
      <c r="CG70" t="str">
        <f>IFERROR(VLOOKUP($B70, duel!$CX:$CY, 2, FALSE), 0)</f>
        <v>5854</v>
      </c>
      <c r="CH70" t="str">
        <f>IFERROR(VLOOKUP($B70, blitz!$CX:$CY, 2, FALSE), 0)</f>
        <v>1681</v>
      </c>
      <c r="CI70" t="b">
        <f t="shared" ref="CI70:CI133" si="47">AND(CF70=CG70, CG70=CH70)</f>
        <v>0</v>
      </c>
      <c r="CJ70" t="str">
        <f>IFERROR(VLOOKUP($B70, aegis!$DC:$DD, 2, FALSE), 0)</f>
        <v>1</v>
      </c>
      <c r="CK70" t="str">
        <f>IFERROR(VLOOKUP($B70, duel!$DC:$DD, 2, FALSE), 0)</f>
        <v>1</v>
      </c>
      <c r="CL70" t="str">
        <f>IFERROR(VLOOKUP($B70, blitz!$DC:$DD, 2, FALSE), 0)</f>
        <v>1</v>
      </c>
      <c r="CM70" t="b">
        <f t="shared" ref="CM70:CM133" si="48">AND(CJ70=CK70, CK70=CL70)</f>
        <v>1</v>
      </c>
      <c r="CN70" t="str">
        <f>IFERROR(VLOOKUP($B70, aegis!$DH:$DI, 2, FALSE), 0)</f>
        <v>2</v>
      </c>
      <c r="CO70" t="str">
        <f>IFERROR(VLOOKUP($B70, duel!$DH:$DI, 2, FALSE), 0)</f>
        <v>2</v>
      </c>
      <c r="CP70" s="13">
        <f>IFERROR(VLOOKUP($B70, blitz!$DH:$DI, 2, FALSE), 0)</f>
        <v>0</v>
      </c>
      <c r="CQ70" t="b">
        <f t="shared" ref="CQ70:CQ133" si="49">AND(CN70=CO70)</f>
        <v>1</v>
      </c>
      <c r="CR70" t="str">
        <f>IFERROR(VLOOKUP($B70, aegis!$DM:$DN, 2, FALSE), 0)</f>
        <v>1</v>
      </c>
      <c r="CS70" t="str">
        <f>IFERROR(VLOOKUP($B70, duel!$DM:$DN, 2, FALSE), 0)</f>
        <v>1</v>
      </c>
      <c r="CT70" t="str">
        <f>IFERROR(VLOOKUP($B70, blitz!$DM:$DN, 2, FALSE), 0)</f>
        <v>1</v>
      </c>
      <c r="CU70" t="b">
        <f t="shared" ref="CU70:CU133" si="50">AND(CR70=CS70, CS70=CT70)</f>
        <v>1</v>
      </c>
      <c r="CV70" t="str">
        <f>IFERROR(VLOOKUP($B70, aegis!$DR:$DS, 2, FALSE), 0)</f>
        <v>36</v>
      </c>
      <c r="CW70" t="str">
        <f>IFERROR(VLOOKUP($B70, duel!$DR:$DS, 2, FALSE), 0)</f>
        <v>36</v>
      </c>
      <c r="CX70" t="str">
        <f>IFERROR(VLOOKUP($B70, blitz!$DR:$DS, 2, FALSE), 0)</f>
        <v>36</v>
      </c>
      <c r="CY70" t="b">
        <f t="shared" ref="CY70:CY133" si="51">AND(CV70=CW70, CW70=CX70)</f>
        <v>1</v>
      </c>
    </row>
    <row r="71" spans="1:103">
      <c r="A71" t="s">
        <v>1733</v>
      </c>
      <c r="B71" s="6" t="s">
        <v>130</v>
      </c>
      <c r="C71" s="5" t="b">
        <f t="shared" si="26"/>
        <v>0</v>
      </c>
      <c r="D71" t="str">
        <f>IFERROR(VLOOKUP($B71, aegis!$B:$C, 2, FALSE), 0)</f>
        <v>72</v>
      </c>
      <c r="E71" t="str">
        <f>IFERROR(VLOOKUP($B71, duel!$B:$C, 2, FALSE), 0)</f>
        <v>72</v>
      </c>
      <c r="F71" t="str">
        <f>IFERROR(VLOOKUP($B71, blitz!$B:$C, 2, FALSE), 0)</f>
        <v>72</v>
      </c>
      <c r="G71" t="b">
        <f t="shared" si="27"/>
        <v>1</v>
      </c>
      <c r="H71" t="str">
        <f>IFERROR(VLOOKUP($B71, aegis!$G:$H, 2, FALSE), 0)</f>
        <v>42</v>
      </c>
      <c r="I71" t="str">
        <f>IFERROR(VLOOKUP($B71, duel!$G:$H, 2, FALSE), 0)</f>
        <v>42</v>
      </c>
      <c r="J71" t="str">
        <f>IFERROR(VLOOKUP($B71, blitz!$G:$H, 2, FALSE), 0)</f>
        <v>42</v>
      </c>
      <c r="K71" t="b">
        <f t="shared" si="28"/>
        <v>1</v>
      </c>
      <c r="L71" t="str">
        <f>IFERROR(VLOOKUP($B71, aegis!$L:$M, 2, FALSE), 0)</f>
        <v>72</v>
      </c>
      <c r="M71" t="str">
        <f>IFERROR(VLOOKUP($B71, duel!$L:$M, 2, FALSE), 0)</f>
        <v>72</v>
      </c>
      <c r="N71" t="str">
        <f>IFERROR(VLOOKUP($B71, blitz!$L:$M, 2, FALSE), 0)</f>
        <v>72</v>
      </c>
      <c r="O71" t="b">
        <f t="shared" si="29"/>
        <v>1</v>
      </c>
      <c r="P71" t="str">
        <f>IFERROR(VLOOKUP($B71, aegis!$Q:$R, 2, FALSE), 0)</f>
        <v>42</v>
      </c>
      <c r="Q71" t="str">
        <f>IFERROR(VLOOKUP($B71, duel!$Q:$R, 2, FALSE), 0)</f>
        <v>42</v>
      </c>
      <c r="R71" t="str">
        <f>IFERROR(VLOOKUP($B71, blitz!$Q:$R, 2, FALSE), 0)</f>
        <v>42</v>
      </c>
      <c r="S71" t="b">
        <f t="shared" si="30"/>
        <v>1</v>
      </c>
      <c r="T71" t="str">
        <f>IFERROR(VLOOKUP($B71, aegis!$V:$W, 2, FALSE), 0)</f>
        <v>488</v>
      </c>
      <c r="U71" t="str">
        <f>IFERROR(VLOOKUP($B71, duel!$V:$W, 2, FALSE), 0)</f>
        <v>488</v>
      </c>
      <c r="V71" t="str">
        <f>IFERROR(VLOOKUP($B71, blitz!$V:$W, 2, FALSE), 0)</f>
        <v>488</v>
      </c>
      <c r="W71" t="b">
        <f t="shared" si="31"/>
        <v>1</v>
      </c>
      <c r="X71" t="str">
        <f>IFERROR(VLOOKUP($B71, aegis!$AA:$AB, 2, FALSE), 0)</f>
        <v>2</v>
      </c>
      <c r="Y71" t="str">
        <f>IFERROR(VLOOKUP($B71, duel!$AA:$AB, 2, FALSE), 0)</f>
        <v>4</v>
      </c>
      <c r="Z71" t="str">
        <f>IFERROR(VLOOKUP($B71, blitz!$AA:$AB, 2, FALSE), 0)</f>
        <v>2</v>
      </c>
      <c r="AA71" t="b">
        <f t="shared" si="32"/>
        <v>0</v>
      </c>
      <c r="AB71" t="str">
        <f>IFERROR(VLOOKUP($B71, aegis!$AF:$AG, 2, FALSE), 0)</f>
        <v>111</v>
      </c>
      <c r="AC71" t="str">
        <f>IFERROR(VLOOKUP($B71, duel!$AF:$AG, 2, FALSE), 0)</f>
        <v>111</v>
      </c>
      <c r="AD71" t="str">
        <f>IFERROR(VLOOKUP($B71, blitz!$AF:$AG, 2, FALSE), 0)</f>
        <v>111</v>
      </c>
      <c r="AE71" t="b">
        <f t="shared" si="33"/>
        <v>1</v>
      </c>
      <c r="AF71" t="str">
        <f>IFERROR(VLOOKUP($B71, aegis!$AK:$AL, 2, FALSE), 0)</f>
        <v>3</v>
      </c>
      <c r="AG71" t="str">
        <f>IFERROR(VLOOKUP($B71, duel!$AK:$AL, 2, FALSE), 0)</f>
        <v>1</v>
      </c>
      <c r="AH71" t="str">
        <f>IFERROR(VLOOKUP($B71, blitz!$AK:$AL, 2, FALSE), 0)</f>
        <v>1</v>
      </c>
      <c r="AI71" t="b">
        <f t="shared" si="34"/>
        <v>0</v>
      </c>
      <c r="AJ71" t="str">
        <f>IFERROR(VLOOKUP($B71, aegis!$AP:$AQ, 2, FALSE), 0)</f>
        <v>1</v>
      </c>
      <c r="AK71" t="str">
        <f>IFERROR(VLOOKUP($B71, duel!$AP:$AQ, 2, FALSE), 0)</f>
        <v>1</v>
      </c>
      <c r="AL71" t="str">
        <f>IFERROR(VLOOKUP($B71, blitz!$AP:$AQ, 2, FALSE), 0)</f>
        <v>1</v>
      </c>
      <c r="AM71" t="b">
        <f t="shared" si="35"/>
        <v>1</v>
      </c>
      <c r="AN71">
        <f>IFERROR(VLOOKUP($B71, aegis!$AU:$AV, 2, FALSE), 0)</f>
        <v>0</v>
      </c>
      <c r="AO71">
        <f>IFERROR(VLOOKUP($B71, duel!$AU:$AV, 2, FALSE), 0)</f>
        <v>0</v>
      </c>
      <c r="AP71">
        <f>IFERROR(VLOOKUP($B71, blitz!$AU:$AV, 2, FALSE), 0)</f>
        <v>0</v>
      </c>
      <c r="AQ71" t="b">
        <f t="shared" si="36"/>
        <v>1</v>
      </c>
      <c r="AR71" t="str">
        <f>IFERROR(VLOOKUP($B71, aegis!$AZ:$BA, 2, FALSE), 0)</f>
        <v>2</v>
      </c>
      <c r="AS71" t="str">
        <f>IFERROR(VLOOKUP($B71, duel!$AZ:$BA, 2, FALSE), 0)</f>
        <v>2</v>
      </c>
      <c r="AT71" t="str">
        <f>IFERROR(VLOOKUP($B71, blitz!$AZ:$BA, 2, FALSE), 0)</f>
        <v>2</v>
      </c>
      <c r="AU71" t="b">
        <f t="shared" si="37"/>
        <v>1</v>
      </c>
      <c r="AV71" t="str">
        <f>IFERROR(VLOOKUP($B71, aegis!$BE:$BF, 2, FALSE), 0)</f>
        <v>1</v>
      </c>
      <c r="AW71" t="str">
        <f>IFERROR(VLOOKUP($B71, duel!$BE:$BF, 2, FALSE), 0)</f>
        <v>1</v>
      </c>
      <c r="AX71" t="str">
        <f>IFERROR(VLOOKUP($B71, blitz!$BE:$BF, 2, FALSE), 0)</f>
        <v>1</v>
      </c>
      <c r="AY71" t="b">
        <f t="shared" si="38"/>
        <v>1</v>
      </c>
      <c r="AZ71" t="str">
        <f>IFERROR(VLOOKUP($B71, aegis!$BJ:$BK, 2, FALSE), 0)</f>
        <v>1</v>
      </c>
      <c r="BA71" t="str">
        <f>IFERROR(VLOOKUP($B71, duel!$BJ:$BK, 2, FALSE), 0)</f>
        <v>1</v>
      </c>
      <c r="BB71" t="str">
        <f>IFERROR(VLOOKUP($B71, blitz!$BJ:$BK, 2, FALSE), 0)</f>
        <v>1</v>
      </c>
      <c r="BC71" t="b">
        <f t="shared" si="39"/>
        <v>1</v>
      </c>
      <c r="BD71">
        <f>IFERROR(VLOOKUP($B71, aegis!$BO:$BP, 2, FALSE), 0)</f>
        <v>0</v>
      </c>
      <c r="BE71">
        <f>IFERROR(VLOOKUP($B71, duel!$BO:$BP, 2, FALSE), 0)</f>
        <v>0</v>
      </c>
      <c r="BF71">
        <f>IFERROR(VLOOKUP($B71, blitz!$BO:$BP, 2, FALSE), 0)</f>
        <v>0</v>
      </c>
      <c r="BG71" t="b">
        <f t="shared" si="40"/>
        <v>1</v>
      </c>
      <c r="BH71" t="str">
        <f>IFERROR(VLOOKUP($B71, aegis!$BT:$BU, 2, FALSE), 0)</f>
        <v>57</v>
      </c>
      <c r="BI71" t="str">
        <f>IFERROR(VLOOKUP($B71, duel!$BT:$BU, 2, FALSE), 0)</f>
        <v>57</v>
      </c>
      <c r="BJ71" t="str">
        <f>IFERROR(VLOOKUP($B71, blitz!$BT:$BU, 2, FALSE), 0)</f>
        <v>57</v>
      </c>
      <c r="BK71" t="b">
        <f t="shared" si="41"/>
        <v>1</v>
      </c>
      <c r="BL71" t="str">
        <f>IFERROR(VLOOKUP($B71, aegis!$BY:$BZ, 2, FALSE), 0)</f>
        <v>1</v>
      </c>
      <c r="BM71" t="str">
        <f>IFERROR(VLOOKUP($B71, duel!$BY:$BZ, 2, FALSE), 0)</f>
        <v>1</v>
      </c>
      <c r="BN71" t="str">
        <f>IFERROR(VLOOKUP($B71, blitz!$BY:$BZ, 2, FALSE), 0)</f>
        <v>1</v>
      </c>
      <c r="BO71" t="b">
        <f t="shared" si="42"/>
        <v>1</v>
      </c>
      <c r="BP71" t="str">
        <f>IFERROR(VLOOKUP($B71, aegis!$CD:$CE, 2, FALSE), 0)</f>
        <v>7</v>
      </c>
      <c r="BQ71" t="str">
        <f>IFERROR(VLOOKUP($B71, duel!$CD:$CE, 2, FALSE), 0)</f>
        <v>7</v>
      </c>
      <c r="BR71" t="str">
        <f>IFERROR(VLOOKUP($B71, blitz!$CD:$CE, 2, FALSE), 0)</f>
        <v>7</v>
      </c>
      <c r="BS71" t="b">
        <f t="shared" si="43"/>
        <v>1</v>
      </c>
      <c r="BT71">
        <f>IFERROR(VLOOKUP($B71, aegis!$CI:$CJ, 2, FALSE), 0)</f>
        <v>0</v>
      </c>
      <c r="BU71">
        <f>IFERROR(VLOOKUP($B71, duel!$CI:$CJ, 2, FALSE), 0)</f>
        <v>0</v>
      </c>
      <c r="BV71">
        <f>IFERROR(VLOOKUP($B71, blitz!$CI:$CJ, 2, FALSE), 0)</f>
        <v>0</v>
      </c>
      <c r="BW71" t="b">
        <f t="shared" si="44"/>
        <v>1</v>
      </c>
      <c r="BX71">
        <f>IFERROR(VLOOKUP($B71, aegis!$CN:$CO, 2, FALSE), 0)</f>
        <v>0</v>
      </c>
      <c r="BY71">
        <f>IFERROR(VLOOKUP($B71, duel!$CN:$CO, 2, FALSE), 0)</f>
        <v>0</v>
      </c>
      <c r="BZ71">
        <f>IFERROR(VLOOKUP($B71, blitz!$CN:$CO, 2, FALSE), 0)</f>
        <v>0</v>
      </c>
      <c r="CA71" t="b">
        <f t="shared" si="45"/>
        <v>1</v>
      </c>
      <c r="CB71">
        <f>IFERROR(VLOOKUP($B71, aegis!$CS:$CT, 2, FALSE), 0)</f>
        <v>0</v>
      </c>
      <c r="CC71">
        <f>IFERROR(VLOOKUP($B71, duel!$CS:$CT, 2, FALSE), 0)</f>
        <v>0</v>
      </c>
      <c r="CD71">
        <f>IFERROR(VLOOKUP($B71, blitz!$CS:$CT, 2, FALSE), 0)</f>
        <v>0</v>
      </c>
      <c r="CE71" t="b">
        <f t="shared" si="46"/>
        <v>1</v>
      </c>
      <c r="CF71" t="str">
        <f>IFERROR(VLOOKUP($B71, aegis!$CX:$CY, 2, FALSE), 0)</f>
        <v>31230</v>
      </c>
      <c r="CG71" t="str">
        <f>IFERROR(VLOOKUP($B71, duel!$CX:$CY, 2, FALSE), 0)</f>
        <v>31224</v>
      </c>
      <c r="CH71" t="str">
        <f>IFERROR(VLOOKUP($B71, blitz!$CX:$CY, 2, FALSE), 0)</f>
        <v>9452</v>
      </c>
      <c r="CI71" t="b">
        <f t="shared" si="47"/>
        <v>0</v>
      </c>
      <c r="CJ71" t="str">
        <f>IFERROR(VLOOKUP($B71, aegis!$DC:$DD, 2, FALSE), 0)</f>
        <v>1</v>
      </c>
      <c r="CK71" t="str">
        <f>IFERROR(VLOOKUP($B71, duel!$DC:$DD, 2, FALSE), 0)</f>
        <v>1</v>
      </c>
      <c r="CL71" t="str">
        <f>IFERROR(VLOOKUP($B71, blitz!$DC:$DD, 2, FALSE), 0)</f>
        <v>1</v>
      </c>
      <c r="CM71" t="b">
        <f t="shared" si="48"/>
        <v>1</v>
      </c>
      <c r="CN71" t="str">
        <f>IFERROR(VLOOKUP($B71, aegis!$DH:$DI, 2, FALSE), 0)</f>
        <v>1</v>
      </c>
      <c r="CO71" t="str">
        <f>IFERROR(VLOOKUP($B71, duel!$DH:$DI, 2, FALSE), 0)</f>
        <v>1</v>
      </c>
      <c r="CP71" s="13">
        <f>IFERROR(VLOOKUP($B71, blitz!$DH:$DI, 2, FALSE), 0)</f>
        <v>0</v>
      </c>
      <c r="CQ71" t="b">
        <f t="shared" si="49"/>
        <v>1</v>
      </c>
      <c r="CR71" t="str">
        <f>IFERROR(VLOOKUP($B71, aegis!$DM:$DN, 2, FALSE), 0)</f>
        <v>1</v>
      </c>
      <c r="CS71" t="str">
        <f>IFERROR(VLOOKUP($B71, duel!$DM:$DN, 2, FALSE), 0)</f>
        <v>1</v>
      </c>
      <c r="CT71" t="str">
        <f>IFERROR(VLOOKUP($B71, blitz!$DM:$DN, 2, FALSE), 0)</f>
        <v>1</v>
      </c>
      <c r="CU71" t="b">
        <f t="shared" si="50"/>
        <v>1</v>
      </c>
      <c r="CV71" t="str">
        <f>IFERROR(VLOOKUP($B71, aegis!$DR:$DS, 2, FALSE), 0)</f>
        <v>111</v>
      </c>
      <c r="CW71" t="str">
        <f>IFERROR(VLOOKUP($B71, duel!$DR:$DS, 2, FALSE), 0)</f>
        <v>111</v>
      </c>
      <c r="CX71" t="str">
        <f>IFERROR(VLOOKUP($B71, blitz!$DR:$DS, 2, FALSE), 0)</f>
        <v>111</v>
      </c>
      <c r="CY71" t="b">
        <f t="shared" si="51"/>
        <v>1</v>
      </c>
    </row>
    <row r="72" spans="1:103">
      <c r="A72" t="s">
        <v>1733</v>
      </c>
      <c r="B72" s="6" t="s">
        <v>132</v>
      </c>
      <c r="C72" s="5" t="b">
        <f t="shared" si="26"/>
        <v>0</v>
      </c>
      <c r="D72" t="str">
        <f>IFERROR(VLOOKUP($B72, aegis!$B:$C, 2, FALSE), 0)</f>
        <v>72</v>
      </c>
      <c r="E72" t="str">
        <f>IFERROR(VLOOKUP($B72, duel!$B:$C, 2, FALSE), 0)</f>
        <v>72</v>
      </c>
      <c r="F72" t="str">
        <f>IFERROR(VLOOKUP($B72, blitz!$B:$C, 2, FALSE), 0)</f>
        <v>72</v>
      </c>
      <c r="G72" t="b">
        <f t="shared" si="27"/>
        <v>1</v>
      </c>
      <c r="H72" t="str">
        <f>IFERROR(VLOOKUP($B72, aegis!$G:$H, 2, FALSE), 0)</f>
        <v>42</v>
      </c>
      <c r="I72" t="str">
        <f>IFERROR(VLOOKUP($B72, duel!$G:$H, 2, FALSE), 0)</f>
        <v>42</v>
      </c>
      <c r="J72" t="str">
        <f>IFERROR(VLOOKUP($B72, blitz!$G:$H, 2, FALSE), 0)</f>
        <v>42</v>
      </c>
      <c r="K72" t="b">
        <f t="shared" si="28"/>
        <v>1</v>
      </c>
      <c r="L72" t="str">
        <f>IFERROR(VLOOKUP($B72, aegis!$L:$M, 2, FALSE), 0)</f>
        <v>72</v>
      </c>
      <c r="M72" t="str">
        <f>IFERROR(VLOOKUP($B72, duel!$L:$M, 2, FALSE), 0)</f>
        <v>72</v>
      </c>
      <c r="N72" t="str">
        <f>IFERROR(VLOOKUP($B72, blitz!$L:$M, 2, FALSE), 0)</f>
        <v>72</v>
      </c>
      <c r="O72" t="b">
        <f t="shared" si="29"/>
        <v>1</v>
      </c>
      <c r="P72" t="str">
        <f>IFERROR(VLOOKUP($B72, aegis!$Q:$R, 2, FALSE), 0)</f>
        <v>42</v>
      </c>
      <c r="Q72" t="str">
        <f>IFERROR(VLOOKUP($B72, duel!$Q:$R, 2, FALSE), 0)</f>
        <v>42</v>
      </c>
      <c r="R72" t="str">
        <f>IFERROR(VLOOKUP($B72, blitz!$Q:$R, 2, FALSE), 0)</f>
        <v>42</v>
      </c>
      <c r="S72" t="b">
        <f t="shared" si="30"/>
        <v>1</v>
      </c>
      <c r="T72" t="str">
        <f>IFERROR(VLOOKUP($B72, aegis!$V:$W, 2, FALSE), 0)</f>
        <v>476</v>
      </c>
      <c r="U72" t="str">
        <f>IFERROR(VLOOKUP($B72, duel!$V:$W, 2, FALSE), 0)</f>
        <v>476</v>
      </c>
      <c r="V72" t="str">
        <f>IFERROR(VLOOKUP($B72, blitz!$V:$W, 2, FALSE), 0)</f>
        <v>476</v>
      </c>
      <c r="W72" t="b">
        <f t="shared" si="31"/>
        <v>1</v>
      </c>
      <c r="X72" t="str">
        <f>IFERROR(VLOOKUP($B72, aegis!$AA:$AB, 2, FALSE), 0)</f>
        <v>2</v>
      </c>
      <c r="Y72" t="str">
        <f>IFERROR(VLOOKUP($B72, duel!$AA:$AB, 2, FALSE), 0)</f>
        <v>4</v>
      </c>
      <c r="Z72" t="str">
        <f>IFERROR(VLOOKUP($B72, blitz!$AA:$AB, 2, FALSE), 0)</f>
        <v>2</v>
      </c>
      <c r="AA72" t="b">
        <f t="shared" si="32"/>
        <v>0</v>
      </c>
      <c r="AB72" t="str">
        <f>IFERROR(VLOOKUP($B72, aegis!$AF:$AG, 2, FALSE), 0)</f>
        <v>130</v>
      </c>
      <c r="AC72" t="str">
        <f>IFERROR(VLOOKUP($B72, duel!$AF:$AG, 2, FALSE), 0)</f>
        <v>130</v>
      </c>
      <c r="AD72" t="str">
        <f>IFERROR(VLOOKUP($B72, blitz!$AF:$AG, 2, FALSE), 0)</f>
        <v>130</v>
      </c>
      <c r="AE72" t="b">
        <f t="shared" si="33"/>
        <v>1</v>
      </c>
      <c r="AF72" t="str">
        <f>IFERROR(VLOOKUP($B72, aegis!$AK:$AL, 2, FALSE), 0)</f>
        <v>3</v>
      </c>
      <c r="AG72" t="str">
        <f>IFERROR(VLOOKUP($B72, duel!$AK:$AL, 2, FALSE), 0)</f>
        <v>1</v>
      </c>
      <c r="AH72" t="str">
        <f>IFERROR(VLOOKUP($B72, blitz!$AK:$AL, 2, FALSE), 0)</f>
        <v>1</v>
      </c>
      <c r="AI72" t="b">
        <f t="shared" si="34"/>
        <v>0</v>
      </c>
      <c r="AJ72" t="str">
        <f>IFERROR(VLOOKUP($B72, aegis!$AP:$AQ, 2, FALSE), 0)</f>
        <v>1</v>
      </c>
      <c r="AK72" t="str">
        <f>IFERROR(VLOOKUP($B72, duel!$AP:$AQ, 2, FALSE), 0)</f>
        <v>1</v>
      </c>
      <c r="AL72" t="str">
        <f>IFERROR(VLOOKUP($B72, blitz!$AP:$AQ, 2, FALSE), 0)</f>
        <v>1</v>
      </c>
      <c r="AM72" t="b">
        <f t="shared" si="35"/>
        <v>1</v>
      </c>
      <c r="AN72">
        <f>IFERROR(VLOOKUP($B72, aegis!$AU:$AV, 2, FALSE), 0)</f>
        <v>0</v>
      </c>
      <c r="AO72">
        <f>IFERROR(VLOOKUP($B72, duel!$AU:$AV, 2, FALSE), 0)</f>
        <v>0</v>
      </c>
      <c r="AP72">
        <f>IFERROR(VLOOKUP($B72, blitz!$AU:$AV, 2, FALSE), 0)</f>
        <v>0</v>
      </c>
      <c r="AQ72" t="b">
        <f t="shared" si="36"/>
        <v>1</v>
      </c>
      <c r="AR72" t="str">
        <f>IFERROR(VLOOKUP($B72, aegis!$AZ:$BA, 2, FALSE), 0)</f>
        <v>2</v>
      </c>
      <c r="AS72" t="str">
        <f>IFERROR(VLOOKUP($B72, duel!$AZ:$BA, 2, FALSE), 0)</f>
        <v>2</v>
      </c>
      <c r="AT72" t="str">
        <f>IFERROR(VLOOKUP($B72, blitz!$AZ:$BA, 2, FALSE), 0)</f>
        <v>2</v>
      </c>
      <c r="AU72" t="b">
        <f t="shared" si="37"/>
        <v>1</v>
      </c>
      <c r="AV72" t="str">
        <f>IFERROR(VLOOKUP($B72, aegis!$BE:$BF, 2, FALSE), 0)</f>
        <v>1</v>
      </c>
      <c r="AW72" t="str">
        <f>IFERROR(VLOOKUP($B72, duel!$BE:$BF, 2, FALSE), 0)</f>
        <v>1</v>
      </c>
      <c r="AX72" t="str">
        <f>IFERROR(VLOOKUP($B72, blitz!$BE:$BF, 2, FALSE), 0)</f>
        <v>1</v>
      </c>
      <c r="AY72" t="b">
        <f t="shared" si="38"/>
        <v>1</v>
      </c>
      <c r="AZ72" t="str">
        <f>IFERROR(VLOOKUP($B72, aegis!$BJ:$BK, 2, FALSE), 0)</f>
        <v>1</v>
      </c>
      <c r="BA72" t="str">
        <f>IFERROR(VLOOKUP($B72, duel!$BJ:$BK, 2, FALSE), 0)</f>
        <v>1</v>
      </c>
      <c r="BB72" t="str">
        <f>IFERROR(VLOOKUP($B72, blitz!$BJ:$BK, 2, FALSE), 0)</f>
        <v>1</v>
      </c>
      <c r="BC72" t="b">
        <f t="shared" si="39"/>
        <v>1</v>
      </c>
      <c r="BD72">
        <f>IFERROR(VLOOKUP($B72, aegis!$BO:$BP, 2, FALSE), 0)</f>
        <v>0</v>
      </c>
      <c r="BE72">
        <f>IFERROR(VLOOKUP($B72, duel!$BO:$BP, 2, FALSE), 0)</f>
        <v>0</v>
      </c>
      <c r="BF72">
        <f>IFERROR(VLOOKUP($B72, blitz!$BO:$BP, 2, FALSE), 0)</f>
        <v>0</v>
      </c>
      <c r="BG72" t="b">
        <f t="shared" si="40"/>
        <v>1</v>
      </c>
      <c r="BH72" t="str">
        <f>IFERROR(VLOOKUP($B72, aegis!$BT:$BU, 2, FALSE), 0)</f>
        <v>75</v>
      </c>
      <c r="BI72" t="str">
        <f>IFERROR(VLOOKUP($B72, duel!$BT:$BU, 2, FALSE), 0)</f>
        <v>75</v>
      </c>
      <c r="BJ72" t="str">
        <f>IFERROR(VLOOKUP($B72, blitz!$BT:$BU, 2, FALSE), 0)</f>
        <v>75</v>
      </c>
      <c r="BK72" t="b">
        <f t="shared" si="41"/>
        <v>1</v>
      </c>
      <c r="BL72" t="str">
        <f>IFERROR(VLOOKUP($B72, aegis!$BY:$BZ, 2, FALSE), 0)</f>
        <v>1</v>
      </c>
      <c r="BM72" t="str">
        <f>IFERROR(VLOOKUP($B72, duel!$BY:$BZ, 2, FALSE), 0)</f>
        <v>1</v>
      </c>
      <c r="BN72" t="str">
        <f>IFERROR(VLOOKUP($B72, blitz!$BY:$BZ, 2, FALSE), 0)</f>
        <v>1</v>
      </c>
      <c r="BO72" t="b">
        <f t="shared" si="42"/>
        <v>1</v>
      </c>
      <c r="BP72" t="str">
        <f>IFERROR(VLOOKUP($B72, aegis!$CD:$CE, 2, FALSE), 0)</f>
        <v>8</v>
      </c>
      <c r="BQ72" t="str">
        <f>IFERROR(VLOOKUP($B72, duel!$CD:$CE, 2, FALSE), 0)</f>
        <v>8</v>
      </c>
      <c r="BR72" t="str">
        <f>IFERROR(VLOOKUP($B72, blitz!$CD:$CE, 2, FALSE), 0)</f>
        <v>8</v>
      </c>
      <c r="BS72" t="b">
        <f t="shared" si="43"/>
        <v>1</v>
      </c>
      <c r="BT72">
        <f>IFERROR(VLOOKUP($B72, aegis!$CI:$CJ, 2, FALSE), 0)</f>
        <v>0</v>
      </c>
      <c r="BU72">
        <f>IFERROR(VLOOKUP($B72, duel!$CI:$CJ, 2, FALSE), 0)</f>
        <v>0</v>
      </c>
      <c r="BV72">
        <f>IFERROR(VLOOKUP($B72, blitz!$CI:$CJ, 2, FALSE), 0)</f>
        <v>0</v>
      </c>
      <c r="BW72" t="b">
        <f t="shared" si="44"/>
        <v>1</v>
      </c>
      <c r="BX72">
        <f>IFERROR(VLOOKUP($B72, aegis!$CN:$CO, 2, FALSE), 0)</f>
        <v>0</v>
      </c>
      <c r="BY72">
        <f>IFERROR(VLOOKUP($B72, duel!$CN:$CO, 2, FALSE), 0)</f>
        <v>0</v>
      </c>
      <c r="BZ72">
        <f>IFERROR(VLOOKUP($B72, blitz!$CN:$CO, 2, FALSE), 0)</f>
        <v>0</v>
      </c>
      <c r="CA72" t="b">
        <f t="shared" si="45"/>
        <v>1</v>
      </c>
      <c r="CB72">
        <f>IFERROR(VLOOKUP($B72, aegis!$CS:$CT, 2, FALSE), 0)</f>
        <v>0</v>
      </c>
      <c r="CC72">
        <f>IFERROR(VLOOKUP($B72, duel!$CS:$CT, 2, FALSE), 0)</f>
        <v>0</v>
      </c>
      <c r="CD72">
        <f>IFERROR(VLOOKUP($B72, blitz!$CS:$CT, 2, FALSE), 0)</f>
        <v>0</v>
      </c>
      <c r="CE72" t="b">
        <f t="shared" si="46"/>
        <v>1</v>
      </c>
      <c r="CF72" t="str">
        <f>IFERROR(VLOOKUP($B72, aegis!$CX:$CY, 2, FALSE), 0)</f>
        <v>26557</v>
      </c>
      <c r="CG72" t="str">
        <f>IFERROR(VLOOKUP($B72, duel!$CX:$CY, 2, FALSE), 0)</f>
        <v>26548</v>
      </c>
      <c r="CH72" t="str">
        <f>IFERROR(VLOOKUP($B72, blitz!$CX:$CY, 2, FALSE), 0)</f>
        <v>10012</v>
      </c>
      <c r="CI72" t="b">
        <f t="shared" si="47"/>
        <v>0</v>
      </c>
      <c r="CJ72" t="str">
        <f>IFERROR(VLOOKUP($B72, aegis!$DC:$DD, 2, FALSE), 0)</f>
        <v>1</v>
      </c>
      <c r="CK72" t="str">
        <f>IFERROR(VLOOKUP($B72, duel!$DC:$DD, 2, FALSE), 0)</f>
        <v>1</v>
      </c>
      <c r="CL72" t="str">
        <f>IFERROR(VLOOKUP($B72, blitz!$DC:$DD, 2, FALSE), 0)</f>
        <v>1</v>
      </c>
      <c r="CM72" t="b">
        <f t="shared" si="48"/>
        <v>1</v>
      </c>
      <c r="CN72" t="str">
        <f>IFERROR(VLOOKUP($B72, aegis!$DH:$DI, 2, FALSE), 0)</f>
        <v>4</v>
      </c>
      <c r="CO72" t="str">
        <f>IFERROR(VLOOKUP($B72, duel!$DH:$DI, 2, FALSE), 0)</f>
        <v>4</v>
      </c>
      <c r="CP72" s="13">
        <f>IFERROR(VLOOKUP($B72, blitz!$DH:$DI, 2, FALSE), 0)</f>
        <v>0</v>
      </c>
      <c r="CQ72" t="b">
        <f t="shared" si="49"/>
        <v>1</v>
      </c>
      <c r="CR72" t="str">
        <f>IFERROR(VLOOKUP($B72, aegis!$DM:$DN, 2, FALSE), 0)</f>
        <v>1</v>
      </c>
      <c r="CS72" t="str">
        <f>IFERROR(VLOOKUP($B72, duel!$DM:$DN, 2, FALSE), 0)</f>
        <v>1</v>
      </c>
      <c r="CT72" t="str">
        <f>IFERROR(VLOOKUP($B72, blitz!$DM:$DN, 2, FALSE), 0)</f>
        <v>1</v>
      </c>
      <c r="CU72" t="b">
        <f t="shared" si="50"/>
        <v>1</v>
      </c>
      <c r="CV72" t="str">
        <f>IFERROR(VLOOKUP($B72, aegis!$DR:$DS, 2, FALSE), 0)</f>
        <v>127</v>
      </c>
      <c r="CW72" t="str">
        <f>IFERROR(VLOOKUP($B72, duel!$DR:$DS, 2, FALSE), 0)</f>
        <v>127</v>
      </c>
      <c r="CX72" t="str">
        <f>IFERROR(VLOOKUP($B72, blitz!$DR:$DS, 2, FALSE), 0)</f>
        <v>127</v>
      </c>
      <c r="CY72" t="b">
        <f t="shared" si="51"/>
        <v>1</v>
      </c>
    </row>
    <row r="73" spans="1:103">
      <c r="A73" t="s">
        <v>1733</v>
      </c>
      <c r="B73" s="6" t="s">
        <v>134</v>
      </c>
      <c r="C73" s="5" t="b">
        <f t="shared" si="26"/>
        <v>0</v>
      </c>
      <c r="D73" t="str">
        <f>IFERROR(VLOOKUP($B73, aegis!$B:$C, 2, FALSE), 0)</f>
        <v>36</v>
      </c>
      <c r="E73" t="str">
        <f>IFERROR(VLOOKUP($B73, duel!$B:$C, 2, FALSE), 0)</f>
        <v>36</v>
      </c>
      <c r="F73" t="str">
        <f>IFERROR(VLOOKUP($B73, blitz!$B:$C, 2, FALSE), 0)</f>
        <v>36</v>
      </c>
      <c r="G73" t="b">
        <f t="shared" si="27"/>
        <v>1</v>
      </c>
      <c r="H73" t="str">
        <f>IFERROR(VLOOKUP($B73, aegis!$G:$H, 2, FALSE), 0)</f>
        <v>21</v>
      </c>
      <c r="I73" t="str">
        <f>IFERROR(VLOOKUP($B73, duel!$G:$H, 2, FALSE), 0)</f>
        <v>21</v>
      </c>
      <c r="J73" t="str">
        <f>IFERROR(VLOOKUP($B73, blitz!$G:$H, 2, FALSE), 0)</f>
        <v>21</v>
      </c>
      <c r="K73" t="b">
        <f t="shared" si="28"/>
        <v>1</v>
      </c>
      <c r="L73" t="str">
        <f>IFERROR(VLOOKUP($B73, aegis!$L:$M, 2, FALSE), 0)</f>
        <v>36</v>
      </c>
      <c r="M73" t="str">
        <f>IFERROR(VLOOKUP($B73, duel!$L:$M, 2, FALSE), 0)</f>
        <v>36</v>
      </c>
      <c r="N73" t="str">
        <f>IFERROR(VLOOKUP($B73, blitz!$L:$M, 2, FALSE), 0)</f>
        <v>36</v>
      </c>
      <c r="O73" t="b">
        <f t="shared" si="29"/>
        <v>1</v>
      </c>
      <c r="P73" t="str">
        <f>IFERROR(VLOOKUP($B73, aegis!$Q:$R, 2, FALSE), 0)</f>
        <v>21</v>
      </c>
      <c r="Q73" t="str">
        <f>IFERROR(VLOOKUP($B73, duel!$Q:$R, 2, FALSE), 0)</f>
        <v>21</v>
      </c>
      <c r="R73" t="str">
        <f>IFERROR(VLOOKUP($B73, blitz!$Q:$R, 2, FALSE), 0)</f>
        <v>21</v>
      </c>
      <c r="S73" t="b">
        <f t="shared" si="30"/>
        <v>1</v>
      </c>
      <c r="T73" t="str">
        <f>IFERROR(VLOOKUP($B73, aegis!$V:$W, 2, FALSE), 0)</f>
        <v>98</v>
      </c>
      <c r="U73" t="str">
        <f>IFERROR(VLOOKUP($B73, duel!$V:$W, 2, FALSE), 0)</f>
        <v>98</v>
      </c>
      <c r="V73" t="str">
        <f>IFERROR(VLOOKUP($B73, blitz!$V:$W, 2, FALSE), 0)</f>
        <v>98</v>
      </c>
      <c r="W73" t="b">
        <f t="shared" si="31"/>
        <v>1</v>
      </c>
      <c r="X73" t="str">
        <f>IFERROR(VLOOKUP($B73, aegis!$AA:$AB, 2, FALSE), 0)</f>
        <v>2</v>
      </c>
      <c r="Y73" t="str">
        <f>IFERROR(VLOOKUP($B73, duel!$AA:$AB, 2, FALSE), 0)</f>
        <v>4</v>
      </c>
      <c r="Z73" t="str">
        <f>IFERROR(VLOOKUP($B73, blitz!$AA:$AB, 2, FALSE), 0)</f>
        <v>2</v>
      </c>
      <c r="AA73" t="b">
        <f t="shared" si="32"/>
        <v>0</v>
      </c>
      <c r="AB73" t="str">
        <f>IFERROR(VLOOKUP($B73, aegis!$AF:$AG, 2, FALSE), 0)</f>
        <v>57</v>
      </c>
      <c r="AC73" t="str">
        <f>IFERROR(VLOOKUP($B73, duel!$AF:$AG, 2, FALSE), 0)</f>
        <v>57</v>
      </c>
      <c r="AD73" t="str">
        <f>IFERROR(VLOOKUP($B73, blitz!$AF:$AG, 2, FALSE), 0)</f>
        <v>57</v>
      </c>
      <c r="AE73" t="b">
        <f t="shared" si="33"/>
        <v>1</v>
      </c>
      <c r="AF73" t="str">
        <f>IFERROR(VLOOKUP($B73, aegis!$AK:$AL, 2, FALSE), 0)</f>
        <v>3</v>
      </c>
      <c r="AG73" t="str">
        <f>IFERROR(VLOOKUP($B73, duel!$AK:$AL, 2, FALSE), 0)</f>
        <v>1</v>
      </c>
      <c r="AH73" t="str">
        <f>IFERROR(VLOOKUP($B73, blitz!$AK:$AL, 2, FALSE), 0)</f>
        <v>1</v>
      </c>
      <c r="AI73" t="b">
        <f t="shared" si="34"/>
        <v>0</v>
      </c>
      <c r="AJ73" t="str">
        <f>IFERROR(VLOOKUP($B73, aegis!$AP:$AQ, 2, FALSE), 0)</f>
        <v>1</v>
      </c>
      <c r="AK73" t="str">
        <f>IFERROR(VLOOKUP($B73, duel!$AP:$AQ, 2, FALSE), 0)</f>
        <v>1</v>
      </c>
      <c r="AL73" t="str">
        <f>IFERROR(VLOOKUP($B73, blitz!$AP:$AQ, 2, FALSE), 0)</f>
        <v>1</v>
      </c>
      <c r="AM73" t="b">
        <f t="shared" si="35"/>
        <v>1</v>
      </c>
      <c r="AN73">
        <f>IFERROR(VLOOKUP($B73, aegis!$AU:$AV, 2, FALSE), 0)</f>
        <v>0</v>
      </c>
      <c r="AO73">
        <f>IFERROR(VLOOKUP($B73, duel!$AU:$AV, 2, FALSE), 0)</f>
        <v>0</v>
      </c>
      <c r="AP73">
        <f>IFERROR(VLOOKUP($B73, blitz!$AU:$AV, 2, FALSE), 0)</f>
        <v>0</v>
      </c>
      <c r="AQ73" t="b">
        <f t="shared" si="36"/>
        <v>1</v>
      </c>
      <c r="AR73" t="str">
        <f>IFERROR(VLOOKUP($B73, aegis!$AZ:$BA, 2, FALSE), 0)</f>
        <v>2</v>
      </c>
      <c r="AS73" t="str">
        <f>IFERROR(VLOOKUP($B73, duel!$AZ:$BA, 2, FALSE), 0)</f>
        <v>2</v>
      </c>
      <c r="AT73" t="str">
        <f>IFERROR(VLOOKUP($B73, blitz!$AZ:$BA, 2, FALSE), 0)</f>
        <v>2</v>
      </c>
      <c r="AU73" t="b">
        <f t="shared" si="37"/>
        <v>1</v>
      </c>
      <c r="AV73" t="str">
        <f>IFERROR(VLOOKUP($B73, aegis!$BE:$BF, 2, FALSE), 0)</f>
        <v>2</v>
      </c>
      <c r="AW73" t="str">
        <f>IFERROR(VLOOKUP($B73, duel!$BE:$BF, 2, FALSE), 0)</f>
        <v>2</v>
      </c>
      <c r="AX73" t="str">
        <f>IFERROR(VLOOKUP($B73, blitz!$BE:$BF, 2, FALSE), 0)</f>
        <v>2</v>
      </c>
      <c r="AY73" t="b">
        <f t="shared" si="38"/>
        <v>1</v>
      </c>
      <c r="AZ73" t="str">
        <f>IFERROR(VLOOKUP($B73, aegis!$BJ:$BK, 2, FALSE), 0)</f>
        <v>1</v>
      </c>
      <c r="BA73" t="str">
        <f>IFERROR(VLOOKUP($B73, duel!$BJ:$BK, 2, FALSE), 0)</f>
        <v>1</v>
      </c>
      <c r="BB73" t="str">
        <f>IFERROR(VLOOKUP($B73, blitz!$BJ:$BK, 2, FALSE), 0)</f>
        <v>1</v>
      </c>
      <c r="BC73" t="b">
        <f t="shared" si="39"/>
        <v>1</v>
      </c>
      <c r="BD73">
        <f>IFERROR(VLOOKUP($B73, aegis!$BO:$BP, 2, FALSE), 0)</f>
        <v>0</v>
      </c>
      <c r="BE73">
        <f>IFERROR(VLOOKUP($B73, duel!$BO:$BP, 2, FALSE), 0)</f>
        <v>0</v>
      </c>
      <c r="BF73">
        <f>IFERROR(VLOOKUP($B73, blitz!$BO:$BP, 2, FALSE), 0)</f>
        <v>0</v>
      </c>
      <c r="BG73" t="b">
        <f t="shared" si="40"/>
        <v>1</v>
      </c>
      <c r="BH73" t="str">
        <f>IFERROR(VLOOKUP($B73, aegis!$BT:$BU, 2, FALSE), 0)</f>
        <v>30</v>
      </c>
      <c r="BI73" t="str">
        <f>IFERROR(VLOOKUP($B73, duel!$BT:$BU, 2, FALSE), 0)</f>
        <v>30</v>
      </c>
      <c r="BJ73" t="str">
        <f>IFERROR(VLOOKUP($B73, blitz!$BT:$BU, 2, FALSE), 0)</f>
        <v>30</v>
      </c>
      <c r="BK73" t="b">
        <f t="shared" si="41"/>
        <v>1</v>
      </c>
      <c r="BL73" t="str">
        <f>IFERROR(VLOOKUP($B73, aegis!$BY:$BZ, 2, FALSE), 0)</f>
        <v>2</v>
      </c>
      <c r="BM73" t="str">
        <f>IFERROR(VLOOKUP($B73, duel!$BY:$BZ, 2, FALSE), 0)</f>
        <v>2</v>
      </c>
      <c r="BN73" t="str">
        <f>IFERROR(VLOOKUP($B73, blitz!$BY:$BZ, 2, FALSE), 0)</f>
        <v>2</v>
      </c>
      <c r="BO73" t="b">
        <f t="shared" si="42"/>
        <v>1</v>
      </c>
      <c r="BP73" t="str">
        <f>IFERROR(VLOOKUP($B73, aegis!$CD:$CE, 2, FALSE), 0)</f>
        <v>8</v>
      </c>
      <c r="BQ73" t="str">
        <f>IFERROR(VLOOKUP($B73, duel!$CD:$CE, 2, FALSE), 0)</f>
        <v>8</v>
      </c>
      <c r="BR73" t="str">
        <f>IFERROR(VLOOKUP($B73, blitz!$CD:$CE, 2, FALSE), 0)</f>
        <v>8</v>
      </c>
      <c r="BS73" t="b">
        <f t="shared" si="43"/>
        <v>1</v>
      </c>
      <c r="BT73">
        <f>IFERROR(VLOOKUP($B73, aegis!$CI:$CJ, 2, FALSE), 0)</f>
        <v>0</v>
      </c>
      <c r="BU73">
        <f>IFERROR(VLOOKUP($B73, duel!$CI:$CJ, 2, FALSE), 0)</f>
        <v>0</v>
      </c>
      <c r="BV73">
        <f>IFERROR(VLOOKUP($B73, blitz!$CI:$CJ, 2, FALSE), 0)</f>
        <v>0</v>
      </c>
      <c r="BW73" t="b">
        <f t="shared" si="44"/>
        <v>1</v>
      </c>
      <c r="BX73">
        <f>IFERROR(VLOOKUP($B73, aegis!$CN:$CO, 2, FALSE), 0)</f>
        <v>0</v>
      </c>
      <c r="BY73">
        <f>IFERROR(VLOOKUP($B73, duel!$CN:$CO, 2, FALSE), 0)</f>
        <v>0</v>
      </c>
      <c r="BZ73">
        <f>IFERROR(VLOOKUP($B73, blitz!$CN:$CO, 2, FALSE), 0)</f>
        <v>0</v>
      </c>
      <c r="CA73" t="b">
        <f t="shared" si="45"/>
        <v>1</v>
      </c>
      <c r="CB73">
        <f>IFERROR(VLOOKUP($B73, aegis!$CS:$CT, 2, FALSE), 0)</f>
        <v>0</v>
      </c>
      <c r="CC73">
        <f>IFERROR(VLOOKUP($B73, duel!$CS:$CT, 2, FALSE), 0)</f>
        <v>0</v>
      </c>
      <c r="CD73">
        <f>IFERROR(VLOOKUP($B73, blitz!$CS:$CT, 2, FALSE), 0)</f>
        <v>0</v>
      </c>
      <c r="CE73" t="b">
        <f t="shared" si="46"/>
        <v>1</v>
      </c>
      <c r="CF73" t="str">
        <f>IFERROR(VLOOKUP($B73, aegis!$CX:$CY, 2, FALSE), 0)</f>
        <v>13043</v>
      </c>
      <c r="CG73" t="str">
        <f>IFERROR(VLOOKUP($B73, duel!$CX:$CY, 2, FALSE), 0)</f>
        <v>13041</v>
      </c>
      <c r="CH73" t="str">
        <f>IFERROR(VLOOKUP($B73, blitz!$CX:$CY, 2, FALSE), 0)</f>
        <v>3874</v>
      </c>
      <c r="CI73" t="b">
        <f t="shared" si="47"/>
        <v>0</v>
      </c>
      <c r="CJ73" t="str">
        <f>IFERROR(VLOOKUP($B73, aegis!$DC:$DD, 2, FALSE), 0)</f>
        <v>1</v>
      </c>
      <c r="CK73" t="str">
        <f>IFERROR(VLOOKUP($B73, duel!$DC:$DD, 2, FALSE), 0)</f>
        <v>1</v>
      </c>
      <c r="CL73" t="str">
        <f>IFERROR(VLOOKUP($B73, blitz!$DC:$DD, 2, FALSE), 0)</f>
        <v>1</v>
      </c>
      <c r="CM73" t="b">
        <f t="shared" si="48"/>
        <v>1</v>
      </c>
      <c r="CN73" t="str">
        <f>IFERROR(VLOOKUP($B73, aegis!$DH:$DI, 2, FALSE), 0)</f>
        <v>4</v>
      </c>
      <c r="CO73" t="str">
        <f>IFERROR(VLOOKUP($B73, duel!$DH:$DI, 2, FALSE), 0)</f>
        <v>4</v>
      </c>
      <c r="CP73" s="13">
        <f>IFERROR(VLOOKUP($B73, blitz!$DH:$DI, 2, FALSE), 0)</f>
        <v>0</v>
      </c>
      <c r="CQ73" t="b">
        <f t="shared" si="49"/>
        <v>1</v>
      </c>
      <c r="CR73" t="str">
        <f>IFERROR(VLOOKUP($B73, aegis!$DM:$DN, 2, FALSE), 0)</f>
        <v>1</v>
      </c>
      <c r="CS73" t="str">
        <f>IFERROR(VLOOKUP($B73, duel!$DM:$DN, 2, FALSE), 0)</f>
        <v>1</v>
      </c>
      <c r="CT73" t="str">
        <f>IFERROR(VLOOKUP($B73, blitz!$DM:$DN, 2, FALSE), 0)</f>
        <v>1</v>
      </c>
      <c r="CU73" t="b">
        <f t="shared" si="50"/>
        <v>1</v>
      </c>
      <c r="CV73" t="str">
        <f>IFERROR(VLOOKUP($B73, aegis!$DR:$DS, 2, FALSE), 0)</f>
        <v>56</v>
      </c>
      <c r="CW73" t="str">
        <f>IFERROR(VLOOKUP($B73, duel!$DR:$DS, 2, FALSE), 0)</f>
        <v>56</v>
      </c>
      <c r="CX73" t="str">
        <f>IFERROR(VLOOKUP($B73, blitz!$DR:$DS, 2, FALSE), 0)</f>
        <v>56</v>
      </c>
      <c r="CY73" t="b">
        <f t="shared" si="51"/>
        <v>1</v>
      </c>
    </row>
    <row r="74" spans="1:103">
      <c r="A74" t="s">
        <v>1733</v>
      </c>
      <c r="B74" s="6" t="s">
        <v>136</v>
      </c>
      <c r="C74" s="5" t="b">
        <f t="shared" si="26"/>
        <v>0</v>
      </c>
      <c r="D74" t="str">
        <f>IFERROR(VLOOKUP($B74, aegis!$B:$C, 2, FALSE), 0)</f>
        <v>120</v>
      </c>
      <c r="E74" t="str">
        <f>IFERROR(VLOOKUP($B74, duel!$B:$C, 2, FALSE), 0)</f>
        <v>120</v>
      </c>
      <c r="F74" t="str">
        <f>IFERROR(VLOOKUP($B74, blitz!$B:$C, 2, FALSE), 0)</f>
        <v>120</v>
      </c>
      <c r="G74" t="b">
        <f t="shared" si="27"/>
        <v>1</v>
      </c>
      <c r="H74" t="str">
        <f>IFERROR(VLOOKUP($B74, aegis!$G:$H, 2, FALSE), 0)</f>
        <v>70</v>
      </c>
      <c r="I74" t="str">
        <f>IFERROR(VLOOKUP($B74, duel!$G:$H, 2, FALSE), 0)</f>
        <v>70</v>
      </c>
      <c r="J74" t="str">
        <f>IFERROR(VLOOKUP($B74, blitz!$G:$H, 2, FALSE), 0)</f>
        <v>70</v>
      </c>
      <c r="K74" t="b">
        <f t="shared" si="28"/>
        <v>1</v>
      </c>
      <c r="L74" t="str">
        <f>IFERROR(VLOOKUP($B74, aegis!$L:$M, 2, FALSE), 0)</f>
        <v>120</v>
      </c>
      <c r="M74" t="str">
        <f>IFERROR(VLOOKUP($B74, duel!$L:$M, 2, FALSE), 0)</f>
        <v>120</v>
      </c>
      <c r="N74" t="str">
        <f>IFERROR(VLOOKUP($B74, blitz!$L:$M, 2, FALSE), 0)</f>
        <v>120</v>
      </c>
      <c r="O74" t="b">
        <f t="shared" si="29"/>
        <v>1</v>
      </c>
      <c r="P74" t="str">
        <f>IFERROR(VLOOKUP($B74, aegis!$Q:$R, 2, FALSE), 0)</f>
        <v>70</v>
      </c>
      <c r="Q74" t="str">
        <f>IFERROR(VLOOKUP($B74, duel!$Q:$R, 2, FALSE), 0)</f>
        <v>70</v>
      </c>
      <c r="R74" t="str">
        <f>IFERROR(VLOOKUP($B74, blitz!$Q:$R, 2, FALSE), 0)</f>
        <v>70</v>
      </c>
      <c r="S74" t="b">
        <f t="shared" si="30"/>
        <v>1</v>
      </c>
      <c r="T74" t="str">
        <f>IFERROR(VLOOKUP($B74, aegis!$V:$W, 2, FALSE), 0)</f>
        <v>322</v>
      </c>
      <c r="U74" t="str">
        <f>IFERROR(VLOOKUP($B74, duel!$V:$W, 2, FALSE), 0)</f>
        <v>322</v>
      </c>
      <c r="V74" t="str">
        <f>IFERROR(VLOOKUP($B74, blitz!$V:$W, 2, FALSE), 0)</f>
        <v>322</v>
      </c>
      <c r="W74" t="b">
        <f t="shared" si="31"/>
        <v>1</v>
      </c>
      <c r="X74" t="str">
        <f>IFERROR(VLOOKUP($B74, aegis!$AA:$AB, 2, FALSE), 0)</f>
        <v>3</v>
      </c>
      <c r="Y74" t="str">
        <f>IFERROR(VLOOKUP($B74, duel!$AA:$AB, 2, FALSE), 0)</f>
        <v>6</v>
      </c>
      <c r="Z74" t="str">
        <f>IFERROR(VLOOKUP($B74, blitz!$AA:$AB, 2, FALSE), 0)</f>
        <v>3</v>
      </c>
      <c r="AA74" t="b">
        <f t="shared" si="32"/>
        <v>0</v>
      </c>
      <c r="AB74" t="str">
        <f>IFERROR(VLOOKUP($B74, aegis!$AF:$AG, 2, FALSE), 0)</f>
        <v>132</v>
      </c>
      <c r="AC74" t="str">
        <f>IFERROR(VLOOKUP($B74, duel!$AF:$AG, 2, FALSE), 0)</f>
        <v>132</v>
      </c>
      <c r="AD74" t="str">
        <f>IFERROR(VLOOKUP($B74, blitz!$AF:$AG, 2, FALSE), 0)</f>
        <v>132</v>
      </c>
      <c r="AE74" t="b">
        <f t="shared" si="33"/>
        <v>1</v>
      </c>
      <c r="AF74" t="str">
        <f>IFERROR(VLOOKUP($B74, aegis!$AK:$AL, 2, FALSE), 0)</f>
        <v>4</v>
      </c>
      <c r="AG74" t="str">
        <f>IFERROR(VLOOKUP($B74, duel!$AK:$AL, 2, FALSE), 0)</f>
        <v>1</v>
      </c>
      <c r="AH74" t="str">
        <f>IFERROR(VLOOKUP($B74, blitz!$AK:$AL, 2, FALSE), 0)</f>
        <v>1</v>
      </c>
      <c r="AI74" t="b">
        <f t="shared" si="34"/>
        <v>0</v>
      </c>
      <c r="AJ74" t="str">
        <f>IFERROR(VLOOKUP($B74, aegis!$AP:$AQ, 2, FALSE), 0)</f>
        <v>2</v>
      </c>
      <c r="AK74" t="str">
        <f>IFERROR(VLOOKUP($B74, duel!$AP:$AQ, 2, FALSE), 0)</f>
        <v>2</v>
      </c>
      <c r="AL74" t="str">
        <f>IFERROR(VLOOKUP($B74, blitz!$AP:$AQ, 2, FALSE), 0)</f>
        <v>2</v>
      </c>
      <c r="AM74" t="b">
        <f t="shared" si="35"/>
        <v>1</v>
      </c>
      <c r="AN74">
        <f>IFERROR(VLOOKUP($B74, aegis!$AU:$AV, 2, FALSE), 0)</f>
        <v>0</v>
      </c>
      <c r="AO74">
        <f>IFERROR(VLOOKUP($B74, duel!$AU:$AV, 2, FALSE), 0)</f>
        <v>0</v>
      </c>
      <c r="AP74">
        <f>IFERROR(VLOOKUP($B74, blitz!$AU:$AV, 2, FALSE), 0)</f>
        <v>0</v>
      </c>
      <c r="AQ74" t="b">
        <f t="shared" si="36"/>
        <v>1</v>
      </c>
      <c r="AR74" t="str">
        <f>IFERROR(VLOOKUP($B74, aegis!$AZ:$BA, 2, FALSE), 0)</f>
        <v>3</v>
      </c>
      <c r="AS74" t="str">
        <f>IFERROR(VLOOKUP($B74, duel!$AZ:$BA, 2, FALSE), 0)</f>
        <v>3</v>
      </c>
      <c r="AT74" t="str">
        <f>IFERROR(VLOOKUP($B74, blitz!$AZ:$BA, 2, FALSE), 0)</f>
        <v>3</v>
      </c>
      <c r="AU74" t="b">
        <f t="shared" si="37"/>
        <v>1</v>
      </c>
      <c r="AV74" t="str">
        <f>IFERROR(VLOOKUP($B74, aegis!$BE:$BF, 2, FALSE), 0)</f>
        <v>2</v>
      </c>
      <c r="AW74" t="str">
        <f>IFERROR(VLOOKUP($B74, duel!$BE:$BF, 2, FALSE), 0)</f>
        <v>2</v>
      </c>
      <c r="AX74" t="str">
        <f>IFERROR(VLOOKUP($B74, blitz!$BE:$BF, 2, FALSE), 0)</f>
        <v>2</v>
      </c>
      <c r="AY74" t="b">
        <f t="shared" si="38"/>
        <v>1</v>
      </c>
      <c r="AZ74" t="str">
        <f>IFERROR(VLOOKUP($B74, aegis!$BJ:$BK, 2, FALSE), 0)</f>
        <v>1</v>
      </c>
      <c r="BA74" t="str">
        <f>IFERROR(VLOOKUP($B74, duel!$BJ:$BK, 2, FALSE), 0)</f>
        <v>1</v>
      </c>
      <c r="BB74" t="str">
        <f>IFERROR(VLOOKUP($B74, blitz!$BJ:$BK, 2, FALSE), 0)</f>
        <v>1</v>
      </c>
      <c r="BC74" t="b">
        <f t="shared" si="39"/>
        <v>1</v>
      </c>
      <c r="BD74">
        <f>IFERROR(VLOOKUP($B74, aegis!$BO:$BP, 2, FALSE), 0)</f>
        <v>0</v>
      </c>
      <c r="BE74">
        <f>IFERROR(VLOOKUP($B74, duel!$BO:$BP, 2, FALSE), 0)</f>
        <v>0</v>
      </c>
      <c r="BF74">
        <f>IFERROR(VLOOKUP($B74, blitz!$BO:$BP, 2, FALSE), 0)</f>
        <v>0</v>
      </c>
      <c r="BG74" t="b">
        <f t="shared" si="40"/>
        <v>1</v>
      </c>
      <c r="BH74" t="str">
        <f>IFERROR(VLOOKUP($B74, aegis!$BT:$BU, 2, FALSE), 0)</f>
        <v>30</v>
      </c>
      <c r="BI74" t="str">
        <f>IFERROR(VLOOKUP($B74, duel!$BT:$BU, 2, FALSE), 0)</f>
        <v>30</v>
      </c>
      <c r="BJ74" t="str">
        <f>IFERROR(VLOOKUP($B74, blitz!$BT:$BU, 2, FALSE), 0)</f>
        <v>30</v>
      </c>
      <c r="BK74" t="b">
        <f t="shared" si="41"/>
        <v>1</v>
      </c>
      <c r="BL74" t="str">
        <f>IFERROR(VLOOKUP($B74, aegis!$BY:$BZ, 2, FALSE), 0)</f>
        <v>2</v>
      </c>
      <c r="BM74" t="str">
        <f>IFERROR(VLOOKUP($B74, duel!$BY:$BZ, 2, FALSE), 0)</f>
        <v>2</v>
      </c>
      <c r="BN74" t="str">
        <f>IFERROR(VLOOKUP($B74, blitz!$BY:$BZ, 2, FALSE), 0)</f>
        <v>2</v>
      </c>
      <c r="BO74" t="b">
        <f t="shared" si="42"/>
        <v>1</v>
      </c>
      <c r="BP74" t="str">
        <f>IFERROR(VLOOKUP($B74, aegis!$CD:$CE, 2, FALSE), 0)</f>
        <v>9</v>
      </c>
      <c r="BQ74" t="str">
        <f>IFERROR(VLOOKUP($B74, duel!$CD:$CE, 2, FALSE), 0)</f>
        <v>9</v>
      </c>
      <c r="BR74" t="str">
        <f>IFERROR(VLOOKUP($B74, blitz!$CD:$CE, 2, FALSE), 0)</f>
        <v>9</v>
      </c>
      <c r="BS74" t="b">
        <f t="shared" si="43"/>
        <v>1</v>
      </c>
      <c r="BT74">
        <f>IFERROR(VLOOKUP($B74, aegis!$CI:$CJ, 2, FALSE), 0)</f>
        <v>0</v>
      </c>
      <c r="BU74">
        <f>IFERROR(VLOOKUP($B74, duel!$CI:$CJ, 2, FALSE), 0)</f>
        <v>0</v>
      </c>
      <c r="BV74">
        <f>IFERROR(VLOOKUP($B74, blitz!$CI:$CJ, 2, FALSE), 0)</f>
        <v>0</v>
      </c>
      <c r="BW74" t="b">
        <f t="shared" si="44"/>
        <v>1</v>
      </c>
      <c r="BX74">
        <f>IFERROR(VLOOKUP($B74, aegis!$CN:$CO, 2, FALSE), 0)</f>
        <v>0</v>
      </c>
      <c r="BY74">
        <f>IFERROR(VLOOKUP($B74, duel!$CN:$CO, 2, FALSE), 0)</f>
        <v>0</v>
      </c>
      <c r="BZ74">
        <f>IFERROR(VLOOKUP($B74, blitz!$CN:$CO, 2, FALSE), 0)</f>
        <v>0</v>
      </c>
      <c r="CA74" t="b">
        <f t="shared" si="45"/>
        <v>1</v>
      </c>
      <c r="CB74">
        <f>IFERROR(VLOOKUP($B74, aegis!$CS:$CT, 2, FALSE), 0)</f>
        <v>0</v>
      </c>
      <c r="CC74">
        <f>IFERROR(VLOOKUP($B74, duel!$CS:$CT, 2, FALSE), 0)</f>
        <v>0</v>
      </c>
      <c r="CD74">
        <f>IFERROR(VLOOKUP($B74, blitz!$CS:$CT, 2, FALSE), 0)</f>
        <v>0</v>
      </c>
      <c r="CE74" t="b">
        <f t="shared" si="46"/>
        <v>1</v>
      </c>
      <c r="CF74" t="str">
        <f>IFERROR(VLOOKUP($B74, aegis!$CX:$CY, 2, FALSE), 0)</f>
        <v>9811</v>
      </c>
      <c r="CG74" t="str">
        <f>IFERROR(VLOOKUP($B74, duel!$CX:$CY, 2, FALSE), 0)</f>
        <v>9810</v>
      </c>
      <c r="CH74" t="str">
        <f>IFERROR(VLOOKUP($B74, blitz!$CX:$CY, 2, FALSE), 0)</f>
        <v>4146</v>
      </c>
      <c r="CI74" t="b">
        <f t="shared" si="47"/>
        <v>0</v>
      </c>
      <c r="CJ74" t="str">
        <f>IFERROR(VLOOKUP($B74, aegis!$DC:$DD, 2, FALSE), 0)</f>
        <v>1</v>
      </c>
      <c r="CK74" t="str">
        <f>IFERROR(VLOOKUP($B74, duel!$DC:$DD, 2, FALSE), 0)</f>
        <v>1</v>
      </c>
      <c r="CL74" t="str">
        <f>IFERROR(VLOOKUP($B74, blitz!$DC:$DD, 2, FALSE), 0)</f>
        <v>1</v>
      </c>
      <c r="CM74" t="b">
        <f t="shared" si="48"/>
        <v>1</v>
      </c>
      <c r="CN74" t="str">
        <f>IFERROR(VLOOKUP($B74, aegis!$DH:$DI, 2, FALSE), 0)</f>
        <v>2</v>
      </c>
      <c r="CO74" t="str">
        <f>IFERROR(VLOOKUP($B74, duel!$DH:$DI, 2, FALSE), 0)</f>
        <v>2</v>
      </c>
      <c r="CP74" s="13">
        <f>IFERROR(VLOOKUP($B74, blitz!$DH:$DI, 2, FALSE), 0)</f>
        <v>0</v>
      </c>
      <c r="CQ74" t="b">
        <f t="shared" si="49"/>
        <v>1</v>
      </c>
      <c r="CR74" t="str">
        <f>IFERROR(VLOOKUP($B74, aegis!$DM:$DN, 2, FALSE), 0)</f>
        <v>2</v>
      </c>
      <c r="CS74" t="str">
        <f>IFERROR(VLOOKUP($B74, duel!$DM:$DN, 2, FALSE), 0)</f>
        <v>2</v>
      </c>
      <c r="CT74" t="str">
        <f>IFERROR(VLOOKUP($B74, blitz!$DM:$DN, 2, FALSE), 0)</f>
        <v>2</v>
      </c>
      <c r="CU74" t="b">
        <f t="shared" si="50"/>
        <v>1</v>
      </c>
      <c r="CV74" t="str">
        <f>IFERROR(VLOOKUP($B74, aegis!$DR:$DS, 2, FALSE), 0)</f>
        <v>129</v>
      </c>
      <c r="CW74" t="str">
        <f>IFERROR(VLOOKUP($B74, duel!$DR:$DS, 2, FALSE), 0)</f>
        <v>129</v>
      </c>
      <c r="CX74" t="str">
        <f>IFERROR(VLOOKUP($B74, blitz!$DR:$DS, 2, FALSE), 0)</f>
        <v>129</v>
      </c>
      <c r="CY74" t="b">
        <f t="shared" si="51"/>
        <v>1</v>
      </c>
    </row>
    <row r="75" spans="1:103">
      <c r="A75" t="s">
        <v>1733</v>
      </c>
      <c r="B75" s="6" t="s">
        <v>138</v>
      </c>
      <c r="C75" s="5" t="b">
        <f t="shared" si="26"/>
        <v>0</v>
      </c>
      <c r="D75" t="str">
        <f>IFERROR(VLOOKUP($B75, aegis!$B:$C, 2, FALSE), 0)</f>
        <v>72</v>
      </c>
      <c r="E75" t="str">
        <f>IFERROR(VLOOKUP($B75, duel!$B:$C, 2, FALSE), 0)</f>
        <v>72</v>
      </c>
      <c r="F75" t="str">
        <f>IFERROR(VLOOKUP($B75, blitz!$B:$C, 2, FALSE), 0)</f>
        <v>72</v>
      </c>
      <c r="G75" t="b">
        <f t="shared" si="27"/>
        <v>1</v>
      </c>
      <c r="H75" t="str">
        <f>IFERROR(VLOOKUP($B75, aegis!$G:$H, 2, FALSE), 0)</f>
        <v>42</v>
      </c>
      <c r="I75" t="str">
        <f>IFERROR(VLOOKUP($B75, duel!$G:$H, 2, FALSE), 0)</f>
        <v>42</v>
      </c>
      <c r="J75" t="str">
        <f>IFERROR(VLOOKUP($B75, blitz!$G:$H, 2, FALSE), 0)</f>
        <v>42</v>
      </c>
      <c r="K75" t="b">
        <f t="shared" si="28"/>
        <v>1</v>
      </c>
      <c r="L75" t="str">
        <f>IFERROR(VLOOKUP($B75, aegis!$L:$M, 2, FALSE), 0)</f>
        <v>72</v>
      </c>
      <c r="M75" t="str">
        <f>IFERROR(VLOOKUP($B75, duel!$L:$M, 2, FALSE), 0)</f>
        <v>72</v>
      </c>
      <c r="N75" t="str">
        <f>IFERROR(VLOOKUP($B75, blitz!$L:$M, 2, FALSE), 0)</f>
        <v>72</v>
      </c>
      <c r="O75" t="b">
        <f t="shared" si="29"/>
        <v>1</v>
      </c>
      <c r="P75" t="str">
        <f>IFERROR(VLOOKUP($B75, aegis!$Q:$R, 2, FALSE), 0)</f>
        <v>42</v>
      </c>
      <c r="Q75" t="str">
        <f>IFERROR(VLOOKUP($B75, duel!$Q:$R, 2, FALSE), 0)</f>
        <v>42</v>
      </c>
      <c r="R75" t="str">
        <f>IFERROR(VLOOKUP($B75, blitz!$Q:$R, 2, FALSE), 0)</f>
        <v>42</v>
      </c>
      <c r="S75" t="b">
        <f t="shared" si="30"/>
        <v>1</v>
      </c>
      <c r="T75" t="str">
        <f>IFERROR(VLOOKUP($B75, aegis!$V:$W, 2, FALSE), 0)</f>
        <v>388</v>
      </c>
      <c r="U75" t="str">
        <f>IFERROR(VLOOKUP($B75, duel!$V:$W, 2, FALSE), 0)</f>
        <v>388</v>
      </c>
      <c r="V75" t="str">
        <f>IFERROR(VLOOKUP($B75, blitz!$V:$W, 2, FALSE), 0)</f>
        <v>388</v>
      </c>
      <c r="W75" t="b">
        <f t="shared" si="31"/>
        <v>1</v>
      </c>
      <c r="X75" t="str">
        <f>IFERROR(VLOOKUP($B75, aegis!$AA:$AB, 2, FALSE), 0)</f>
        <v>2</v>
      </c>
      <c r="Y75" t="str">
        <f>IFERROR(VLOOKUP($B75, duel!$AA:$AB, 2, FALSE), 0)</f>
        <v>4</v>
      </c>
      <c r="Z75" t="str">
        <f>IFERROR(VLOOKUP($B75, blitz!$AA:$AB, 2, FALSE), 0)</f>
        <v>2</v>
      </c>
      <c r="AA75" t="b">
        <f t="shared" si="32"/>
        <v>0</v>
      </c>
      <c r="AB75" t="str">
        <f>IFERROR(VLOOKUP($B75, aegis!$AF:$AG, 2, FALSE), 0)</f>
        <v>99</v>
      </c>
      <c r="AC75" t="str">
        <f>IFERROR(VLOOKUP($B75, duel!$AF:$AG, 2, FALSE), 0)</f>
        <v>99</v>
      </c>
      <c r="AD75" t="str">
        <f>IFERROR(VLOOKUP($B75, blitz!$AF:$AG, 2, FALSE), 0)</f>
        <v>99</v>
      </c>
      <c r="AE75" t="b">
        <f t="shared" si="33"/>
        <v>1</v>
      </c>
      <c r="AF75" t="str">
        <f>IFERROR(VLOOKUP($B75, aegis!$AK:$AL, 2, FALSE), 0)</f>
        <v>3</v>
      </c>
      <c r="AG75" t="str">
        <f>IFERROR(VLOOKUP($B75, duel!$AK:$AL, 2, FALSE), 0)</f>
        <v>1</v>
      </c>
      <c r="AH75" t="str">
        <f>IFERROR(VLOOKUP($B75, blitz!$AK:$AL, 2, FALSE), 0)</f>
        <v>1</v>
      </c>
      <c r="AI75" t="b">
        <f t="shared" si="34"/>
        <v>0</v>
      </c>
      <c r="AJ75" t="str">
        <f>IFERROR(VLOOKUP($B75, aegis!$AP:$AQ, 2, FALSE), 0)</f>
        <v>1</v>
      </c>
      <c r="AK75" t="str">
        <f>IFERROR(VLOOKUP($B75, duel!$AP:$AQ, 2, FALSE), 0)</f>
        <v>1</v>
      </c>
      <c r="AL75" t="str">
        <f>IFERROR(VLOOKUP($B75, blitz!$AP:$AQ, 2, FALSE), 0)</f>
        <v>1</v>
      </c>
      <c r="AM75" t="b">
        <f t="shared" si="35"/>
        <v>1</v>
      </c>
      <c r="AN75">
        <f>IFERROR(VLOOKUP($B75, aegis!$AU:$AV, 2, FALSE), 0)</f>
        <v>0</v>
      </c>
      <c r="AO75">
        <f>IFERROR(VLOOKUP($B75, duel!$AU:$AV, 2, FALSE), 0)</f>
        <v>0</v>
      </c>
      <c r="AP75">
        <f>IFERROR(VLOOKUP($B75, blitz!$AU:$AV, 2, FALSE), 0)</f>
        <v>0</v>
      </c>
      <c r="AQ75" t="b">
        <f t="shared" si="36"/>
        <v>1</v>
      </c>
      <c r="AR75" t="str">
        <f>IFERROR(VLOOKUP($B75, aegis!$AZ:$BA, 2, FALSE), 0)</f>
        <v>2</v>
      </c>
      <c r="AS75" t="str">
        <f>IFERROR(VLOOKUP($B75, duel!$AZ:$BA, 2, FALSE), 0)</f>
        <v>2</v>
      </c>
      <c r="AT75" t="str">
        <f>IFERROR(VLOOKUP($B75, blitz!$AZ:$BA, 2, FALSE), 0)</f>
        <v>2</v>
      </c>
      <c r="AU75" t="b">
        <f t="shared" si="37"/>
        <v>1</v>
      </c>
      <c r="AV75" t="str">
        <f>IFERROR(VLOOKUP($B75, aegis!$BE:$BF, 2, FALSE), 0)</f>
        <v>1</v>
      </c>
      <c r="AW75" t="str">
        <f>IFERROR(VLOOKUP($B75, duel!$BE:$BF, 2, FALSE), 0)</f>
        <v>1</v>
      </c>
      <c r="AX75" t="str">
        <f>IFERROR(VLOOKUP($B75, blitz!$BE:$BF, 2, FALSE), 0)</f>
        <v>1</v>
      </c>
      <c r="AY75" t="b">
        <f t="shared" si="38"/>
        <v>1</v>
      </c>
      <c r="AZ75" t="str">
        <f>IFERROR(VLOOKUP($B75, aegis!$BJ:$BK, 2, FALSE), 0)</f>
        <v>1</v>
      </c>
      <c r="BA75" t="str">
        <f>IFERROR(VLOOKUP($B75, duel!$BJ:$BK, 2, FALSE), 0)</f>
        <v>1</v>
      </c>
      <c r="BB75" t="str">
        <f>IFERROR(VLOOKUP($B75, blitz!$BJ:$BK, 2, FALSE), 0)</f>
        <v>1</v>
      </c>
      <c r="BC75" t="b">
        <f t="shared" si="39"/>
        <v>1</v>
      </c>
      <c r="BD75">
        <f>IFERROR(VLOOKUP($B75, aegis!$BO:$BP, 2, FALSE), 0)</f>
        <v>0</v>
      </c>
      <c r="BE75">
        <f>IFERROR(VLOOKUP($B75, duel!$BO:$BP, 2, FALSE), 0)</f>
        <v>0</v>
      </c>
      <c r="BF75">
        <f>IFERROR(VLOOKUP($B75, blitz!$BO:$BP, 2, FALSE), 0)</f>
        <v>0</v>
      </c>
      <c r="BG75" t="b">
        <f t="shared" si="40"/>
        <v>1</v>
      </c>
      <c r="BH75" t="str">
        <f>IFERROR(VLOOKUP($B75, aegis!$BT:$BU, 2, FALSE), 0)</f>
        <v>98</v>
      </c>
      <c r="BI75" t="str">
        <f>IFERROR(VLOOKUP($B75, duel!$BT:$BU, 2, FALSE), 0)</f>
        <v>98</v>
      </c>
      <c r="BJ75" t="str">
        <f>IFERROR(VLOOKUP($B75, blitz!$BT:$BU, 2, FALSE), 0)</f>
        <v>98</v>
      </c>
      <c r="BK75" t="b">
        <f t="shared" si="41"/>
        <v>1</v>
      </c>
      <c r="BL75" t="str">
        <f>IFERROR(VLOOKUP($B75, aegis!$BY:$BZ, 2, FALSE), 0)</f>
        <v>1</v>
      </c>
      <c r="BM75" t="str">
        <f>IFERROR(VLOOKUP($B75, duel!$BY:$BZ, 2, FALSE), 0)</f>
        <v>1</v>
      </c>
      <c r="BN75" t="str">
        <f>IFERROR(VLOOKUP($B75, blitz!$BY:$BZ, 2, FALSE), 0)</f>
        <v>1</v>
      </c>
      <c r="BO75" t="b">
        <f t="shared" si="42"/>
        <v>1</v>
      </c>
      <c r="BP75" t="str">
        <f>IFERROR(VLOOKUP($B75, aegis!$CD:$CE, 2, FALSE), 0)</f>
        <v>8</v>
      </c>
      <c r="BQ75" t="str">
        <f>IFERROR(VLOOKUP($B75, duel!$CD:$CE, 2, FALSE), 0)</f>
        <v>8</v>
      </c>
      <c r="BR75" t="str">
        <f>IFERROR(VLOOKUP($B75, blitz!$CD:$CE, 2, FALSE), 0)</f>
        <v>8</v>
      </c>
      <c r="BS75" t="b">
        <f t="shared" si="43"/>
        <v>1</v>
      </c>
      <c r="BT75" t="str">
        <f>IFERROR(VLOOKUP($B75, aegis!$CI:$CJ, 2, FALSE), 0)</f>
        <v>1</v>
      </c>
      <c r="BU75" t="str">
        <f>IFERROR(VLOOKUP($B75, duel!$CI:$CJ, 2, FALSE), 0)</f>
        <v>1</v>
      </c>
      <c r="BV75" t="str">
        <f>IFERROR(VLOOKUP($B75, blitz!$CI:$CJ, 2, FALSE), 0)</f>
        <v>1</v>
      </c>
      <c r="BW75" t="b">
        <f t="shared" si="44"/>
        <v>1</v>
      </c>
      <c r="BX75" t="str">
        <f>IFERROR(VLOOKUP($B75, aegis!$CN:$CO, 2, FALSE), 0)</f>
        <v>1</v>
      </c>
      <c r="BY75" t="str">
        <f>IFERROR(VLOOKUP($B75, duel!$CN:$CO, 2, FALSE), 0)</f>
        <v>1</v>
      </c>
      <c r="BZ75" t="str">
        <f>IFERROR(VLOOKUP($B75, blitz!$CN:$CO, 2, FALSE), 0)</f>
        <v>1</v>
      </c>
      <c r="CA75" t="b">
        <f t="shared" si="45"/>
        <v>1</v>
      </c>
      <c r="CB75" t="str">
        <f>IFERROR(VLOOKUP($B75, aegis!$CS:$CT, 2, FALSE), 0)</f>
        <v>4</v>
      </c>
      <c r="CC75" t="str">
        <f>IFERROR(VLOOKUP($B75, duel!$CS:$CT, 2, FALSE), 0)</f>
        <v>4</v>
      </c>
      <c r="CD75" t="str">
        <f>IFERROR(VLOOKUP($B75, blitz!$CS:$CT, 2, FALSE), 0)</f>
        <v>4</v>
      </c>
      <c r="CE75" t="b">
        <f t="shared" si="46"/>
        <v>1</v>
      </c>
      <c r="CF75" t="str">
        <f>IFERROR(VLOOKUP($B75, aegis!$CX:$CY, 2, FALSE), 0)</f>
        <v>22464</v>
      </c>
      <c r="CG75" t="str">
        <f>IFERROR(VLOOKUP($B75, duel!$CX:$CY, 2, FALSE), 0)</f>
        <v>22457</v>
      </c>
      <c r="CH75" t="str">
        <f>IFERROR(VLOOKUP($B75, blitz!$CX:$CY, 2, FALSE), 0)</f>
        <v>8179</v>
      </c>
      <c r="CI75" t="b">
        <f t="shared" si="47"/>
        <v>0</v>
      </c>
      <c r="CJ75" t="str">
        <f>IFERROR(VLOOKUP($B75, aegis!$DC:$DD, 2, FALSE), 0)</f>
        <v>1</v>
      </c>
      <c r="CK75" t="str">
        <f>IFERROR(VLOOKUP($B75, duel!$DC:$DD, 2, FALSE), 0)</f>
        <v>1</v>
      </c>
      <c r="CL75" t="str">
        <f>IFERROR(VLOOKUP($B75, blitz!$DC:$DD, 2, FALSE), 0)</f>
        <v>1</v>
      </c>
      <c r="CM75" t="b">
        <f t="shared" si="48"/>
        <v>1</v>
      </c>
      <c r="CN75" t="str">
        <f>IFERROR(VLOOKUP($B75, aegis!$DH:$DI, 2, FALSE), 0)</f>
        <v>1</v>
      </c>
      <c r="CO75" t="str">
        <f>IFERROR(VLOOKUP($B75, duel!$DH:$DI, 2, FALSE), 0)</f>
        <v>1</v>
      </c>
      <c r="CP75" s="13">
        <f>IFERROR(VLOOKUP($B75, blitz!$DH:$DI, 2, FALSE), 0)</f>
        <v>0</v>
      </c>
      <c r="CQ75" t="b">
        <f t="shared" si="49"/>
        <v>1</v>
      </c>
      <c r="CR75" t="str">
        <f>IFERROR(VLOOKUP($B75, aegis!$DM:$DN, 2, FALSE), 0)</f>
        <v>1</v>
      </c>
      <c r="CS75" t="str">
        <f>IFERROR(VLOOKUP($B75, duel!$DM:$DN, 2, FALSE), 0)</f>
        <v>1</v>
      </c>
      <c r="CT75" t="str">
        <f>IFERROR(VLOOKUP($B75, blitz!$DM:$DN, 2, FALSE), 0)</f>
        <v>1</v>
      </c>
      <c r="CU75" t="b">
        <f t="shared" si="50"/>
        <v>1</v>
      </c>
      <c r="CV75" t="str">
        <f>IFERROR(VLOOKUP($B75, aegis!$DR:$DS, 2, FALSE), 0)</f>
        <v>98</v>
      </c>
      <c r="CW75" t="str">
        <f>IFERROR(VLOOKUP($B75, duel!$DR:$DS, 2, FALSE), 0)</f>
        <v>98</v>
      </c>
      <c r="CX75" t="str">
        <f>IFERROR(VLOOKUP($B75, blitz!$DR:$DS, 2, FALSE), 0)</f>
        <v>98</v>
      </c>
      <c r="CY75" t="b">
        <f t="shared" si="51"/>
        <v>1</v>
      </c>
    </row>
    <row r="76" spans="1:103">
      <c r="A76" t="s">
        <v>1733</v>
      </c>
      <c r="B76" s="6" t="s">
        <v>140</v>
      </c>
      <c r="C76" s="5" t="b">
        <f t="shared" si="26"/>
        <v>0</v>
      </c>
      <c r="D76" t="str">
        <f>IFERROR(VLOOKUP($B76, aegis!$B:$C, 2, FALSE), 0)</f>
        <v>48</v>
      </c>
      <c r="E76" t="str">
        <f>IFERROR(VLOOKUP($B76, duel!$B:$C, 2, FALSE), 0)</f>
        <v>48</v>
      </c>
      <c r="F76" t="str">
        <f>IFERROR(VLOOKUP($B76, blitz!$B:$C, 2, FALSE), 0)</f>
        <v>48</v>
      </c>
      <c r="G76" t="b">
        <f t="shared" si="27"/>
        <v>1</v>
      </c>
      <c r="H76" t="str">
        <f>IFERROR(VLOOKUP($B76, aegis!$G:$H, 2, FALSE), 0)</f>
        <v>28</v>
      </c>
      <c r="I76" t="str">
        <f>IFERROR(VLOOKUP($B76, duel!$G:$H, 2, FALSE), 0)</f>
        <v>28</v>
      </c>
      <c r="J76" t="str">
        <f>IFERROR(VLOOKUP($B76, blitz!$G:$H, 2, FALSE), 0)</f>
        <v>28</v>
      </c>
      <c r="K76" t="b">
        <f t="shared" si="28"/>
        <v>1</v>
      </c>
      <c r="L76" t="str">
        <f>IFERROR(VLOOKUP($B76, aegis!$L:$M, 2, FALSE), 0)</f>
        <v>48</v>
      </c>
      <c r="M76" t="str">
        <f>IFERROR(VLOOKUP($B76, duel!$L:$M, 2, FALSE), 0)</f>
        <v>48</v>
      </c>
      <c r="N76" t="str">
        <f>IFERROR(VLOOKUP($B76, blitz!$L:$M, 2, FALSE), 0)</f>
        <v>48</v>
      </c>
      <c r="O76" t="b">
        <f t="shared" si="29"/>
        <v>1</v>
      </c>
      <c r="P76" t="str">
        <f>IFERROR(VLOOKUP($B76, aegis!$Q:$R, 2, FALSE), 0)</f>
        <v>28</v>
      </c>
      <c r="Q76" t="str">
        <f>IFERROR(VLOOKUP($B76, duel!$Q:$R, 2, FALSE), 0)</f>
        <v>28</v>
      </c>
      <c r="R76" t="str">
        <f>IFERROR(VLOOKUP($B76, blitz!$Q:$R, 2, FALSE), 0)</f>
        <v>28</v>
      </c>
      <c r="S76" t="b">
        <f t="shared" si="30"/>
        <v>1</v>
      </c>
      <c r="T76" t="str">
        <f>IFERROR(VLOOKUP($B76, aegis!$V:$W, 2, FALSE), 0)</f>
        <v>79</v>
      </c>
      <c r="U76" t="str">
        <f>IFERROR(VLOOKUP($B76, duel!$V:$W, 2, FALSE), 0)</f>
        <v>79</v>
      </c>
      <c r="V76" t="str">
        <f>IFERROR(VLOOKUP($B76, blitz!$V:$W, 2, FALSE), 0)</f>
        <v>79</v>
      </c>
      <c r="W76" t="b">
        <f t="shared" si="31"/>
        <v>1</v>
      </c>
      <c r="X76" t="str">
        <f>IFERROR(VLOOKUP($B76, aegis!$AA:$AB, 2, FALSE), 0)</f>
        <v>2</v>
      </c>
      <c r="Y76" t="str">
        <f>IFERROR(VLOOKUP($B76, duel!$AA:$AB, 2, FALSE), 0)</f>
        <v>4</v>
      </c>
      <c r="Z76" t="str">
        <f>IFERROR(VLOOKUP($B76, blitz!$AA:$AB, 2, FALSE), 0)</f>
        <v>2</v>
      </c>
      <c r="AA76" t="b">
        <f t="shared" si="32"/>
        <v>0</v>
      </c>
      <c r="AB76" t="str">
        <f>IFERROR(VLOOKUP($B76, aegis!$AF:$AG, 2, FALSE), 0)</f>
        <v>31</v>
      </c>
      <c r="AC76" t="str">
        <f>IFERROR(VLOOKUP($B76, duel!$AF:$AG, 2, FALSE), 0)</f>
        <v>31</v>
      </c>
      <c r="AD76" t="str">
        <f>IFERROR(VLOOKUP($B76, blitz!$AF:$AG, 2, FALSE), 0)</f>
        <v>31</v>
      </c>
      <c r="AE76" t="b">
        <f t="shared" si="33"/>
        <v>1</v>
      </c>
      <c r="AF76" t="str">
        <f>IFERROR(VLOOKUP($B76, aegis!$AK:$AL, 2, FALSE), 0)</f>
        <v>3</v>
      </c>
      <c r="AG76" t="str">
        <f>IFERROR(VLOOKUP($B76, duel!$AK:$AL, 2, FALSE), 0)</f>
        <v>1</v>
      </c>
      <c r="AH76" t="str">
        <f>IFERROR(VLOOKUP($B76, blitz!$AK:$AL, 2, FALSE), 0)</f>
        <v>1</v>
      </c>
      <c r="AI76" t="b">
        <f t="shared" si="34"/>
        <v>0</v>
      </c>
      <c r="AJ76" t="str">
        <f>IFERROR(VLOOKUP($B76, aegis!$AP:$AQ, 2, FALSE), 0)</f>
        <v>1</v>
      </c>
      <c r="AK76" t="str">
        <f>IFERROR(VLOOKUP($B76, duel!$AP:$AQ, 2, FALSE), 0)</f>
        <v>1</v>
      </c>
      <c r="AL76" t="str">
        <f>IFERROR(VLOOKUP($B76, blitz!$AP:$AQ, 2, FALSE), 0)</f>
        <v>1</v>
      </c>
      <c r="AM76" t="b">
        <f t="shared" si="35"/>
        <v>1</v>
      </c>
      <c r="AN76">
        <f>IFERROR(VLOOKUP($B76, aegis!$AU:$AV, 2, FALSE), 0)</f>
        <v>0</v>
      </c>
      <c r="AO76">
        <f>IFERROR(VLOOKUP($B76, duel!$AU:$AV, 2, FALSE), 0)</f>
        <v>0</v>
      </c>
      <c r="AP76">
        <f>IFERROR(VLOOKUP($B76, blitz!$AU:$AV, 2, FALSE), 0)</f>
        <v>0</v>
      </c>
      <c r="AQ76" t="b">
        <f t="shared" si="36"/>
        <v>1</v>
      </c>
      <c r="AR76" t="str">
        <f>IFERROR(VLOOKUP($B76, aegis!$AZ:$BA, 2, FALSE), 0)</f>
        <v>2</v>
      </c>
      <c r="AS76" t="str">
        <f>IFERROR(VLOOKUP($B76, duel!$AZ:$BA, 2, FALSE), 0)</f>
        <v>2</v>
      </c>
      <c r="AT76" t="str">
        <f>IFERROR(VLOOKUP($B76, blitz!$AZ:$BA, 2, FALSE), 0)</f>
        <v>2</v>
      </c>
      <c r="AU76" t="b">
        <f t="shared" si="37"/>
        <v>1</v>
      </c>
      <c r="AV76" t="str">
        <f>IFERROR(VLOOKUP($B76, aegis!$BE:$BF, 2, FALSE), 0)</f>
        <v>1</v>
      </c>
      <c r="AW76" t="str">
        <f>IFERROR(VLOOKUP($B76, duel!$BE:$BF, 2, FALSE), 0)</f>
        <v>1</v>
      </c>
      <c r="AX76" t="str">
        <f>IFERROR(VLOOKUP($B76, blitz!$BE:$BF, 2, FALSE), 0)</f>
        <v>1</v>
      </c>
      <c r="AY76" t="b">
        <f t="shared" si="38"/>
        <v>1</v>
      </c>
      <c r="AZ76" t="str">
        <f>IFERROR(VLOOKUP($B76, aegis!$BJ:$BK, 2, FALSE), 0)</f>
        <v>1</v>
      </c>
      <c r="BA76" t="str">
        <f>IFERROR(VLOOKUP($B76, duel!$BJ:$BK, 2, FALSE), 0)</f>
        <v>1</v>
      </c>
      <c r="BB76" t="str">
        <f>IFERROR(VLOOKUP($B76, blitz!$BJ:$BK, 2, FALSE), 0)</f>
        <v>1</v>
      </c>
      <c r="BC76" t="b">
        <f t="shared" si="39"/>
        <v>1</v>
      </c>
      <c r="BD76">
        <f>IFERROR(VLOOKUP($B76, aegis!$BO:$BP, 2, FALSE), 0)</f>
        <v>0</v>
      </c>
      <c r="BE76">
        <f>IFERROR(VLOOKUP($B76, duel!$BO:$BP, 2, FALSE), 0)</f>
        <v>0</v>
      </c>
      <c r="BF76">
        <f>IFERROR(VLOOKUP($B76, blitz!$BO:$BP, 2, FALSE), 0)</f>
        <v>0</v>
      </c>
      <c r="BG76" t="b">
        <f t="shared" si="40"/>
        <v>1</v>
      </c>
      <c r="BH76" t="str">
        <f>IFERROR(VLOOKUP($B76, aegis!$BT:$BU, 2, FALSE), 0)</f>
        <v>13</v>
      </c>
      <c r="BI76" t="str">
        <f>IFERROR(VLOOKUP($B76, duel!$BT:$BU, 2, FALSE), 0)</f>
        <v>13</v>
      </c>
      <c r="BJ76" t="str">
        <f>IFERROR(VLOOKUP($B76, blitz!$BT:$BU, 2, FALSE), 0)</f>
        <v>13</v>
      </c>
      <c r="BK76" t="b">
        <f t="shared" si="41"/>
        <v>1</v>
      </c>
      <c r="BL76" t="str">
        <f>IFERROR(VLOOKUP($B76, aegis!$BY:$BZ, 2, FALSE), 0)</f>
        <v>1</v>
      </c>
      <c r="BM76" t="str">
        <f>IFERROR(VLOOKUP($B76, duel!$BY:$BZ, 2, FALSE), 0)</f>
        <v>1</v>
      </c>
      <c r="BN76" t="str">
        <f>IFERROR(VLOOKUP($B76, blitz!$BY:$BZ, 2, FALSE), 0)</f>
        <v>1</v>
      </c>
      <c r="BO76" t="b">
        <f t="shared" si="42"/>
        <v>1</v>
      </c>
      <c r="BP76" t="str">
        <f>IFERROR(VLOOKUP($B76, aegis!$CD:$CE, 2, FALSE), 0)</f>
        <v>5</v>
      </c>
      <c r="BQ76" t="str">
        <f>IFERROR(VLOOKUP($B76, duel!$CD:$CE, 2, FALSE), 0)</f>
        <v>5</v>
      </c>
      <c r="BR76" t="str">
        <f>IFERROR(VLOOKUP($B76, blitz!$CD:$CE, 2, FALSE), 0)</f>
        <v>5</v>
      </c>
      <c r="BS76" t="b">
        <f t="shared" si="43"/>
        <v>1</v>
      </c>
      <c r="BT76">
        <f>IFERROR(VLOOKUP($B76, aegis!$CI:$CJ, 2, FALSE), 0)</f>
        <v>0</v>
      </c>
      <c r="BU76">
        <f>IFERROR(VLOOKUP($B76, duel!$CI:$CJ, 2, FALSE), 0)</f>
        <v>0</v>
      </c>
      <c r="BV76">
        <f>IFERROR(VLOOKUP($B76, blitz!$CI:$CJ, 2, FALSE), 0)</f>
        <v>0</v>
      </c>
      <c r="BW76" t="b">
        <f t="shared" si="44"/>
        <v>1</v>
      </c>
      <c r="BX76">
        <f>IFERROR(VLOOKUP($B76, aegis!$CN:$CO, 2, FALSE), 0)</f>
        <v>0</v>
      </c>
      <c r="BY76">
        <f>IFERROR(VLOOKUP($B76, duel!$CN:$CO, 2, FALSE), 0)</f>
        <v>0</v>
      </c>
      <c r="BZ76">
        <f>IFERROR(VLOOKUP($B76, blitz!$CN:$CO, 2, FALSE), 0)</f>
        <v>0</v>
      </c>
      <c r="CA76" t="b">
        <f t="shared" si="45"/>
        <v>1</v>
      </c>
      <c r="CB76">
        <f>IFERROR(VLOOKUP($B76, aegis!$CS:$CT, 2, FALSE), 0)</f>
        <v>0</v>
      </c>
      <c r="CC76">
        <f>IFERROR(VLOOKUP($B76, duel!$CS:$CT, 2, FALSE), 0)</f>
        <v>0</v>
      </c>
      <c r="CD76">
        <f>IFERROR(VLOOKUP($B76, blitz!$CS:$CT, 2, FALSE), 0)</f>
        <v>0</v>
      </c>
      <c r="CE76" t="b">
        <f t="shared" si="46"/>
        <v>1</v>
      </c>
      <c r="CF76" t="str">
        <f>IFERROR(VLOOKUP($B76, aegis!$CX:$CY, 2, FALSE), 0)</f>
        <v>6369</v>
      </c>
      <c r="CG76" t="str">
        <f>IFERROR(VLOOKUP($B76, duel!$CX:$CY, 2, FALSE), 0)</f>
        <v>6362</v>
      </c>
      <c r="CH76" t="str">
        <f>IFERROR(VLOOKUP($B76, blitz!$CX:$CY, 2, FALSE), 0)</f>
        <v>2200</v>
      </c>
      <c r="CI76" t="b">
        <f t="shared" si="47"/>
        <v>0</v>
      </c>
      <c r="CJ76" t="str">
        <f>IFERROR(VLOOKUP($B76, aegis!$DC:$DD, 2, FALSE), 0)</f>
        <v>1</v>
      </c>
      <c r="CK76" t="str">
        <f>IFERROR(VLOOKUP($B76, duel!$DC:$DD, 2, FALSE), 0)</f>
        <v>1</v>
      </c>
      <c r="CL76" t="str">
        <f>IFERROR(VLOOKUP($B76, blitz!$DC:$DD, 2, FALSE), 0)</f>
        <v>1</v>
      </c>
      <c r="CM76" t="b">
        <f t="shared" si="48"/>
        <v>1</v>
      </c>
      <c r="CN76" t="str">
        <f>IFERROR(VLOOKUP($B76, aegis!$DH:$DI, 2, FALSE), 0)</f>
        <v>1</v>
      </c>
      <c r="CO76" t="str">
        <f>IFERROR(VLOOKUP($B76, duel!$DH:$DI, 2, FALSE), 0)</f>
        <v>1</v>
      </c>
      <c r="CP76" s="13">
        <f>IFERROR(VLOOKUP($B76, blitz!$DH:$DI, 2, FALSE), 0)</f>
        <v>0</v>
      </c>
      <c r="CQ76" t="b">
        <f t="shared" si="49"/>
        <v>1</v>
      </c>
      <c r="CR76" t="str">
        <f>IFERROR(VLOOKUP($B76, aegis!$DM:$DN, 2, FALSE), 0)</f>
        <v>1</v>
      </c>
      <c r="CS76" t="str">
        <f>IFERROR(VLOOKUP($B76, duel!$DM:$DN, 2, FALSE), 0)</f>
        <v>1</v>
      </c>
      <c r="CT76" t="str">
        <f>IFERROR(VLOOKUP($B76, blitz!$DM:$DN, 2, FALSE), 0)</f>
        <v>1</v>
      </c>
      <c r="CU76" t="b">
        <f t="shared" si="50"/>
        <v>1</v>
      </c>
      <c r="CV76" t="str">
        <f>IFERROR(VLOOKUP($B76, aegis!$DR:$DS, 2, FALSE), 0)</f>
        <v>31</v>
      </c>
      <c r="CW76" t="str">
        <f>IFERROR(VLOOKUP($B76, duel!$DR:$DS, 2, FALSE), 0)</f>
        <v>31</v>
      </c>
      <c r="CX76" t="str">
        <f>IFERROR(VLOOKUP($B76, blitz!$DR:$DS, 2, FALSE), 0)</f>
        <v>31</v>
      </c>
      <c r="CY76" t="b">
        <f t="shared" si="51"/>
        <v>1</v>
      </c>
    </row>
    <row r="77" spans="1:103">
      <c r="A77" t="s">
        <v>1733</v>
      </c>
      <c r="B77" s="6" t="s">
        <v>142</v>
      </c>
      <c r="C77" s="5" t="b">
        <f t="shared" si="26"/>
        <v>0</v>
      </c>
      <c r="D77" t="str">
        <f>IFERROR(VLOOKUP($B77, aegis!$B:$C, 2, FALSE), 0)</f>
        <v>36</v>
      </c>
      <c r="E77" t="str">
        <f>IFERROR(VLOOKUP($B77, duel!$B:$C, 2, FALSE), 0)</f>
        <v>36</v>
      </c>
      <c r="F77" t="str">
        <f>IFERROR(VLOOKUP($B77, blitz!$B:$C, 2, FALSE), 0)</f>
        <v>36</v>
      </c>
      <c r="G77" t="b">
        <f t="shared" si="27"/>
        <v>1</v>
      </c>
      <c r="H77" t="str">
        <f>IFERROR(VLOOKUP($B77, aegis!$G:$H, 2, FALSE), 0)</f>
        <v>21</v>
      </c>
      <c r="I77" t="str">
        <f>IFERROR(VLOOKUP($B77, duel!$G:$H, 2, FALSE), 0)</f>
        <v>21</v>
      </c>
      <c r="J77" t="str">
        <f>IFERROR(VLOOKUP($B77, blitz!$G:$H, 2, FALSE), 0)</f>
        <v>21</v>
      </c>
      <c r="K77" t="b">
        <f t="shared" si="28"/>
        <v>1</v>
      </c>
      <c r="L77" t="str">
        <f>IFERROR(VLOOKUP($B77, aegis!$L:$M, 2, FALSE), 0)</f>
        <v>36</v>
      </c>
      <c r="M77" t="str">
        <f>IFERROR(VLOOKUP($B77, duel!$L:$M, 2, FALSE), 0)</f>
        <v>36</v>
      </c>
      <c r="N77" t="str">
        <f>IFERROR(VLOOKUP($B77, blitz!$L:$M, 2, FALSE), 0)</f>
        <v>36</v>
      </c>
      <c r="O77" t="b">
        <f t="shared" si="29"/>
        <v>1</v>
      </c>
      <c r="P77" t="str">
        <f>IFERROR(VLOOKUP($B77, aegis!$Q:$R, 2, FALSE), 0)</f>
        <v>21</v>
      </c>
      <c r="Q77" t="str">
        <f>IFERROR(VLOOKUP($B77, duel!$Q:$R, 2, FALSE), 0)</f>
        <v>21</v>
      </c>
      <c r="R77" t="str">
        <f>IFERROR(VLOOKUP($B77, blitz!$Q:$R, 2, FALSE), 0)</f>
        <v>21</v>
      </c>
      <c r="S77" t="b">
        <f t="shared" si="30"/>
        <v>1</v>
      </c>
      <c r="T77" t="str">
        <f>IFERROR(VLOOKUP($B77, aegis!$V:$W, 2, FALSE), 0)</f>
        <v>85</v>
      </c>
      <c r="U77" t="str">
        <f>IFERROR(VLOOKUP($B77, duel!$V:$W, 2, FALSE), 0)</f>
        <v>85</v>
      </c>
      <c r="V77" t="str">
        <f>IFERROR(VLOOKUP($B77, blitz!$V:$W, 2, FALSE), 0)</f>
        <v>85</v>
      </c>
      <c r="W77" t="b">
        <f t="shared" si="31"/>
        <v>1</v>
      </c>
      <c r="X77" t="str">
        <f>IFERROR(VLOOKUP($B77, aegis!$AA:$AB, 2, FALSE), 0)</f>
        <v>2</v>
      </c>
      <c r="Y77" t="str">
        <f>IFERROR(VLOOKUP($B77, duel!$AA:$AB, 2, FALSE), 0)</f>
        <v>4</v>
      </c>
      <c r="Z77" t="str">
        <f>IFERROR(VLOOKUP($B77, blitz!$AA:$AB, 2, FALSE), 0)</f>
        <v>2</v>
      </c>
      <c r="AA77" t="b">
        <f t="shared" si="32"/>
        <v>0</v>
      </c>
      <c r="AB77" t="str">
        <f>IFERROR(VLOOKUP($B77, aegis!$AF:$AG, 2, FALSE), 0)</f>
        <v>52</v>
      </c>
      <c r="AC77" t="str">
        <f>IFERROR(VLOOKUP($B77, duel!$AF:$AG, 2, FALSE), 0)</f>
        <v>52</v>
      </c>
      <c r="AD77" t="str">
        <f>IFERROR(VLOOKUP($B77, blitz!$AF:$AG, 2, FALSE), 0)</f>
        <v>52</v>
      </c>
      <c r="AE77" t="b">
        <f t="shared" si="33"/>
        <v>1</v>
      </c>
      <c r="AF77" t="str">
        <f>IFERROR(VLOOKUP($B77, aegis!$AK:$AL, 2, FALSE), 0)</f>
        <v>3</v>
      </c>
      <c r="AG77" t="str">
        <f>IFERROR(VLOOKUP($B77, duel!$AK:$AL, 2, FALSE), 0)</f>
        <v>1</v>
      </c>
      <c r="AH77" t="str">
        <f>IFERROR(VLOOKUP($B77, blitz!$AK:$AL, 2, FALSE), 0)</f>
        <v>1</v>
      </c>
      <c r="AI77" t="b">
        <f t="shared" si="34"/>
        <v>0</v>
      </c>
      <c r="AJ77" t="str">
        <f>IFERROR(VLOOKUP($B77, aegis!$AP:$AQ, 2, FALSE), 0)</f>
        <v>1</v>
      </c>
      <c r="AK77" t="str">
        <f>IFERROR(VLOOKUP($B77, duel!$AP:$AQ, 2, FALSE), 0)</f>
        <v>1</v>
      </c>
      <c r="AL77" t="str">
        <f>IFERROR(VLOOKUP($B77, blitz!$AP:$AQ, 2, FALSE), 0)</f>
        <v>1</v>
      </c>
      <c r="AM77" t="b">
        <f t="shared" si="35"/>
        <v>1</v>
      </c>
      <c r="AN77">
        <f>IFERROR(VLOOKUP($B77, aegis!$AU:$AV, 2, FALSE), 0)</f>
        <v>0</v>
      </c>
      <c r="AO77">
        <f>IFERROR(VLOOKUP($B77, duel!$AU:$AV, 2, FALSE), 0)</f>
        <v>0</v>
      </c>
      <c r="AP77">
        <f>IFERROR(VLOOKUP($B77, blitz!$AU:$AV, 2, FALSE), 0)</f>
        <v>0</v>
      </c>
      <c r="AQ77" t="b">
        <f t="shared" si="36"/>
        <v>1</v>
      </c>
      <c r="AR77" t="str">
        <f>IFERROR(VLOOKUP($B77, aegis!$AZ:$BA, 2, FALSE), 0)</f>
        <v>2</v>
      </c>
      <c r="AS77" t="str">
        <f>IFERROR(VLOOKUP($B77, duel!$AZ:$BA, 2, FALSE), 0)</f>
        <v>2</v>
      </c>
      <c r="AT77" t="str">
        <f>IFERROR(VLOOKUP($B77, blitz!$AZ:$BA, 2, FALSE), 0)</f>
        <v>2</v>
      </c>
      <c r="AU77" t="b">
        <f t="shared" si="37"/>
        <v>1</v>
      </c>
      <c r="AV77" t="str">
        <f>IFERROR(VLOOKUP($B77, aegis!$BE:$BF, 2, FALSE), 0)</f>
        <v>1</v>
      </c>
      <c r="AW77" t="str">
        <f>IFERROR(VLOOKUP($B77, duel!$BE:$BF, 2, FALSE), 0)</f>
        <v>1</v>
      </c>
      <c r="AX77" t="str">
        <f>IFERROR(VLOOKUP($B77, blitz!$BE:$BF, 2, FALSE), 0)</f>
        <v>1</v>
      </c>
      <c r="AY77" t="b">
        <f t="shared" si="38"/>
        <v>1</v>
      </c>
      <c r="AZ77" t="str">
        <f>IFERROR(VLOOKUP($B77, aegis!$BJ:$BK, 2, FALSE), 0)</f>
        <v>1</v>
      </c>
      <c r="BA77" t="str">
        <f>IFERROR(VLOOKUP($B77, duel!$BJ:$BK, 2, FALSE), 0)</f>
        <v>1</v>
      </c>
      <c r="BB77" t="str">
        <f>IFERROR(VLOOKUP($B77, blitz!$BJ:$BK, 2, FALSE), 0)</f>
        <v>1</v>
      </c>
      <c r="BC77" t="b">
        <f t="shared" si="39"/>
        <v>1</v>
      </c>
      <c r="BD77">
        <f>IFERROR(VLOOKUP($B77, aegis!$BO:$BP, 2, FALSE), 0)</f>
        <v>0</v>
      </c>
      <c r="BE77">
        <f>IFERROR(VLOOKUP($B77, duel!$BO:$BP, 2, FALSE), 0)</f>
        <v>0</v>
      </c>
      <c r="BF77">
        <f>IFERROR(VLOOKUP($B77, blitz!$BO:$BP, 2, FALSE), 0)</f>
        <v>0</v>
      </c>
      <c r="BG77" t="b">
        <f t="shared" si="40"/>
        <v>1</v>
      </c>
      <c r="BH77" t="str">
        <f>IFERROR(VLOOKUP($B77, aegis!$BT:$BU, 2, FALSE), 0)</f>
        <v>21</v>
      </c>
      <c r="BI77" t="str">
        <f>IFERROR(VLOOKUP($B77, duel!$BT:$BU, 2, FALSE), 0)</f>
        <v>21</v>
      </c>
      <c r="BJ77" t="str">
        <f>IFERROR(VLOOKUP($B77, blitz!$BT:$BU, 2, FALSE), 0)</f>
        <v>21</v>
      </c>
      <c r="BK77" t="b">
        <f t="shared" si="41"/>
        <v>1</v>
      </c>
      <c r="BL77" t="str">
        <f>IFERROR(VLOOKUP($B77, aegis!$BY:$BZ, 2, FALSE), 0)</f>
        <v>1</v>
      </c>
      <c r="BM77" t="str">
        <f>IFERROR(VLOOKUP($B77, duel!$BY:$BZ, 2, FALSE), 0)</f>
        <v>1</v>
      </c>
      <c r="BN77" t="str">
        <f>IFERROR(VLOOKUP($B77, blitz!$BY:$BZ, 2, FALSE), 0)</f>
        <v>1</v>
      </c>
      <c r="BO77" t="b">
        <f t="shared" si="42"/>
        <v>1</v>
      </c>
      <c r="BP77" t="str">
        <f>IFERROR(VLOOKUP($B77, aegis!$CD:$CE, 2, FALSE), 0)</f>
        <v>7</v>
      </c>
      <c r="BQ77" t="str">
        <f>IFERROR(VLOOKUP($B77, duel!$CD:$CE, 2, FALSE), 0)</f>
        <v>7</v>
      </c>
      <c r="BR77" t="str">
        <f>IFERROR(VLOOKUP($B77, blitz!$CD:$CE, 2, FALSE), 0)</f>
        <v>7</v>
      </c>
      <c r="BS77" t="b">
        <f t="shared" si="43"/>
        <v>1</v>
      </c>
      <c r="BT77">
        <f>IFERROR(VLOOKUP($B77, aegis!$CI:$CJ, 2, FALSE), 0)</f>
        <v>0</v>
      </c>
      <c r="BU77">
        <f>IFERROR(VLOOKUP($B77, duel!$CI:$CJ, 2, FALSE), 0)</f>
        <v>0</v>
      </c>
      <c r="BV77">
        <f>IFERROR(VLOOKUP($B77, blitz!$CI:$CJ, 2, FALSE), 0)</f>
        <v>0</v>
      </c>
      <c r="BW77" t="b">
        <f t="shared" si="44"/>
        <v>1</v>
      </c>
      <c r="BX77">
        <f>IFERROR(VLOOKUP($B77, aegis!$CN:$CO, 2, FALSE), 0)</f>
        <v>0</v>
      </c>
      <c r="BY77">
        <f>IFERROR(VLOOKUP($B77, duel!$CN:$CO, 2, FALSE), 0)</f>
        <v>0</v>
      </c>
      <c r="BZ77">
        <f>IFERROR(VLOOKUP($B77, blitz!$CN:$CO, 2, FALSE), 0)</f>
        <v>0</v>
      </c>
      <c r="CA77" t="b">
        <f t="shared" si="45"/>
        <v>1</v>
      </c>
      <c r="CB77">
        <f>IFERROR(VLOOKUP($B77, aegis!$CS:$CT, 2, FALSE), 0)</f>
        <v>0</v>
      </c>
      <c r="CC77">
        <f>IFERROR(VLOOKUP($B77, duel!$CS:$CT, 2, FALSE), 0)</f>
        <v>0</v>
      </c>
      <c r="CD77">
        <f>IFERROR(VLOOKUP($B77, blitz!$CS:$CT, 2, FALSE), 0)</f>
        <v>0</v>
      </c>
      <c r="CE77" t="b">
        <f t="shared" si="46"/>
        <v>1</v>
      </c>
      <c r="CF77" t="str">
        <f>IFERROR(VLOOKUP($B77, aegis!$CX:$CY, 2, FALSE), 0)</f>
        <v>9404</v>
      </c>
      <c r="CG77" t="str">
        <f>IFERROR(VLOOKUP($B77, duel!$CX:$CY, 2, FALSE), 0)</f>
        <v>9395</v>
      </c>
      <c r="CH77" t="str">
        <f>IFERROR(VLOOKUP($B77, blitz!$CX:$CY, 2, FALSE), 0)</f>
        <v>2742</v>
      </c>
      <c r="CI77" t="b">
        <f t="shared" si="47"/>
        <v>0</v>
      </c>
      <c r="CJ77" t="str">
        <f>IFERROR(VLOOKUP($B77, aegis!$DC:$DD, 2, FALSE), 0)</f>
        <v>1</v>
      </c>
      <c r="CK77" t="str">
        <f>IFERROR(VLOOKUP($B77, duel!$DC:$DD, 2, FALSE), 0)</f>
        <v>1</v>
      </c>
      <c r="CL77" t="str">
        <f>IFERROR(VLOOKUP($B77, blitz!$DC:$DD, 2, FALSE), 0)</f>
        <v>1</v>
      </c>
      <c r="CM77" t="b">
        <f t="shared" si="48"/>
        <v>1</v>
      </c>
      <c r="CN77" t="str">
        <f>IFERROR(VLOOKUP($B77, aegis!$DH:$DI, 2, FALSE), 0)</f>
        <v>4</v>
      </c>
      <c r="CO77" t="str">
        <f>IFERROR(VLOOKUP($B77, duel!$DH:$DI, 2, FALSE), 0)</f>
        <v>4</v>
      </c>
      <c r="CP77" s="13">
        <f>IFERROR(VLOOKUP($B77, blitz!$DH:$DI, 2, FALSE), 0)</f>
        <v>0</v>
      </c>
      <c r="CQ77" t="b">
        <f t="shared" si="49"/>
        <v>1</v>
      </c>
      <c r="CR77" t="str">
        <f>IFERROR(VLOOKUP($B77, aegis!$DM:$DN, 2, FALSE), 0)</f>
        <v>1</v>
      </c>
      <c r="CS77" t="str">
        <f>IFERROR(VLOOKUP($B77, duel!$DM:$DN, 2, FALSE), 0)</f>
        <v>1</v>
      </c>
      <c r="CT77" t="str">
        <f>IFERROR(VLOOKUP($B77, blitz!$DM:$DN, 2, FALSE), 0)</f>
        <v>1</v>
      </c>
      <c r="CU77" t="b">
        <f t="shared" si="50"/>
        <v>1</v>
      </c>
      <c r="CV77" t="str">
        <f>IFERROR(VLOOKUP($B77, aegis!$DR:$DS, 2, FALSE), 0)</f>
        <v>50</v>
      </c>
      <c r="CW77" t="str">
        <f>IFERROR(VLOOKUP($B77, duel!$DR:$DS, 2, FALSE), 0)</f>
        <v>50</v>
      </c>
      <c r="CX77" t="str">
        <f>IFERROR(VLOOKUP($B77, blitz!$DR:$DS, 2, FALSE), 0)</f>
        <v>50</v>
      </c>
      <c r="CY77" t="b">
        <f t="shared" si="51"/>
        <v>1</v>
      </c>
    </row>
    <row r="78" spans="1:103">
      <c r="A78" t="s">
        <v>1733</v>
      </c>
      <c r="B78" s="6" t="s">
        <v>144</v>
      </c>
      <c r="C78" s="5" t="b">
        <f t="shared" si="26"/>
        <v>0</v>
      </c>
      <c r="D78" t="str">
        <f>IFERROR(VLOOKUP($B78, aegis!$B:$C, 2, FALSE), 0)</f>
        <v>60</v>
      </c>
      <c r="E78" t="str">
        <f>IFERROR(VLOOKUP($B78, duel!$B:$C, 2, FALSE), 0)</f>
        <v>60</v>
      </c>
      <c r="F78" t="str">
        <f>IFERROR(VLOOKUP($B78, blitz!$B:$C, 2, FALSE), 0)</f>
        <v>60</v>
      </c>
      <c r="G78" t="b">
        <f t="shared" si="27"/>
        <v>1</v>
      </c>
      <c r="H78" t="str">
        <f>IFERROR(VLOOKUP($B78, aegis!$G:$H, 2, FALSE), 0)</f>
        <v>35</v>
      </c>
      <c r="I78" t="str">
        <f>IFERROR(VLOOKUP($B78, duel!$G:$H, 2, FALSE), 0)</f>
        <v>35</v>
      </c>
      <c r="J78" t="str">
        <f>IFERROR(VLOOKUP($B78, blitz!$G:$H, 2, FALSE), 0)</f>
        <v>35</v>
      </c>
      <c r="K78" t="b">
        <f t="shared" si="28"/>
        <v>1</v>
      </c>
      <c r="L78" t="str">
        <f>IFERROR(VLOOKUP($B78, aegis!$L:$M, 2, FALSE), 0)</f>
        <v>60</v>
      </c>
      <c r="M78" t="str">
        <f>IFERROR(VLOOKUP($B78, duel!$L:$M, 2, FALSE), 0)</f>
        <v>60</v>
      </c>
      <c r="N78" t="str">
        <f>IFERROR(VLOOKUP($B78, blitz!$L:$M, 2, FALSE), 0)</f>
        <v>60</v>
      </c>
      <c r="O78" t="b">
        <f t="shared" si="29"/>
        <v>1</v>
      </c>
      <c r="P78" t="str">
        <f>IFERROR(VLOOKUP($B78, aegis!$Q:$R, 2, FALSE), 0)</f>
        <v>35</v>
      </c>
      <c r="Q78" t="str">
        <f>IFERROR(VLOOKUP($B78, duel!$Q:$R, 2, FALSE), 0)</f>
        <v>35</v>
      </c>
      <c r="R78" t="str">
        <f>IFERROR(VLOOKUP($B78, blitz!$Q:$R, 2, FALSE), 0)</f>
        <v>35</v>
      </c>
      <c r="S78" t="b">
        <f t="shared" si="30"/>
        <v>1</v>
      </c>
      <c r="T78" t="str">
        <f>IFERROR(VLOOKUP($B78, aegis!$V:$W, 2, FALSE), 0)</f>
        <v>432</v>
      </c>
      <c r="U78" t="str">
        <f>IFERROR(VLOOKUP($B78, duel!$V:$W, 2, FALSE), 0)</f>
        <v>432</v>
      </c>
      <c r="V78" t="str">
        <f>IFERROR(VLOOKUP($B78, blitz!$V:$W, 2, FALSE), 0)</f>
        <v>432</v>
      </c>
      <c r="W78" t="b">
        <f t="shared" si="31"/>
        <v>1</v>
      </c>
      <c r="X78" t="str">
        <f>IFERROR(VLOOKUP($B78, aegis!$AA:$AB, 2, FALSE), 0)</f>
        <v>2</v>
      </c>
      <c r="Y78" t="str">
        <f>IFERROR(VLOOKUP($B78, duel!$AA:$AB, 2, FALSE), 0)</f>
        <v>4</v>
      </c>
      <c r="Z78" t="str">
        <f>IFERROR(VLOOKUP($B78, blitz!$AA:$AB, 2, FALSE), 0)</f>
        <v>2</v>
      </c>
      <c r="AA78" t="b">
        <f t="shared" si="32"/>
        <v>0</v>
      </c>
      <c r="AB78" t="str">
        <f>IFERROR(VLOOKUP($B78, aegis!$AF:$AG, 2, FALSE), 0)</f>
        <v>120</v>
      </c>
      <c r="AC78" t="str">
        <f>IFERROR(VLOOKUP($B78, duel!$AF:$AG, 2, FALSE), 0)</f>
        <v>120</v>
      </c>
      <c r="AD78" t="str">
        <f>IFERROR(VLOOKUP($B78, blitz!$AF:$AG, 2, FALSE), 0)</f>
        <v>120</v>
      </c>
      <c r="AE78" t="b">
        <f t="shared" si="33"/>
        <v>1</v>
      </c>
      <c r="AF78" t="str">
        <f>IFERROR(VLOOKUP($B78, aegis!$AK:$AL, 2, FALSE), 0)</f>
        <v>3</v>
      </c>
      <c r="AG78" t="str">
        <f>IFERROR(VLOOKUP($B78, duel!$AK:$AL, 2, FALSE), 0)</f>
        <v>1</v>
      </c>
      <c r="AH78" t="str">
        <f>IFERROR(VLOOKUP($B78, blitz!$AK:$AL, 2, FALSE), 0)</f>
        <v>1</v>
      </c>
      <c r="AI78" t="b">
        <f t="shared" si="34"/>
        <v>0</v>
      </c>
      <c r="AJ78" t="str">
        <f>IFERROR(VLOOKUP($B78, aegis!$AP:$AQ, 2, FALSE), 0)</f>
        <v>1</v>
      </c>
      <c r="AK78" t="str">
        <f>IFERROR(VLOOKUP($B78, duel!$AP:$AQ, 2, FALSE), 0)</f>
        <v>1</v>
      </c>
      <c r="AL78" t="str">
        <f>IFERROR(VLOOKUP($B78, blitz!$AP:$AQ, 2, FALSE), 0)</f>
        <v>1</v>
      </c>
      <c r="AM78" t="b">
        <f t="shared" si="35"/>
        <v>1</v>
      </c>
      <c r="AN78">
        <f>IFERROR(VLOOKUP($B78, aegis!$AU:$AV, 2, FALSE), 0)</f>
        <v>0</v>
      </c>
      <c r="AO78">
        <f>IFERROR(VLOOKUP($B78, duel!$AU:$AV, 2, FALSE), 0)</f>
        <v>0</v>
      </c>
      <c r="AP78">
        <f>IFERROR(VLOOKUP($B78, blitz!$AU:$AV, 2, FALSE), 0)</f>
        <v>0</v>
      </c>
      <c r="AQ78" t="b">
        <f t="shared" si="36"/>
        <v>1</v>
      </c>
      <c r="AR78" t="str">
        <f>IFERROR(VLOOKUP($B78, aegis!$AZ:$BA, 2, FALSE), 0)</f>
        <v>2</v>
      </c>
      <c r="AS78" t="str">
        <f>IFERROR(VLOOKUP($B78, duel!$AZ:$BA, 2, FALSE), 0)</f>
        <v>2</v>
      </c>
      <c r="AT78" t="str">
        <f>IFERROR(VLOOKUP($B78, blitz!$AZ:$BA, 2, FALSE), 0)</f>
        <v>2</v>
      </c>
      <c r="AU78" t="b">
        <f t="shared" si="37"/>
        <v>1</v>
      </c>
      <c r="AV78" t="str">
        <f>IFERROR(VLOOKUP($B78, aegis!$BE:$BF, 2, FALSE), 0)</f>
        <v>1</v>
      </c>
      <c r="AW78" t="str">
        <f>IFERROR(VLOOKUP($B78, duel!$BE:$BF, 2, FALSE), 0)</f>
        <v>1</v>
      </c>
      <c r="AX78" t="str">
        <f>IFERROR(VLOOKUP($B78, blitz!$BE:$BF, 2, FALSE), 0)</f>
        <v>1</v>
      </c>
      <c r="AY78" t="b">
        <f t="shared" si="38"/>
        <v>1</v>
      </c>
      <c r="AZ78" t="str">
        <f>IFERROR(VLOOKUP($B78, aegis!$BJ:$BK, 2, FALSE), 0)</f>
        <v>1</v>
      </c>
      <c r="BA78" t="str">
        <f>IFERROR(VLOOKUP($B78, duel!$BJ:$BK, 2, FALSE), 0)</f>
        <v>1</v>
      </c>
      <c r="BB78" t="str">
        <f>IFERROR(VLOOKUP($B78, blitz!$BJ:$BK, 2, FALSE), 0)</f>
        <v>1</v>
      </c>
      <c r="BC78" t="b">
        <f t="shared" si="39"/>
        <v>1</v>
      </c>
      <c r="BD78">
        <f>IFERROR(VLOOKUP($B78, aegis!$BO:$BP, 2, FALSE), 0)</f>
        <v>0</v>
      </c>
      <c r="BE78">
        <f>IFERROR(VLOOKUP($B78, duel!$BO:$BP, 2, FALSE), 0)</f>
        <v>0</v>
      </c>
      <c r="BF78">
        <f>IFERROR(VLOOKUP($B78, blitz!$BO:$BP, 2, FALSE), 0)</f>
        <v>0</v>
      </c>
      <c r="BG78" t="b">
        <f t="shared" si="40"/>
        <v>1</v>
      </c>
      <c r="BH78" t="str">
        <f>IFERROR(VLOOKUP($B78, aegis!$BT:$BU, 2, FALSE), 0)</f>
        <v>30</v>
      </c>
      <c r="BI78" t="str">
        <f>IFERROR(VLOOKUP($B78, duel!$BT:$BU, 2, FALSE), 0)</f>
        <v>30</v>
      </c>
      <c r="BJ78" t="str">
        <f>IFERROR(VLOOKUP($B78, blitz!$BT:$BU, 2, FALSE), 0)</f>
        <v>30</v>
      </c>
      <c r="BK78" t="b">
        <f t="shared" si="41"/>
        <v>1</v>
      </c>
      <c r="BL78" t="str">
        <f>IFERROR(VLOOKUP($B78, aegis!$BY:$BZ, 2, FALSE), 0)</f>
        <v>1</v>
      </c>
      <c r="BM78" t="str">
        <f>IFERROR(VLOOKUP($B78, duel!$BY:$BZ, 2, FALSE), 0)</f>
        <v>1</v>
      </c>
      <c r="BN78" t="str">
        <f>IFERROR(VLOOKUP($B78, blitz!$BY:$BZ, 2, FALSE), 0)</f>
        <v>1</v>
      </c>
      <c r="BO78" t="b">
        <f t="shared" si="42"/>
        <v>1</v>
      </c>
      <c r="BP78" t="str">
        <f>IFERROR(VLOOKUP($B78, aegis!$CD:$CE, 2, FALSE), 0)</f>
        <v>7</v>
      </c>
      <c r="BQ78" t="str">
        <f>IFERROR(VLOOKUP($B78, duel!$CD:$CE, 2, FALSE), 0)</f>
        <v>7</v>
      </c>
      <c r="BR78" t="str">
        <f>IFERROR(VLOOKUP($B78, blitz!$CD:$CE, 2, FALSE), 0)</f>
        <v>7</v>
      </c>
      <c r="BS78" t="b">
        <f t="shared" si="43"/>
        <v>1</v>
      </c>
      <c r="BT78">
        <f>IFERROR(VLOOKUP($B78, aegis!$CI:$CJ, 2, FALSE), 0)</f>
        <v>0</v>
      </c>
      <c r="BU78">
        <f>IFERROR(VLOOKUP($B78, duel!$CI:$CJ, 2, FALSE), 0)</f>
        <v>0</v>
      </c>
      <c r="BV78">
        <f>IFERROR(VLOOKUP($B78, blitz!$CI:$CJ, 2, FALSE), 0)</f>
        <v>0</v>
      </c>
      <c r="BW78" t="b">
        <f t="shared" si="44"/>
        <v>1</v>
      </c>
      <c r="BX78">
        <f>IFERROR(VLOOKUP($B78, aegis!$CN:$CO, 2, FALSE), 0)</f>
        <v>0</v>
      </c>
      <c r="BY78">
        <f>IFERROR(VLOOKUP($B78, duel!$CN:$CO, 2, FALSE), 0)</f>
        <v>0</v>
      </c>
      <c r="BZ78">
        <f>IFERROR(VLOOKUP($B78, blitz!$CN:$CO, 2, FALSE), 0)</f>
        <v>0</v>
      </c>
      <c r="CA78" t="b">
        <f t="shared" si="45"/>
        <v>1</v>
      </c>
      <c r="CB78">
        <f>IFERROR(VLOOKUP($B78, aegis!$CS:$CT, 2, FALSE), 0)</f>
        <v>0</v>
      </c>
      <c r="CC78">
        <f>IFERROR(VLOOKUP($B78, duel!$CS:$CT, 2, FALSE), 0)</f>
        <v>0</v>
      </c>
      <c r="CD78">
        <f>IFERROR(VLOOKUP($B78, blitz!$CS:$CT, 2, FALSE), 0)</f>
        <v>0</v>
      </c>
      <c r="CE78" t="b">
        <f t="shared" si="46"/>
        <v>1</v>
      </c>
      <c r="CF78" t="str">
        <f>IFERROR(VLOOKUP($B78, aegis!$CX:$CY, 2, FALSE), 0)</f>
        <v>9596</v>
      </c>
      <c r="CG78" t="str">
        <f>IFERROR(VLOOKUP($B78, duel!$CX:$CY, 2, FALSE), 0)</f>
        <v>9594</v>
      </c>
      <c r="CH78" t="str">
        <f>IFERROR(VLOOKUP($B78, blitz!$CX:$CY, 2, FALSE), 0)</f>
        <v>3539</v>
      </c>
      <c r="CI78" t="b">
        <f t="shared" si="47"/>
        <v>0</v>
      </c>
      <c r="CJ78" t="str">
        <f>IFERROR(VLOOKUP($B78, aegis!$DC:$DD, 2, FALSE), 0)</f>
        <v>1</v>
      </c>
      <c r="CK78" t="str">
        <f>IFERROR(VLOOKUP($B78, duel!$DC:$DD, 2, FALSE), 0)</f>
        <v>1</v>
      </c>
      <c r="CL78" t="str">
        <f>IFERROR(VLOOKUP($B78, blitz!$DC:$DD, 2, FALSE), 0)</f>
        <v>1</v>
      </c>
      <c r="CM78" t="b">
        <f t="shared" si="48"/>
        <v>1</v>
      </c>
      <c r="CN78" t="str">
        <f>IFERROR(VLOOKUP($B78, aegis!$DH:$DI, 2, FALSE), 0)</f>
        <v>4</v>
      </c>
      <c r="CO78" t="str">
        <f>IFERROR(VLOOKUP($B78, duel!$DH:$DI, 2, FALSE), 0)</f>
        <v>4</v>
      </c>
      <c r="CP78" s="13">
        <f>IFERROR(VLOOKUP($B78, blitz!$DH:$DI, 2, FALSE), 0)</f>
        <v>0</v>
      </c>
      <c r="CQ78" t="b">
        <f t="shared" si="49"/>
        <v>1</v>
      </c>
      <c r="CR78" t="str">
        <f>IFERROR(VLOOKUP($B78, aegis!$DM:$DN, 2, FALSE), 0)</f>
        <v>1</v>
      </c>
      <c r="CS78" t="str">
        <f>IFERROR(VLOOKUP($B78, duel!$DM:$DN, 2, FALSE), 0)</f>
        <v>1</v>
      </c>
      <c r="CT78" t="str">
        <f>IFERROR(VLOOKUP($B78, blitz!$DM:$DN, 2, FALSE), 0)</f>
        <v>1</v>
      </c>
      <c r="CU78" t="b">
        <f t="shared" si="50"/>
        <v>1</v>
      </c>
      <c r="CV78" t="str">
        <f>IFERROR(VLOOKUP($B78, aegis!$DR:$DS, 2, FALSE), 0)</f>
        <v>120</v>
      </c>
      <c r="CW78" t="str">
        <f>IFERROR(VLOOKUP($B78, duel!$DR:$DS, 2, FALSE), 0)</f>
        <v>120</v>
      </c>
      <c r="CX78" t="str">
        <f>IFERROR(VLOOKUP($B78, blitz!$DR:$DS, 2, FALSE), 0)</f>
        <v>120</v>
      </c>
      <c r="CY78" t="b">
        <f t="shared" si="51"/>
        <v>1</v>
      </c>
    </row>
    <row r="79" spans="1:103">
      <c r="A79" t="s">
        <v>1733</v>
      </c>
      <c r="B79" s="6" t="s">
        <v>146</v>
      </c>
      <c r="C79" s="5" t="b">
        <f t="shared" si="26"/>
        <v>0</v>
      </c>
      <c r="D79" t="str">
        <f>IFERROR(VLOOKUP($B79, aegis!$B:$C, 2, FALSE), 0)</f>
        <v>60</v>
      </c>
      <c r="E79" t="str">
        <f>IFERROR(VLOOKUP($B79, duel!$B:$C, 2, FALSE), 0)</f>
        <v>60</v>
      </c>
      <c r="F79" t="str">
        <f>IFERROR(VLOOKUP($B79, blitz!$B:$C, 2, FALSE), 0)</f>
        <v>60</v>
      </c>
      <c r="G79" t="b">
        <f t="shared" si="27"/>
        <v>1</v>
      </c>
      <c r="H79" t="str">
        <f>IFERROR(VLOOKUP($B79, aegis!$G:$H, 2, FALSE), 0)</f>
        <v>35</v>
      </c>
      <c r="I79" t="str">
        <f>IFERROR(VLOOKUP($B79, duel!$G:$H, 2, FALSE), 0)</f>
        <v>35</v>
      </c>
      <c r="J79" t="str">
        <f>IFERROR(VLOOKUP($B79, blitz!$G:$H, 2, FALSE), 0)</f>
        <v>35</v>
      </c>
      <c r="K79" t="b">
        <f t="shared" si="28"/>
        <v>1</v>
      </c>
      <c r="L79" t="str">
        <f>IFERROR(VLOOKUP($B79, aegis!$L:$M, 2, FALSE), 0)</f>
        <v>60</v>
      </c>
      <c r="M79" t="str">
        <f>IFERROR(VLOOKUP($B79, duel!$L:$M, 2, FALSE), 0)</f>
        <v>60</v>
      </c>
      <c r="N79" t="str">
        <f>IFERROR(VLOOKUP($B79, blitz!$L:$M, 2, FALSE), 0)</f>
        <v>60</v>
      </c>
      <c r="O79" t="b">
        <f t="shared" si="29"/>
        <v>1</v>
      </c>
      <c r="P79" t="str">
        <f>IFERROR(VLOOKUP($B79, aegis!$Q:$R, 2, FALSE), 0)</f>
        <v>35</v>
      </c>
      <c r="Q79" t="str">
        <f>IFERROR(VLOOKUP($B79, duel!$Q:$R, 2, FALSE), 0)</f>
        <v>35</v>
      </c>
      <c r="R79" t="str">
        <f>IFERROR(VLOOKUP($B79, blitz!$Q:$R, 2, FALSE), 0)</f>
        <v>35</v>
      </c>
      <c r="S79" t="b">
        <f t="shared" si="30"/>
        <v>1</v>
      </c>
      <c r="T79" t="str">
        <f>IFERROR(VLOOKUP($B79, aegis!$V:$W, 2, FALSE), 0)</f>
        <v>306</v>
      </c>
      <c r="U79" t="str">
        <f>IFERROR(VLOOKUP($B79, duel!$V:$W, 2, FALSE), 0)</f>
        <v>306</v>
      </c>
      <c r="V79" t="str">
        <f>IFERROR(VLOOKUP($B79, blitz!$V:$W, 2, FALSE), 0)</f>
        <v>306</v>
      </c>
      <c r="W79" t="b">
        <f t="shared" si="31"/>
        <v>1</v>
      </c>
      <c r="X79" t="str">
        <f>IFERROR(VLOOKUP($B79, aegis!$AA:$AB, 2, FALSE), 0)</f>
        <v>2</v>
      </c>
      <c r="Y79" t="str">
        <f>IFERROR(VLOOKUP($B79, duel!$AA:$AB, 2, FALSE), 0)</f>
        <v>4</v>
      </c>
      <c r="Z79" t="str">
        <f>IFERROR(VLOOKUP($B79, blitz!$AA:$AB, 2, FALSE), 0)</f>
        <v>2</v>
      </c>
      <c r="AA79" t="b">
        <f t="shared" si="32"/>
        <v>0</v>
      </c>
      <c r="AB79" t="str">
        <f>IFERROR(VLOOKUP($B79, aegis!$AF:$AG, 2, FALSE), 0)</f>
        <v>88</v>
      </c>
      <c r="AC79" t="str">
        <f>IFERROR(VLOOKUP($B79, duel!$AF:$AG, 2, FALSE), 0)</f>
        <v>88</v>
      </c>
      <c r="AD79" t="str">
        <f>IFERROR(VLOOKUP($B79, blitz!$AF:$AG, 2, FALSE), 0)</f>
        <v>88</v>
      </c>
      <c r="AE79" t="b">
        <f t="shared" si="33"/>
        <v>1</v>
      </c>
      <c r="AF79" t="str">
        <f>IFERROR(VLOOKUP($B79, aegis!$AK:$AL, 2, FALSE), 0)</f>
        <v>3</v>
      </c>
      <c r="AG79" t="str">
        <f>IFERROR(VLOOKUP($B79, duel!$AK:$AL, 2, FALSE), 0)</f>
        <v>1</v>
      </c>
      <c r="AH79" t="str">
        <f>IFERROR(VLOOKUP($B79, blitz!$AK:$AL, 2, FALSE), 0)</f>
        <v>1</v>
      </c>
      <c r="AI79" t="b">
        <f t="shared" si="34"/>
        <v>0</v>
      </c>
      <c r="AJ79" t="str">
        <f>IFERROR(VLOOKUP($B79, aegis!$AP:$AQ, 2, FALSE), 0)</f>
        <v>1</v>
      </c>
      <c r="AK79" t="str">
        <f>IFERROR(VLOOKUP($B79, duel!$AP:$AQ, 2, FALSE), 0)</f>
        <v>1</v>
      </c>
      <c r="AL79" t="str">
        <f>IFERROR(VLOOKUP($B79, blitz!$AP:$AQ, 2, FALSE), 0)</f>
        <v>1</v>
      </c>
      <c r="AM79" t="b">
        <f t="shared" si="35"/>
        <v>1</v>
      </c>
      <c r="AN79">
        <f>IFERROR(VLOOKUP($B79, aegis!$AU:$AV, 2, FALSE), 0)</f>
        <v>0</v>
      </c>
      <c r="AO79">
        <f>IFERROR(VLOOKUP($B79, duel!$AU:$AV, 2, FALSE), 0)</f>
        <v>0</v>
      </c>
      <c r="AP79">
        <f>IFERROR(VLOOKUP($B79, blitz!$AU:$AV, 2, FALSE), 0)</f>
        <v>0</v>
      </c>
      <c r="AQ79" t="b">
        <f t="shared" si="36"/>
        <v>1</v>
      </c>
      <c r="AR79" t="str">
        <f>IFERROR(VLOOKUP($B79, aegis!$AZ:$BA, 2, FALSE), 0)</f>
        <v>2</v>
      </c>
      <c r="AS79" t="str">
        <f>IFERROR(VLOOKUP($B79, duel!$AZ:$BA, 2, FALSE), 0)</f>
        <v>2</v>
      </c>
      <c r="AT79" t="str">
        <f>IFERROR(VLOOKUP($B79, blitz!$AZ:$BA, 2, FALSE), 0)</f>
        <v>2</v>
      </c>
      <c r="AU79" t="b">
        <f t="shared" si="37"/>
        <v>1</v>
      </c>
      <c r="AV79" t="str">
        <f>IFERROR(VLOOKUP($B79, aegis!$BE:$BF, 2, FALSE), 0)</f>
        <v>1</v>
      </c>
      <c r="AW79" t="str">
        <f>IFERROR(VLOOKUP($B79, duel!$BE:$BF, 2, FALSE), 0)</f>
        <v>1</v>
      </c>
      <c r="AX79" t="str">
        <f>IFERROR(VLOOKUP($B79, blitz!$BE:$BF, 2, FALSE), 0)</f>
        <v>1</v>
      </c>
      <c r="AY79" t="b">
        <f t="shared" si="38"/>
        <v>1</v>
      </c>
      <c r="AZ79" t="str">
        <f>IFERROR(VLOOKUP($B79, aegis!$BJ:$BK, 2, FALSE), 0)</f>
        <v>1</v>
      </c>
      <c r="BA79" t="str">
        <f>IFERROR(VLOOKUP($B79, duel!$BJ:$BK, 2, FALSE), 0)</f>
        <v>1</v>
      </c>
      <c r="BB79" t="str">
        <f>IFERROR(VLOOKUP($B79, blitz!$BJ:$BK, 2, FALSE), 0)</f>
        <v>1</v>
      </c>
      <c r="BC79" t="b">
        <f t="shared" si="39"/>
        <v>1</v>
      </c>
      <c r="BD79">
        <f>IFERROR(VLOOKUP($B79, aegis!$BO:$BP, 2, FALSE), 0)</f>
        <v>0</v>
      </c>
      <c r="BE79">
        <f>IFERROR(VLOOKUP($B79, duel!$BO:$BP, 2, FALSE), 0)</f>
        <v>0</v>
      </c>
      <c r="BF79">
        <f>IFERROR(VLOOKUP($B79, blitz!$BO:$BP, 2, FALSE), 0)</f>
        <v>0</v>
      </c>
      <c r="BG79" t="b">
        <f t="shared" si="40"/>
        <v>1</v>
      </c>
      <c r="BH79" t="str">
        <f>IFERROR(VLOOKUP($B79, aegis!$BT:$BU, 2, FALSE), 0)</f>
        <v>31</v>
      </c>
      <c r="BI79" t="str">
        <f>IFERROR(VLOOKUP($B79, duel!$BT:$BU, 2, FALSE), 0)</f>
        <v>31</v>
      </c>
      <c r="BJ79" t="str">
        <f>IFERROR(VLOOKUP($B79, blitz!$BT:$BU, 2, FALSE), 0)</f>
        <v>31</v>
      </c>
      <c r="BK79" t="b">
        <f t="shared" si="41"/>
        <v>1</v>
      </c>
      <c r="BL79" t="str">
        <f>IFERROR(VLOOKUP($B79, aegis!$BY:$BZ, 2, FALSE), 0)</f>
        <v>1</v>
      </c>
      <c r="BM79" t="str">
        <f>IFERROR(VLOOKUP($B79, duel!$BY:$BZ, 2, FALSE), 0)</f>
        <v>1</v>
      </c>
      <c r="BN79" t="str">
        <f>IFERROR(VLOOKUP($B79, blitz!$BY:$BZ, 2, FALSE), 0)</f>
        <v>1</v>
      </c>
      <c r="BO79" t="b">
        <f t="shared" si="42"/>
        <v>1</v>
      </c>
      <c r="BP79" t="str">
        <f>IFERROR(VLOOKUP($B79, aegis!$CD:$CE, 2, FALSE), 0)</f>
        <v>7</v>
      </c>
      <c r="BQ79" t="str">
        <f>IFERROR(VLOOKUP($B79, duel!$CD:$CE, 2, FALSE), 0)</f>
        <v>7</v>
      </c>
      <c r="BR79" t="str">
        <f>IFERROR(VLOOKUP($B79, blitz!$CD:$CE, 2, FALSE), 0)</f>
        <v>7</v>
      </c>
      <c r="BS79" t="b">
        <f t="shared" si="43"/>
        <v>1</v>
      </c>
      <c r="BT79">
        <f>IFERROR(VLOOKUP($B79, aegis!$CI:$CJ, 2, FALSE), 0)</f>
        <v>0</v>
      </c>
      <c r="BU79">
        <f>IFERROR(VLOOKUP($B79, duel!$CI:$CJ, 2, FALSE), 0)</f>
        <v>0</v>
      </c>
      <c r="BV79">
        <f>IFERROR(VLOOKUP($B79, blitz!$CI:$CJ, 2, FALSE), 0)</f>
        <v>0</v>
      </c>
      <c r="BW79" t="b">
        <f t="shared" si="44"/>
        <v>1</v>
      </c>
      <c r="BX79">
        <f>IFERROR(VLOOKUP($B79, aegis!$CN:$CO, 2, FALSE), 0)</f>
        <v>0</v>
      </c>
      <c r="BY79">
        <f>IFERROR(VLOOKUP($B79, duel!$CN:$CO, 2, FALSE), 0)</f>
        <v>0</v>
      </c>
      <c r="BZ79">
        <f>IFERROR(VLOOKUP($B79, blitz!$CN:$CO, 2, FALSE), 0)</f>
        <v>0</v>
      </c>
      <c r="CA79" t="b">
        <f t="shared" si="45"/>
        <v>1</v>
      </c>
      <c r="CB79">
        <f>IFERROR(VLOOKUP($B79, aegis!$CS:$CT, 2, FALSE), 0)</f>
        <v>0</v>
      </c>
      <c r="CC79">
        <f>IFERROR(VLOOKUP($B79, duel!$CS:$CT, 2, FALSE), 0)</f>
        <v>0</v>
      </c>
      <c r="CD79">
        <f>IFERROR(VLOOKUP($B79, blitz!$CS:$CT, 2, FALSE), 0)</f>
        <v>0</v>
      </c>
      <c r="CE79" t="b">
        <f t="shared" si="46"/>
        <v>1</v>
      </c>
      <c r="CF79" t="str">
        <f>IFERROR(VLOOKUP($B79, aegis!$CX:$CY, 2, FALSE), 0)</f>
        <v>9179</v>
      </c>
      <c r="CG79" t="str">
        <f>IFERROR(VLOOKUP($B79, duel!$CX:$CY, 2, FALSE), 0)</f>
        <v>9178</v>
      </c>
      <c r="CH79" t="str">
        <f>IFERROR(VLOOKUP($B79, blitz!$CX:$CY, 2, FALSE), 0)</f>
        <v>3690</v>
      </c>
      <c r="CI79" t="b">
        <f t="shared" si="47"/>
        <v>0</v>
      </c>
      <c r="CJ79" t="str">
        <f>IFERROR(VLOOKUP($B79, aegis!$DC:$DD, 2, FALSE), 0)</f>
        <v>1</v>
      </c>
      <c r="CK79" t="str">
        <f>IFERROR(VLOOKUP($B79, duel!$DC:$DD, 2, FALSE), 0)</f>
        <v>1</v>
      </c>
      <c r="CL79" t="str">
        <f>IFERROR(VLOOKUP($B79, blitz!$DC:$DD, 2, FALSE), 0)</f>
        <v>1</v>
      </c>
      <c r="CM79" t="b">
        <f t="shared" si="48"/>
        <v>1</v>
      </c>
      <c r="CN79" t="str">
        <f>IFERROR(VLOOKUP($B79, aegis!$DH:$DI, 2, FALSE), 0)</f>
        <v>4</v>
      </c>
      <c r="CO79" t="str">
        <f>IFERROR(VLOOKUP($B79, duel!$DH:$DI, 2, FALSE), 0)</f>
        <v>4</v>
      </c>
      <c r="CP79" s="13">
        <f>IFERROR(VLOOKUP($B79, blitz!$DH:$DI, 2, FALSE), 0)</f>
        <v>0</v>
      </c>
      <c r="CQ79" t="b">
        <f t="shared" si="49"/>
        <v>1</v>
      </c>
      <c r="CR79" t="str">
        <f>IFERROR(VLOOKUP($B79, aegis!$DM:$DN, 2, FALSE), 0)</f>
        <v>1</v>
      </c>
      <c r="CS79" t="str">
        <f>IFERROR(VLOOKUP($B79, duel!$DM:$DN, 2, FALSE), 0)</f>
        <v>1</v>
      </c>
      <c r="CT79" t="str">
        <f>IFERROR(VLOOKUP($B79, blitz!$DM:$DN, 2, FALSE), 0)</f>
        <v>1</v>
      </c>
      <c r="CU79" t="b">
        <f t="shared" si="50"/>
        <v>1</v>
      </c>
      <c r="CV79" t="str">
        <f>IFERROR(VLOOKUP($B79, aegis!$DR:$DS, 2, FALSE), 0)</f>
        <v>86</v>
      </c>
      <c r="CW79" t="str">
        <f>IFERROR(VLOOKUP($B79, duel!$DR:$DS, 2, FALSE), 0)</f>
        <v>86</v>
      </c>
      <c r="CX79" t="str">
        <f>IFERROR(VLOOKUP($B79, blitz!$DR:$DS, 2, FALSE), 0)</f>
        <v>86</v>
      </c>
      <c r="CY79" t="b">
        <f t="shared" si="51"/>
        <v>1</v>
      </c>
    </row>
    <row r="80" spans="1:103">
      <c r="A80" t="s">
        <v>1733</v>
      </c>
      <c r="B80" s="6" t="s">
        <v>148</v>
      </c>
      <c r="C80" s="5" t="b">
        <f t="shared" si="26"/>
        <v>0</v>
      </c>
      <c r="D80" t="str">
        <f>IFERROR(VLOOKUP($B80, aegis!$B:$C, 2, FALSE), 0)</f>
        <v>36</v>
      </c>
      <c r="E80" t="str">
        <f>IFERROR(VLOOKUP($B80, duel!$B:$C, 2, FALSE), 0)</f>
        <v>36</v>
      </c>
      <c r="F80" t="str">
        <f>IFERROR(VLOOKUP($B80, blitz!$B:$C, 2, FALSE), 0)</f>
        <v>36</v>
      </c>
      <c r="G80" t="b">
        <f t="shared" si="27"/>
        <v>1</v>
      </c>
      <c r="H80" t="str">
        <f>IFERROR(VLOOKUP($B80, aegis!$G:$H, 2, FALSE), 0)</f>
        <v>21</v>
      </c>
      <c r="I80" t="str">
        <f>IFERROR(VLOOKUP($B80, duel!$G:$H, 2, FALSE), 0)</f>
        <v>21</v>
      </c>
      <c r="J80" t="str">
        <f>IFERROR(VLOOKUP($B80, blitz!$G:$H, 2, FALSE), 0)</f>
        <v>21</v>
      </c>
      <c r="K80" t="b">
        <f t="shared" si="28"/>
        <v>1</v>
      </c>
      <c r="L80" t="str">
        <f>IFERROR(VLOOKUP($B80, aegis!$L:$M, 2, FALSE), 0)</f>
        <v>36</v>
      </c>
      <c r="M80" t="str">
        <f>IFERROR(VLOOKUP($B80, duel!$L:$M, 2, FALSE), 0)</f>
        <v>36</v>
      </c>
      <c r="N80" t="str">
        <f>IFERROR(VLOOKUP($B80, blitz!$L:$M, 2, FALSE), 0)</f>
        <v>36</v>
      </c>
      <c r="O80" t="b">
        <f t="shared" si="29"/>
        <v>1</v>
      </c>
      <c r="P80" t="str">
        <f>IFERROR(VLOOKUP($B80, aegis!$Q:$R, 2, FALSE), 0)</f>
        <v>21</v>
      </c>
      <c r="Q80" t="str">
        <f>IFERROR(VLOOKUP($B80, duel!$Q:$R, 2, FALSE), 0)</f>
        <v>21</v>
      </c>
      <c r="R80" t="str">
        <f>IFERROR(VLOOKUP($B80, blitz!$Q:$R, 2, FALSE), 0)</f>
        <v>21</v>
      </c>
      <c r="S80" t="b">
        <f t="shared" si="30"/>
        <v>1</v>
      </c>
      <c r="T80" t="str">
        <f>IFERROR(VLOOKUP($B80, aegis!$V:$W, 2, FALSE), 0)</f>
        <v>35</v>
      </c>
      <c r="U80" t="str">
        <f>IFERROR(VLOOKUP($B80, duel!$V:$W, 2, FALSE), 0)</f>
        <v>35</v>
      </c>
      <c r="V80" t="str">
        <f>IFERROR(VLOOKUP($B80, blitz!$V:$W, 2, FALSE), 0)</f>
        <v>35</v>
      </c>
      <c r="W80" t="b">
        <f t="shared" si="31"/>
        <v>1</v>
      </c>
      <c r="X80" t="str">
        <f>IFERROR(VLOOKUP($B80, aegis!$AA:$AB, 2, FALSE), 0)</f>
        <v>2</v>
      </c>
      <c r="Y80" t="str">
        <f>IFERROR(VLOOKUP($B80, duel!$AA:$AB, 2, FALSE), 0)</f>
        <v>4</v>
      </c>
      <c r="Z80" t="str">
        <f>IFERROR(VLOOKUP($B80, blitz!$AA:$AB, 2, FALSE), 0)</f>
        <v>2</v>
      </c>
      <c r="AA80" t="b">
        <f t="shared" si="32"/>
        <v>0</v>
      </c>
      <c r="AB80" t="str">
        <f>IFERROR(VLOOKUP($B80, aegis!$AF:$AG, 2, FALSE), 0)</f>
        <v>20</v>
      </c>
      <c r="AC80" t="str">
        <f>IFERROR(VLOOKUP($B80, duel!$AF:$AG, 2, FALSE), 0)</f>
        <v>20</v>
      </c>
      <c r="AD80" t="str">
        <f>IFERROR(VLOOKUP($B80, blitz!$AF:$AG, 2, FALSE), 0)</f>
        <v>20</v>
      </c>
      <c r="AE80" t="b">
        <f t="shared" si="33"/>
        <v>1</v>
      </c>
      <c r="AF80" t="str">
        <f>IFERROR(VLOOKUP($B80, aegis!$AK:$AL, 2, FALSE), 0)</f>
        <v>3</v>
      </c>
      <c r="AG80" t="str">
        <f>IFERROR(VLOOKUP($B80, duel!$AK:$AL, 2, FALSE), 0)</f>
        <v>1</v>
      </c>
      <c r="AH80" t="str">
        <f>IFERROR(VLOOKUP($B80, blitz!$AK:$AL, 2, FALSE), 0)</f>
        <v>1</v>
      </c>
      <c r="AI80" t="b">
        <f t="shared" si="34"/>
        <v>0</v>
      </c>
      <c r="AJ80" t="str">
        <f>IFERROR(VLOOKUP($B80, aegis!$AP:$AQ, 2, FALSE), 0)</f>
        <v>1</v>
      </c>
      <c r="AK80" t="str">
        <f>IFERROR(VLOOKUP($B80, duel!$AP:$AQ, 2, FALSE), 0)</f>
        <v>1</v>
      </c>
      <c r="AL80" t="str">
        <f>IFERROR(VLOOKUP($B80, blitz!$AP:$AQ, 2, FALSE), 0)</f>
        <v>1</v>
      </c>
      <c r="AM80" t="b">
        <f t="shared" si="35"/>
        <v>1</v>
      </c>
      <c r="AN80">
        <f>IFERROR(VLOOKUP($B80, aegis!$AU:$AV, 2, FALSE), 0)</f>
        <v>0</v>
      </c>
      <c r="AO80">
        <f>IFERROR(VLOOKUP($B80, duel!$AU:$AV, 2, FALSE), 0)</f>
        <v>0</v>
      </c>
      <c r="AP80">
        <f>IFERROR(VLOOKUP($B80, blitz!$AU:$AV, 2, FALSE), 0)</f>
        <v>0</v>
      </c>
      <c r="AQ80" t="b">
        <f t="shared" si="36"/>
        <v>1</v>
      </c>
      <c r="AR80" t="str">
        <f>IFERROR(VLOOKUP($B80, aegis!$AZ:$BA, 2, FALSE), 0)</f>
        <v>2</v>
      </c>
      <c r="AS80" t="str">
        <f>IFERROR(VLOOKUP($B80, duel!$AZ:$BA, 2, FALSE), 0)</f>
        <v>2</v>
      </c>
      <c r="AT80" t="str">
        <f>IFERROR(VLOOKUP($B80, blitz!$AZ:$BA, 2, FALSE), 0)</f>
        <v>2</v>
      </c>
      <c r="AU80" t="b">
        <f t="shared" si="37"/>
        <v>1</v>
      </c>
      <c r="AV80" t="str">
        <f>IFERROR(VLOOKUP($B80, aegis!$BE:$BF, 2, FALSE), 0)</f>
        <v>1</v>
      </c>
      <c r="AW80" t="str">
        <f>IFERROR(VLOOKUP($B80, duel!$BE:$BF, 2, FALSE), 0)</f>
        <v>1</v>
      </c>
      <c r="AX80" t="str">
        <f>IFERROR(VLOOKUP($B80, blitz!$BE:$BF, 2, FALSE), 0)</f>
        <v>1</v>
      </c>
      <c r="AY80" t="b">
        <f t="shared" si="38"/>
        <v>1</v>
      </c>
      <c r="AZ80" t="str">
        <f>IFERROR(VLOOKUP($B80, aegis!$BJ:$BK, 2, FALSE), 0)</f>
        <v>1</v>
      </c>
      <c r="BA80" t="str">
        <f>IFERROR(VLOOKUP($B80, duel!$BJ:$BK, 2, FALSE), 0)</f>
        <v>1</v>
      </c>
      <c r="BB80" t="str">
        <f>IFERROR(VLOOKUP($B80, blitz!$BJ:$BK, 2, FALSE), 0)</f>
        <v>1</v>
      </c>
      <c r="BC80" t="b">
        <f t="shared" si="39"/>
        <v>1</v>
      </c>
      <c r="BD80">
        <f>IFERROR(VLOOKUP($B80, aegis!$BO:$BP, 2, FALSE), 0)</f>
        <v>0</v>
      </c>
      <c r="BE80">
        <f>IFERROR(VLOOKUP($B80, duel!$BO:$BP, 2, FALSE), 0)</f>
        <v>0</v>
      </c>
      <c r="BF80">
        <f>IFERROR(VLOOKUP($B80, blitz!$BO:$BP, 2, FALSE), 0)</f>
        <v>0</v>
      </c>
      <c r="BG80" t="b">
        <f t="shared" si="40"/>
        <v>1</v>
      </c>
      <c r="BH80" t="str">
        <f>IFERROR(VLOOKUP($B80, aegis!$BT:$BU, 2, FALSE), 0)</f>
        <v>17</v>
      </c>
      <c r="BI80" t="str">
        <f>IFERROR(VLOOKUP($B80, duel!$BT:$BU, 2, FALSE), 0)</f>
        <v>17</v>
      </c>
      <c r="BJ80" t="str">
        <f>IFERROR(VLOOKUP($B80, blitz!$BT:$BU, 2, FALSE), 0)</f>
        <v>17</v>
      </c>
      <c r="BK80" t="b">
        <f t="shared" si="41"/>
        <v>1</v>
      </c>
      <c r="BL80" t="str">
        <f>IFERROR(VLOOKUP($B80, aegis!$BY:$BZ, 2, FALSE), 0)</f>
        <v>1</v>
      </c>
      <c r="BM80" t="str">
        <f>IFERROR(VLOOKUP($B80, duel!$BY:$BZ, 2, FALSE), 0)</f>
        <v>1</v>
      </c>
      <c r="BN80" t="str">
        <f>IFERROR(VLOOKUP($B80, blitz!$BY:$BZ, 2, FALSE), 0)</f>
        <v>1</v>
      </c>
      <c r="BO80" t="b">
        <f t="shared" si="42"/>
        <v>1</v>
      </c>
      <c r="BP80" t="str">
        <f>IFERROR(VLOOKUP($B80, aegis!$CD:$CE, 2, FALSE), 0)</f>
        <v>5</v>
      </c>
      <c r="BQ80" t="str">
        <f>IFERROR(VLOOKUP($B80, duel!$CD:$CE, 2, FALSE), 0)</f>
        <v>5</v>
      </c>
      <c r="BR80" t="str">
        <f>IFERROR(VLOOKUP($B80, blitz!$CD:$CE, 2, FALSE), 0)</f>
        <v>5</v>
      </c>
      <c r="BS80" t="b">
        <f t="shared" si="43"/>
        <v>1</v>
      </c>
      <c r="BT80">
        <f>IFERROR(VLOOKUP($B80, aegis!$CI:$CJ, 2, FALSE), 0)</f>
        <v>0</v>
      </c>
      <c r="BU80">
        <f>IFERROR(VLOOKUP($B80, duel!$CI:$CJ, 2, FALSE), 0)</f>
        <v>0</v>
      </c>
      <c r="BV80">
        <f>IFERROR(VLOOKUP($B80, blitz!$CI:$CJ, 2, FALSE), 0)</f>
        <v>0</v>
      </c>
      <c r="BW80" t="b">
        <f t="shared" si="44"/>
        <v>1</v>
      </c>
      <c r="BX80">
        <f>IFERROR(VLOOKUP($B80, aegis!$CN:$CO, 2, FALSE), 0)</f>
        <v>0</v>
      </c>
      <c r="BY80">
        <f>IFERROR(VLOOKUP($B80, duel!$CN:$CO, 2, FALSE), 0)</f>
        <v>0</v>
      </c>
      <c r="BZ80">
        <f>IFERROR(VLOOKUP($B80, blitz!$CN:$CO, 2, FALSE), 0)</f>
        <v>0</v>
      </c>
      <c r="CA80" t="b">
        <f t="shared" si="45"/>
        <v>1</v>
      </c>
      <c r="CB80">
        <f>IFERROR(VLOOKUP($B80, aegis!$CS:$CT, 2, FALSE), 0)</f>
        <v>0</v>
      </c>
      <c r="CC80">
        <f>IFERROR(VLOOKUP($B80, duel!$CS:$CT, 2, FALSE), 0)</f>
        <v>0</v>
      </c>
      <c r="CD80">
        <f>IFERROR(VLOOKUP($B80, blitz!$CS:$CT, 2, FALSE), 0)</f>
        <v>0</v>
      </c>
      <c r="CE80" t="b">
        <f t="shared" si="46"/>
        <v>1</v>
      </c>
      <c r="CF80" t="str">
        <f>IFERROR(VLOOKUP($B80, aegis!$CX:$CY, 2, FALSE), 0)</f>
        <v>6260</v>
      </c>
      <c r="CG80" t="str">
        <f>IFERROR(VLOOKUP($B80, duel!$CX:$CY, 2, FALSE), 0)</f>
        <v>6248</v>
      </c>
      <c r="CH80" t="str">
        <f>IFERROR(VLOOKUP($B80, blitz!$CX:$CY, 2, FALSE), 0)</f>
        <v>3033</v>
      </c>
      <c r="CI80" t="b">
        <f t="shared" si="47"/>
        <v>0</v>
      </c>
      <c r="CJ80" t="str">
        <f>IFERROR(VLOOKUP($B80, aegis!$DC:$DD, 2, FALSE), 0)</f>
        <v>1</v>
      </c>
      <c r="CK80" t="str">
        <f>IFERROR(VLOOKUP($B80, duel!$DC:$DD, 2, FALSE), 0)</f>
        <v>1</v>
      </c>
      <c r="CL80" t="str">
        <f>IFERROR(VLOOKUP($B80, blitz!$DC:$DD, 2, FALSE), 0)</f>
        <v>1</v>
      </c>
      <c r="CM80" t="b">
        <f t="shared" si="48"/>
        <v>1</v>
      </c>
      <c r="CN80" t="str">
        <f>IFERROR(VLOOKUP($B80, aegis!$DH:$DI, 2, FALSE), 0)</f>
        <v>1</v>
      </c>
      <c r="CO80" t="str">
        <f>IFERROR(VLOOKUP($B80, duel!$DH:$DI, 2, FALSE), 0)</f>
        <v>1</v>
      </c>
      <c r="CP80" s="13">
        <f>IFERROR(VLOOKUP($B80, blitz!$DH:$DI, 2, FALSE), 0)</f>
        <v>0</v>
      </c>
      <c r="CQ80" t="b">
        <f t="shared" si="49"/>
        <v>1</v>
      </c>
      <c r="CR80" t="str">
        <f>IFERROR(VLOOKUP($B80, aegis!$DM:$DN, 2, FALSE), 0)</f>
        <v>1</v>
      </c>
      <c r="CS80" t="str">
        <f>IFERROR(VLOOKUP($B80, duel!$DM:$DN, 2, FALSE), 0)</f>
        <v>1</v>
      </c>
      <c r="CT80" t="str">
        <f>IFERROR(VLOOKUP($B80, blitz!$DM:$DN, 2, FALSE), 0)</f>
        <v>1</v>
      </c>
      <c r="CU80" t="b">
        <f t="shared" si="50"/>
        <v>1</v>
      </c>
      <c r="CV80" t="str">
        <f>IFERROR(VLOOKUP($B80, aegis!$DR:$DS, 2, FALSE), 0)</f>
        <v>20</v>
      </c>
      <c r="CW80" t="str">
        <f>IFERROR(VLOOKUP($B80, duel!$DR:$DS, 2, FALSE), 0)</f>
        <v>20</v>
      </c>
      <c r="CX80" t="str">
        <f>IFERROR(VLOOKUP($B80, blitz!$DR:$DS, 2, FALSE), 0)</f>
        <v>20</v>
      </c>
      <c r="CY80" t="b">
        <f t="shared" si="51"/>
        <v>1</v>
      </c>
    </row>
    <row r="81" spans="1:103">
      <c r="A81" t="s">
        <v>1733</v>
      </c>
      <c r="B81" s="6" t="s">
        <v>150</v>
      </c>
      <c r="C81" s="5" t="b">
        <f t="shared" si="26"/>
        <v>0</v>
      </c>
      <c r="D81" t="str">
        <f>IFERROR(VLOOKUP($B81, aegis!$B:$C, 2, FALSE), 0)</f>
        <v>72</v>
      </c>
      <c r="E81" t="str">
        <f>IFERROR(VLOOKUP($B81, duel!$B:$C, 2, FALSE), 0)</f>
        <v>72</v>
      </c>
      <c r="F81" t="str">
        <f>IFERROR(VLOOKUP($B81, blitz!$B:$C, 2, FALSE), 0)</f>
        <v>72</v>
      </c>
      <c r="G81" t="b">
        <f t="shared" si="27"/>
        <v>1</v>
      </c>
      <c r="H81" t="str">
        <f>IFERROR(VLOOKUP($B81, aegis!$G:$H, 2, FALSE), 0)</f>
        <v>42</v>
      </c>
      <c r="I81" t="str">
        <f>IFERROR(VLOOKUP($B81, duel!$G:$H, 2, FALSE), 0)</f>
        <v>42</v>
      </c>
      <c r="J81" t="str">
        <f>IFERROR(VLOOKUP($B81, blitz!$G:$H, 2, FALSE), 0)</f>
        <v>42</v>
      </c>
      <c r="K81" t="b">
        <f t="shared" si="28"/>
        <v>1</v>
      </c>
      <c r="L81" t="str">
        <f>IFERROR(VLOOKUP($B81, aegis!$L:$M, 2, FALSE), 0)</f>
        <v>72</v>
      </c>
      <c r="M81" t="str">
        <f>IFERROR(VLOOKUP($B81, duel!$L:$M, 2, FALSE), 0)</f>
        <v>72</v>
      </c>
      <c r="N81" t="str">
        <f>IFERROR(VLOOKUP($B81, blitz!$L:$M, 2, FALSE), 0)</f>
        <v>72</v>
      </c>
      <c r="O81" t="b">
        <f t="shared" si="29"/>
        <v>1</v>
      </c>
      <c r="P81" t="str">
        <f>IFERROR(VLOOKUP($B81, aegis!$Q:$R, 2, FALSE), 0)</f>
        <v>42</v>
      </c>
      <c r="Q81" t="str">
        <f>IFERROR(VLOOKUP($B81, duel!$Q:$R, 2, FALSE), 0)</f>
        <v>42</v>
      </c>
      <c r="R81" t="str">
        <f>IFERROR(VLOOKUP($B81, blitz!$Q:$R, 2, FALSE), 0)</f>
        <v>42</v>
      </c>
      <c r="S81" t="b">
        <f t="shared" si="30"/>
        <v>1</v>
      </c>
      <c r="T81" t="str">
        <f>IFERROR(VLOOKUP($B81, aegis!$V:$W, 2, FALSE), 0)</f>
        <v>284</v>
      </c>
      <c r="U81" t="str">
        <f>IFERROR(VLOOKUP($B81, duel!$V:$W, 2, FALSE), 0)</f>
        <v>284</v>
      </c>
      <c r="V81" t="str">
        <f>IFERROR(VLOOKUP($B81, blitz!$V:$W, 2, FALSE), 0)</f>
        <v>284</v>
      </c>
      <c r="W81" t="b">
        <f t="shared" si="31"/>
        <v>1</v>
      </c>
      <c r="X81" t="str">
        <f>IFERROR(VLOOKUP($B81, aegis!$AA:$AB, 2, FALSE), 0)</f>
        <v>2</v>
      </c>
      <c r="Y81" t="str">
        <f>IFERROR(VLOOKUP($B81, duel!$AA:$AB, 2, FALSE), 0)</f>
        <v>4</v>
      </c>
      <c r="Z81" t="str">
        <f>IFERROR(VLOOKUP($B81, blitz!$AA:$AB, 2, FALSE), 0)</f>
        <v>2</v>
      </c>
      <c r="AA81" t="b">
        <f t="shared" si="32"/>
        <v>0</v>
      </c>
      <c r="AB81" t="str">
        <f>IFERROR(VLOOKUP($B81, aegis!$AF:$AG, 2, FALSE), 0)</f>
        <v>81</v>
      </c>
      <c r="AC81" t="str">
        <f>IFERROR(VLOOKUP($B81, duel!$AF:$AG, 2, FALSE), 0)</f>
        <v>81</v>
      </c>
      <c r="AD81" t="str">
        <f>IFERROR(VLOOKUP($B81, blitz!$AF:$AG, 2, FALSE), 0)</f>
        <v>81</v>
      </c>
      <c r="AE81" t="b">
        <f t="shared" si="33"/>
        <v>1</v>
      </c>
      <c r="AF81" t="str">
        <f>IFERROR(VLOOKUP($B81, aegis!$AK:$AL, 2, FALSE), 0)</f>
        <v>3</v>
      </c>
      <c r="AG81" t="str">
        <f>IFERROR(VLOOKUP($B81, duel!$AK:$AL, 2, FALSE), 0)</f>
        <v>1</v>
      </c>
      <c r="AH81" t="str">
        <f>IFERROR(VLOOKUP($B81, blitz!$AK:$AL, 2, FALSE), 0)</f>
        <v>1</v>
      </c>
      <c r="AI81" t="b">
        <f t="shared" si="34"/>
        <v>0</v>
      </c>
      <c r="AJ81" t="str">
        <f>IFERROR(VLOOKUP($B81, aegis!$AP:$AQ, 2, FALSE), 0)</f>
        <v>2</v>
      </c>
      <c r="AK81" t="str">
        <f>IFERROR(VLOOKUP($B81, duel!$AP:$AQ, 2, FALSE), 0)</f>
        <v>2</v>
      </c>
      <c r="AL81" t="str">
        <f>IFERROR(VLOOKUP($B81, blitz!$AP:$AQ, 2, FALSE), 0)</f>
        <v>2</v>
      </c>
      <c r="AM81" t="b">
        <f t="shared" si="35"/>
        <v>1</v>
      </c>
      <c r="AN81">
        <f>IFERROR(VLOOKUP($B81, aegis!$AU:$AV, 2, FALSE), 0)</f>
        <v>0</v>
      </c>
      <c r="AO81">
        <f>IFERROR(VLOOKUP($B81, duel!$AU:$AV, 2, FALSE), 0)</f>
        <v>0</v>
      </c>
      <c r="AP81">
        <f>IFERROR(VLOOKUP($B81, blitz!$AU:$AV, 2, FALSE), 0)</f>
        <v>0</v>
      </c>
      <c r="AQ81" t="b">
        <f t="shared" si="36"/>
        <v>1</v>
      </c>
      <c r="AR81" t="str">
        <f>IFERROR(VLOOKUP($B81, aegis!$AZ:$BA, 2, FALSE), 0)</f>
        <v>2</v>
      </c>
      <c r="AS81" t="str">
        <f>IFERROR(VLOOKUP($B81, duel!$AZ:$BA, 2, FALSE), 0)</f>
        <v>2</v>
      </c>
      <c r="AT81" t="str">
        <f>IFERROR(VLOOKUP($B81, blitz!$AZ:$BA, 2, FALSE), 0)</f>
        <v>2</v>
      </c>
      <c r="AU81" t="b">
        <f t="shared" si="37"/>
        <v>1</v>
      </c>
      <c r="AV81" t="str">
        <f>IFERROR(VLOOKUP($B81, aegis!$BE:$BF, 2, FALSE), 0)</f>
        <v>1</v>
      </c>
      <c r="AW81" t="str">
        <f>IFERROR(VLOOKUP($B81, duel!$BE:$BF, 2, FALSE), 0)</f>
        <v>1</v>
      </c>
      <c r="AX81" t="str">
        <f>IFERROR(VLOOKUP($B81, blitz!$BE:$BF, 2, FALSE), 0)</f>
        <v>1</v>
      </c>
      <c r="AY81" t="b">
        <f t="shared" si="38"/>
        <v>1</v>
      </c>
      <c r="AZ81" t="str">
        <f>IFERROR(VLOOKUP($B81, aegis!$BJ:$BK, 2, FALSE), 0)</f>
        <v>1</v>
      </c>
      <c r="BA81" t="str">
        <f>IFERROR(VLOOKUP($B81, duel!$BJ:$BK, 2, FALSE), 0)</f>
        <v>1</v>
      </c>
      <c r="BB81" t="str">
        <f>IFERROR(VLOOKUP($B81, blitz!$BJ:$BK, 2, FALSE), 0)</f>
        <v>1</v>
      </c>
      <c r="BC81" t="b">
        <f t="shared" si="39"/>
        <v>1</v>
      </c>
      <c r="BD81">
        <f>IFERROR(VLOOKUP($B81, aegis!$BO:$BP, 2, FALSE), 0)</f>
        <v>0</v>
      </c>
      <c r="BE81">
        <f>IFERROR(VLOOKUP($B81, duel!$BO:$BP, 2, FALSE), 0)</f>
        <v>0</v>
      </c>
      <c r="BF81">
        <f>IFERROR(VLOOKUP($B81, blitz!$BO:$BP, 2, FALSE), 0)</f>
        <v>0</v>
      </c>
      <c r="BG81" t="b">
        <f t="shared" si="40"/>
        <v>1</v>
      </c>
      <c r="BH81" t="str">
        <f>IFERROR(VLOOKUP($B81, aegis!$BT:$BU, 2, FALSE), 0)</f>
        <v>26</v>
      </c>
      <c r="BI81" t="str">
        <f>IFERROR(VLOOKUP($B81, duel!$BT:$BU, 2, FALSE), 0)</f>
        <v>26</v>
      </c>
      <c r="BJ81" t="str">
        <f>IFERROR(VLOOKUP($B81, blitz!$BT:$BU, 2, FALSE), 0)</f>
        <v>26</v>
      </c>
      <c r="BK81" t="b">
        <f t="shared" si="41"/>
        <v>1</v>
      </c>
      <c r="BL81" t="str">
        <f>IFERROR(VLOOKUP($B81, aegis!$BY:$BZ, 2, FALSE), 0)</f>
        <v>1</v>
      </c>
      <c r="BM81" t="str">
        <f>IFERROR(VLOOKUP($B81, duel!$BY:$BZ, 2, FALSE), 0)</f>
        <v>1</v>
      </c>
      <c r="BN81" t="str">
        <f>IFERROR(VLOOKUP($B81, blitz!$BY:$BZ, 2, FALSE), 0)</f>
        <v>1</v>
      </c>
      <c r="BO81" t="b">
        <f t="shared" si="42"/>
        <v>1</v>
      </c>
      <c r="BP81" t="str">
        <f>IFERROR(VLOOKUP($B81, aegis!$CD:$CE, 2, FALSE), 0)</f>
        <v>7</v>
      </c>
      <c r="BQ81" t="str">
        <f>IFERROR(VLOOKUP($B81, duel!$CD:$CE, 2, FALSE), 0)</f>
        <v>7</v>
      </c>
      <c r="BR81" t="str">
        <f>IFERROR(VLOOKUP($B81, blitz!$CD:$CE, 2, FALSE), 0)</f>
        <v>7</v>
      </c>
      <c r="BS81" t="b">
        <f t="shared" si="43"/>
        <v>1</v>
      </c>
      <c r="BT81">
        <f>IFERROR(VLOOKUP($B81, aegis!$CI:$CJ, 2, FALSE), 0)</f>
        <v>0</v>
      </c>
      <c r="BU81">
        <f>IFERROR(VLOOKUP($B81, duel!$CI:$CJ, 2, FALSE), 0)</f>
        <v>0</v>
      </c>
      <c r="BV81">
        <f>IFERROR(VLOOKUP($B81, blitz!$CI:$CJ, 2, FALSE), 0)</f>
        <v>0</v>
      </c>
      <c r="BW81" t="b">
        <f t="shared" si="44"/>
        <v>1</v>
      </c>
      <c r="BX81">
        <f>IFERROR(VLOOKUP($B81, aegis!$CN:$CO, 2, FALSE), 0)</f>
        <v>0</v>
      </c>
      <c r="BY81">
        <f>IFERROR(VLOOKUP($B81, duel!$CN:$CO, 2, FALSE), 0)</f>
        <v>0</v>
      </c>
      <c r="BZ81">
        <f>IFERROR(VLOOKUP($B81, blitz!$CN:$CO, 2, FALSE), 0)</f>
        <v>0</v>
      </c>
      <c r="CA81" t="b">
        <f t="shared" si="45"/>
        <v>1</v>
      </c>
      <c r="CB81">
        <f>IFERROR(VLOOKUP($B81, aegis!$CS:$CT, 2, FALSE), 0)</f>
        <v>0</v>
      </c>
      <c r="CC81">
        <f>IFERROR(VLOOKUP($B81, duel!$CS:$CT, 2, FALSE), 0)</f>
        <v>0</v>
      </c>
      <c r="CD81">
        <f>IFERROR(VLOOKUP($B81, blitz!$CS:$CT, 2, FALSE), 0)</f>
        <v>0</v>
      </c>
      <c r="CE81" t="b">
        <f t="shared" si="46"/>
        <v>1</v>
      </c>
      <c r="CF81" t="str">
        <f>IFERROR(VLOOKUP($B81, aegis!$CX:$CY, 2, FALSE), 0)</f>
        <v>14336</v>
      </c>
      <c r="CG81" t="str">
        <f>IFERROR(VLOOKUP($B81, duel!$CX:$CY, 2, FALSE), 0)</f>
        <v>14336</v>
      </c>
      <c r="CH81" t="str">
        <f>IFERROR(VLOOKUP($B81, blitz!$CX:$CY, 2, FALSE), 0)</f>
        <v>5536</v>
      </c>
      <c r="CI81" t="b">
        <f t="shared" si="47"/>
        <v>0</v>
      </c>
      <c r="CJ81" t="str">
        <f>IFERROR(VLOOKUP($B81, aegis!$DC:$DD, 2, FALSE), 0)</f>
        <v>1</v>
      </c>
      <c r="CK81" t="str">
        <f>IFERROR(VLOOKUP($B81, duel!$DC:$DD, 2, FALSE), 0)</f>
        <v>1</v>
      </c>
      <c r="CL81" t="str">
        <f>IFERROR(VLOOKUP($B81, blitz!$DC:$DD, 2, FALSE), 0)</f>
        <v>1</v>
      </c>
      <c r="CM81" t="b">
        <f t="shared" si="48"/>
        <v>1</v>
      </c>
      <c r="CN81" t="str">
        <f>IFERROR(VLOOKUP($B81, aegis!$DH:$DI, 2, FALSE), 0)</f>
        <v>2</v>
      </c>
      <c r="CO81" t="str">
        <f>IFERROR(VLOOKUP($B81, duel!$DH:$DI, 2, FALSE), 0)</f>
        <v>2</v>
      </c>
      <c r="CP81" s="13">
        <f>IFERROR(VLOOKUP($B81, blitz!$DH:$DI, 2, FALSE), 0)</f>
        <v>0</v>
      </c>
      <c r="CQ81" t="b">
        <f t="shared" si="49"/>
        <v>1</v>
      </c>
      <c r="CR81" t="str">
        <f>IFERROR(VLOOKUP($B81, aegis!$DM:$DN, 2, FALSE), 0)</f>
        <v>1</v>
      </c>
      <c r="CS81" t="str">
        <f>IFERROR(VLOOKUP($B81, duel!$DM:$DN, 2, FALSE), 0)</f>
        <v>1</v>
      </c>
      <c r="CT81" t="str">
        <f>IFERROR(VLOOKUP($B81, blitz!$DM:$DN, 2, FALSE), 0)</f>
        <v>1</v>
      </c>
      <c r="CU81" t="b">
        <f t="shared" si="50"/>
        <v>1</v>
      </c>
      <c r="CV81" t="str">
        <f>IFERROR(VLOOKUP($B81, aegis!$DR:$DS, 2, FALSE), 0)</f>
        <v>80</v>
      </c>
      <c r="CW81" t="str">
        <f>IFERROR(VLOOKUP($B81, duel!$DR:$DS, 2, FALSE), 0)</f>
        <v>80</v>
      </c>
      <c r="CX81" t="str">
        <f>IFERROR(VLOOKUP($B81, blitz!$DR:$DS, 2, FALSE), 0)</f>
        <v>80</v>
      </c>
      <c r="CY81" t="b">
        <f t="shared" si="51"/>
        <v>1</v>
      </c>
    </row>
    <row r="82" spans="1:103">
      <c r="A82" t="s">
        <v>1733</v>
      </c>
      <c r="B82" s="6" t="s">
        <v>152</v>
      </c>
      <c r="C82" s="5" t="b">
        <f t="shared" si="26"/>
        <v>0</v>
      </c>
      <c r="D82" t="str">
        <f>IFERROR(VLOOKUP($B82, aegis!$B:$C, 2, FALSE), 0)</f>
        <v>36</v>
      </c>
      <c r="E82" t="str">
        <f>IFERROR(VLOOKUP($B82, duel!$B:$C, 2, FALSE), 0)</f>
        <v>36</v>
      </c>
      <c r="F82" t="str">
        <f>IFERROR(VLOOKUP($B82, blitz!$B:$C, 2, FALSE), 0)</f>
        <v>36</v>
      </c>
      <c r="G82" t="b">
        <f t="shared" si="27"/>
        <v>1</v>
      </c>
      <c r="H82" t="str">
        <f>IFERROR(VLOOKUP($B82, aegis!$G:$H, 2, FALSE), 0)</f>
        <v>21</v>
      </c>
      <c r="I82" t="str">
        <f>IFERROR(VLOOKUP($B82, duel!$G:$H, 2, FALSE), 0)</f>
        <v>21</v>
      </c>
      <c r="J82" t="str">
        <f>IFERROR(VLOOKUP($B82, blitz!$G:$H, 2, FALSE), 0)</f>
        <v>21</v>
      </c>
      <c r="K82" t="b">
        <f t="shared" si="28"/>
        <v>1</v>
      </c>
      <c r="L82" t="str">
        <f>IFERROR(VLOOKUP($B82, aegis!$L:$M, 2, FALSE), 0)</f>
        <v>36</v>
      </c>
      <c r="M82" t="str">
        <f>IFERROR(VLOOKUP($B82, duel!$L:$M, 2, FALSE), 0)</f>
        <v>36</v>
      </c>
      <c r="N82" t="str">
        <f>IFERROR(VLOOKUP($B82, blitz!$L:$M, 2, FALSE), 0)</f>
        <v>36</v>
      </c>
      <c r="O82" t="b">
        <f t="shared" si="29"/>
        <v>1</v>
      </c>
      <c r="P82" t="str">
        <f>IFERROR(VLOOKUP($B82, aegis!$Q:$R, 2, FALSE), 0)</f>
        <v>21</v>
      </c>
      <c r="Q82" t="str">
        <f>IFERROR(VLOOKUP($B82, duel!$Q:$R, 2, FALSE), 0)</f>
        <v>21</v>
      </c>
      <c r="R82" t="str">
        <f>IFERROR(VLOOKUP($B82, blitz!$Q:$R, 2, FALSE), 0)</f>
        <v>21</v>
      </c>
      <c r="S82" t="b">
        <f t="shared" si="30"/>
        <v>1</v>
      </c>
      <c r="T82" t="str">
        <f>IFERROR(VLOOKUP($B82, aegis!$V:$W, 2, FALSE), 0)</f>
        <v>23</v>
      </c>
      <c r="U82" t="str">
        <f>IFERROR(VLOOKUP($B82, duel!$V:$W, 2, FALSE), 0)</f>
        <v>23</v>
      </c>
      <c r="V82" t="str">
        <f>IFERROR(VLOOKUP($B82, blitz!$V:$W, 2, FALSE), 0)</f>
        <v>23</v>
      </c>
      <c r="W82" t="b">
        <f t="shared" si="31"/>
        <v>1</v>
      </c>
      <c r="X82" t="str">
        <f>IFERROR(VLOOKUP($B82, aegis!$AA:$AB, 2, FALSE), 0)</f>
        <v>2</v>
      </c>
      <c r="Y82" t="str">
        <f>IFERROR(VLOOKUP($B82, duel!$AA:$AB, 2, FALSE), 0)</f>
        <v>4</v>
      </c>
      <c r="Z82" t="str">
        <f>IFERROR(VLOOKUP($B82, blitz!$AA:$AB, 2, FALSE), 0)</f>
        <v>2</v>
      </c>
      <c r="AA82" t="b">
        <f t="shared" si="32"/>
        <v>0</v>
      </c>
      <c r="AB82" t="str">
        <f>IFERROR(VLOOKUP($B82, aegis!$AF:$AG, 2, FALSE), 0)</f>
        <v>23</v>
      </c>
      <c r="AC82" t="str">
        <f>IFERROR(VLOOKUP($B82, duel!$AF:$AG, 2, FALSE), 0)</f>
        <v>23</v>
      </c>
      <c r="AD82" t="str">
        <f>IFERROR(VLOOKUP($B82, blitz!$AF:$AG, 2, FALSE), 0)</f>
        <v>23</v>
      </c>
      <c r="AE82" t="b">
        <f t="shared" si="33"/>
        <v>1</v>
      </c>
      <c r="AF82" t="str">
        <f>IFERROR(VLOOKUP($B82, aegis!$AK:$AL, 2, FALSE), 0)</f>
        <v>3</v>
      </c>
      <c r="AG82" t="str">
        <f>IFERROR(VLOOKUP($B82, duel!$AK:$AL, 2, FALSE), 0)</f>
        <v>1</v>
      </c>
      <c r="AH82" t="str">
        <f>IFERROR(VLOOKUP($B82, blitz!$AK:$AL, 2, FALSE), 0)</f>
        <v>1</v>
      </c>
      <c r="AI82" t="b">
        <f t="shared" si="34"/>
        <v>0</v>
      </c>
      <c r="AJ82" t="str">
        <f>IFERROR(VLOOKUP($B82, aegis!$AP:$AQ, 2, FALSE), 0)</f>
        <v>1</v>
      </c>
      <c r="AK82" t="str">
        <f>IFERROR(VLOOKUP($B82, duel!$AP:$AQ, 2, FALSE), 0)</f>
        <v>1</v>
      </c>
      <c r="AL82" t="str">
        <f>IFERROR(VLOOKUP($B82, blitz!$AP:$AQ, 2, FALSE), 0)</f>
        <v>1</v>
      </c>
      <c r="AM82" t="b">
        <f t="shared" si="35"/>
        <v>1</v>
      </c>
      <c r="AN82">
        <f>IFERROR(VLOOKUP($B82, aegis!$AU:$AV, 2, FALSE), 0)</f>
        <v>0</v>
      </c>
      <c r="AO82">
        <f>IFERROR(VLOOKUP($B82, duel!$AU:$AV, 2, FALSE), 0)</f>
        <v>0</v>
      </c>
      <c r="AP82">
        <f>IFERROR(VLOOKUP($B82, blitz!$AU:$AV, 2, FALSE), 0)</f>
        <v>0</v>
      </c>
      <c r="AQ82" t="b">
        <f t="shared" si="36"/>
        <v>1</v>
      </c>
      <c r="AR82" t="str">
        <f>IFERROR(VLOOKUP($B82, aegis!$AZ:$BA, 2, FALSE), 0)</f>
        <v>2</v>
      </c>
      <c r="AS82" t="str">
        <f>IFERROR(VLOOKUP($B82, duel!$AZ:$BA, 2, FALSE), 0)</f>
        <v>2</v>
      </c>
      <c r="AT82" t="str">
        <f>IFERROR(VLOOKUP($B82, blitz!$AZ:$BA, 2, FALSE), 0)</f>
        <v>2</v>
      </c>
      <c r="AU82" t="b">
        <f t="shared" si="37"/>
        <v>1</v>
      </c>
      <c r="AV82" t="str">
        <f>IFERROR(VLOOKUP($B82, aegis!$BE:$BF, 2, FALSE), 0)</f>
        <v>1</v>
      </c>
      <c r="AW82" t="str">
        <f>IFERROR(VLOOKUP($B82, duel!$BE:$BF, 2, FALSE), 0)</f>
        <v>1</v>
      </c>
      <c r="AX82" t="str">
        <f>IFERROR(VLOOKUP($B82, blitz!$BE:$BF, 2, FALSE), 0)</f>
        <v>1</v>
      </c>
      <c r="AY82" t="b">
        <f t="shared" si="38"/>
        <v>1</v>
      </c>
      <c r="AZ82" t="str">
        <f>IFERROR(VLOOKUP($B82, aegis!$BJ:$BK, 2, FALSE), 0)</f>
        <v>1</v>
      </c>
      <c r="BA82" t="str">
        <f>IFERROR(VLOOKUP($B82, duel!$BJ:$BK, 2, FALSE), 0)</f>
        <v>1</v>
      </c>
      <c r="BB82" t="str">
        <f>IFERROR(VLOOKUP($B82, blitz!$BJ:$BK, 2, FALSE), 0)</f>
        <v>1</v>
      </c>
      <c r="BC82" t="b">
        <f t="shared" si="39"/>
        <v>1</v>
      </c>
      <c r="BD82">
        <f>IFERROR(VLOOKUP($B82, aegis!$BO:$BP, 2, FALSE), 0)</f>
        <v>0</v>
      </c>
      <c r="BE82">
        <f>IFERROR(VLOOKUP($B82, duel!$BO:$BP, 2, FALSE), 0)</f>
        <v>0</v>
      </c>
      <c r="BF82">
        <f>IFERROR(VLOOKUP($B82, blitz!$BO:$BP, 2, FALSE), 0)</f>
        <v>0</v>
      </c>
      <c r="BG82" t="b">
        <f t="shared" si="40"/>
        <v>1</v>
      </c>
      <c r="BH82" t="str">
        <f>IFERROR(VLOOKUP($B82, aegis!$BT:$BU, 2, FALSE), 0)</f>
        <v>22</v>
      </c>
      <c r="BI82" t="str">
        <f>IFERROR(VLOOKUP($B82, duel!$BT:$BU, 2, FALSE), 0)</f>
        <v>22</v>
      </c>
      <c r="BJ82" t="str">
        <f>IFERROR(VLOOKUP($B82, blitz!$BT:$BU, 2, FALSE), 0)</f>
        <v>22</v>
      </c>
      <c r="BK82" t="b">
        <f t="shared" si="41"/>
        <v>1</v>
      </c>
      <c r="BL82" t="str">
        <f>IFERROR(VLOOKUP($B82, aegis!$BY:$BZ, 2, FALSE), 0)</f>
        <v>1</v>
      </c>
      <c r="BM82" t="str">
        <f>IFERROR(VLOOKUP($B82, duel!$BY:$BZ, 2, FALSE), 0)</f>
        <v>1</v>
      </c>
      <c r="BN82" t="str">
        <f>IFERROR(VLOOKUP($B82, blitz!$BY:$BZ, 2, FALSE), 0)</f>
        <v>1</v>
      </c>
      <c r="BO82" t="b">
        <f t="shared" si="42"/>
        <v>1</v>
      </c>
      <c r="BP82" t="str">
        <f>IFERROR(VLOOKUP($B82, aegis!$CD:$CE, 2, FALSE), 0)</f>
        <v>4</v>
      </c>
      <c r="BQ82" t="str">
        <f>IFERROR(VLOOKUP($B82, duel!$CD:$CE, 2, FALSE), 0)</f>
        <v>4</v>
      </c>
      <c r="BR82" t="str">
        <f>IFERROR(VLOOKUP($B82, blitz!$CD:$CE, 2, FALSE), 0)</f>
        <v>4</v>
      </c>
      <c r="BS82" t="b">
        <f t="shared" si="43"/>
        <v>1</v>
      </c>
      <c r="BT82" t="str">
        <f>IFERROR(VLOOKUP($B82, aegis!$CI:$CJ, 2, FALSE), 0)</f>
        <v>1</v>
      </c>
      <c r="BU82" t="str">
        <f>IFERROR(VLOOKUP($B82, duel!$CI:$CJ, 2, FALSE), 0)</f>
        <v>1</v>
      </c>
      <c r="BV82" t="str">
        <f>IFERROR(VLOOKUP($B82, blitz!$CI:$CJ, 2, FALSE), 0)</f>
        <v>1</v>
      </c>
      <c r="BW82" t="b">
        <f t="shared" si="44"/>
        <v>1</v>
      </c>
      <c r="BX82" t="str">
        <f>IFERROR(VLOOKUP($B82, aegis!$CN:$CO, 2, FALSE), 0)</f>
        <v>1</v>
      </c>
      <c r="BY82" t="str">
        <f>IFERROR(VLOOKUP($B82, duel!$CN:$CO, 2, FALSE), 0)</f>
        <v>1</v>
      </c>
      <c r="BZ82" t="str">
        <f>IFERROR(VLOOKUP($B82, blitz!$CN:$CO, 2, FALSE), 0)</f>
        <v>1</v>
      </c>
      <c r="CA82" t="b">
        <f t="shared" si="45"/>
        <v>1</v>
      </c>
      <c r="CB82" t="str">
        <f>IFERROR(VLOOKUP($B82, aegis!$CS:$CT, 2, FALSE), 0)</f>
        <v>4</v>
      </c>
      <c r="CC82" t="str">
        <f>IFERROR(VLOOKUP($B82, duel!$CS:$CT, 2, FALSE), 0)</f>
        <v>4</v>
      </c>
      <c r="CD82" t="str">
        <f>IFERROR(VLOOKUP($B82, blitz!$CS:$CT, 2, FALSE), 0)</f>
        <v>4</v>
      </c>
      <c r="CE82" t="b">
        <f t="shared" si="46"/>
        <v>1</v>
      </c>
      <c r="CF82" t="str">
        <f>IFERROR(VLOOKUP($B82, aegis!$CX:$CY, 2, FALSE), 0)</f>
        <v>4401</v>
      </c>
      <c r="CG82" t="str">
        <f>IFERROR(VLOOKUP($B82, duel!$CX:$CY, 2, FALSE), 0)</f>
        <v>4386</v>
      </c>
      <c r="CH82" t="str">
        <f>IFERROR(VLOOKUP($B82, blitz!$CX:$CY, 2, FALSE), 0)</f>
        <v>2255</v>
      </c>
      <c r="CI82" t="b">
        <f t="shared" si="47"/>
        <v>0</v>
      </c>
      <c r="CJ82" t="str">
        <f>IFERROR(VLOOKUP($B82, aegis!$DC:$DD, 2, FALSE), 0)</f>
        <v>1</v>
      </c>
      <c r="CK82" t="str">
        <f>IFERROR(VLOOKUP($B82, duel!$DC:$DD, 2, FALSE), 0)</f>
        <v>1</v>
      </c>
      <c r="CL82" t="str">
        <f>IFERROR(VLOOKUP($B82, blitz!$DC:$DD, 2, FALSE), 0)</f>
        <v>1</v>
      </c>
      <c r="CM82" t="b">
        <f t="shared" si="48"/>
        <v>1</v>
      </c>
      <c r="CN82" t="str">
        <f>IFERROR(VLOOKUP($B82, aegis!$DH:$DI, 2, FALSE), 0)</f>
        <v>1</v>
      </c>
      <c r="CO82" t="str">
        <f>IFERROR(VLOOKUP($B82, duel!$DH:$DI, 2, FALSE), 0)</f>
        <v>1</v>
      </c>
      <c r="CP82" s="13">
        <f>IFERROR(VLOOKUP($B82, blitz!$DH:$DI, 2, FALSE), 0)</f>
        <v>0</v>
      </c>
      <c r="CQ82" t="b">
        <f t="shared" si="49"/>
        <v>1</v>
      </c>
      <c r="CR82" t="str">
        <f>IFERROR(VLOOKUP($B82, aegis!$DM:$DN, 2, FALSE), 0)</f>
        <v>1</v>
      </c>
      <c r="CS82" t="str">
        <f>IFERROR(VLOOKUP($B82, duel!$DM:$DN, 2, FALSE), 0)</f>
        <v>1</v>
      </c>
      <c r="CT82" t="str">
        <f>IFERROR(VLOOKUP($B82, blitz!$DM:$DN, 2, FALSE), 0)</f>
        <v>1</v>
      </c>
      <c r="CU82" t="b">
        <f t="shared" si="50"/>
        <v>1</v>
      </c>
      <c r="CV82" t="str">
        <f>IFERROR(VLOOKUP($B82, aegis!$DR:$DS, 2, FALSE), 0)</f>
        <v>21</v>
      </c>
      <c r="CW82" t="str">
        <f>IFERROR(VLOOKUP($B82, duel!$DR:$DS, 2, FALSE), 0)</f>
        <v>21</v>
      </c>
      <c r="CX82" t="str">
        <f>IFERROR(VLOOKUP($B82, blitz!$DR:$DS, 2, FALSE), 0)</f>
        <v>21</v>
      </c>
      <c r="CY82" t="b">
        <f t="shared" si="51"/>
        <v>1</v>
      </c>
    </row>
    <row r="83" spans="1:103">
      <c r="A83" t="s">
        <v>1733</v>
      </c>
      <c r="B83" s="6" t="s">
        <v>154</v>
      </c>
      <c r="C83" s="5" t="b">
        <f t="shared" si="26"/>
        <v>0</v>
      </c>
      <c r="D83" t="str">
        <f>IFERROR(VLOOKUP($B83, aegis!$B:$C, 2, FALSE), 0)</f>
        <v>36</v>
      </c>
      <c r="E83" t="str">
        <f>IFERROR(VLOOKUP($B83, duel!$B:$C, 2, FALSE), 0)</f>
        <v>36</v>
      </c>
      <c r="F83" t="str">
        <f>IFERROR(VLOOKUP($B83, blitz!$B:$C, 2, FALSE), 0)</f>
        <v>36</v>
      </c>
      <c r="G83" t="b">
        <f t="shared" si="27"/>
        <v>1</v>
      </c>
      <c r="H83" t="str">
        <f>IFERROR(VLOOKUP($B83, aegis!$G:$H, 2, FALSE), 0)</f>
        <v>21</v>
      </c>
      <c r="I83" t="str">
        <f>IFERROR(VLOOKUP($B83, duel!$G:$H, 2, FALSE), 0)</f>
        <v>21</v>
      </c>
      <c r="J83" t="str">
        <f>IFERROR(VLOOKUP($B83, blitz!$G:$H, 2, FALSE), 0)</f>
        <v>21</v>
      </c>
      <c r="K83" t="b">
        <f t="shared" si="28"/>
        <v>1</v>
      </c>
      <c r="L83" t="str">
        <f>IFERROR(VLOOKUP($B83, aegis!$L:$M, 2, FALSE), 0)</f>
        <v>36</v>
      </c>
      <c r="M83" t="str">
        <f>IFERROR(VLOOKUP($B83, duel!$L:$M, 2, FALSE), 0)</f>
        <v>36</v>
      </c>
      <c r="N83" t="str">
        <f>IFERROR(VLOOKUP($B83, blitz!$L:$M, 2, FALSE), 0)</f>
        <v>36</v>
      </c>
      <c r="O83" t="b">
        <f t="shared" si="29"/>
        <v>1</v>
      </c>
      <c r="P83" t="str">
        <f>IFERROR(VLOOKUP($B83, aegis!$Q:$R, 2, FALSE), 0)</f>
        <v>21</v>
      </c>
      <c r="Q83" t="str">
        <f>IFERROR(VLOOKUP($B83, duel!$Q:$R, 2, FALSE), 0)</f>
        <v>21</v>
      </c>
      <c r="R83" t="str">
        <f>IFERROR(VLOOKUP($B83, blitz!$Q:$R, 2, FALSE), 0)</f>
        <v>21</v>
      </c>
      <c r="S83" t="b">
        <f t="shared" si="30"/>
        <v>1</v>
      </c>
      <c r="T83" t="str">
        <f>IFERROR(VLOOKUP($B83, aegis!$V:$W, 2, FALSE), 0)</f>
        <v>21</v>
      </c>
      <c r="U83" t="str">
        <f>IFERROR(VLOOKUP($B83, duel!$V:$W, 2, FALSE), 0)</f>
        <v>21</v>
      </c>
      <c r="V83" t="str">
        <f>IFERROR(VLOOKUP($B83, blitz!$V:$W, 2, FALSE), 0)</f>
        <v>21</v>
      </c>
      <c r="W83" t="b">
        <f t="shared" si="31"/>
        <v>1</v>
      </c>
      <c r="X83" t="str">
        <f>IFERROR(VLOOKUP($B83, aegis!$AA:$AB, 2, FALSE), 0)</f>
        <v>2</v>
      </c>
      <c r="Y83" t="str">
        <f>IFERROR(VLOOKUP($B83, duel!$AA:$AB, 2, FALSE), 0)</f>
        <v>4</v>
      </c>
      <c r="Z83" t="str">
        <f>IFERROR(VLOOKUP($B83, blitz!$AA:$AB, 2, FALSE), 0)</f>
        <v>2</v>
      </c>
      <c r="AA83" t="b">
        <f t="shared" si="32"/>
        <v>0</v>
      </c>
      <c r="AB83" t="str">
        <f>IFERROR(VLOOKUP($B83, aegis!$AF:$AG, 2, FALSE), 0)</f>
        <v>13</v>
      </c>
      <c r="AC83" t="str">
        <f>IFERROR(VLOOKUP($B83, duel!$AF:$AG, 2, FALSE), 0)</f>
        <v>13</v>
      </c>
      <c r="AD83" t="str">
        <f>IFERROR(VLOOKUP($B83, blitz!$AF:$AG, 2, FALSE), 0)</f>
        <v>13</v>
      </c>
      <c r="AE83" t="b">
        <f t="shared" si="33"/>
        <v>1</v>
      </c>
      <c r="AF83" t="str">
        <f>IFERROR(VLOOKUP($B83, aegis!$AK:$AL, 2, FALSE), 0)</f>
        <v>3</v>
      </c>
      <c r="AG83" t="str">
        <f>IFERROR(VLOOKUP($B83, duel!$AK:$AL, 2, FALSE), 0)</f>
        <v>1</v>
      </c>
      <c r="AH83" t="str">
        <f>IFERROR(VLOOKUP($B83, blitz!$AK:$AL, 2, FALSE), 0)</f>
        <v>1</v>
      </c>
      <c r="AI83" t="b">
        <f t="shared" si="34"/>
        <v>0</v>
      </c>
      <c r="AJ83" t="str">
        <f>IFERROR(VLOOKUP($B83, aegis!$AP:$AQ, 2, FALSE), 0)</f>
        <v>1</v>
      </c>
      <c r="AK83" t="str">
        <f>IFERROR(VLOOKUP($B83, duel!$AP:$AQ, 2, FALSE), 0)</f>
        <v>1</v>
      </c>
      <c r="AL83" t="str">
        <f>IFERROR(VLOOKUP($B83, blitz!$AP:$AQ, 2, FALSE), 0)</f>
        <v>1</v>
      </c>
      <c r="AM83" t="b">
        <f t="shared" si="35"/>
        <v>1</v>
      </c>
      <c r="AN83">
        <f>IFERROR(VLOOKUP($B83, aegis!$AU:$AV, 2, FALSE), 0)</f>
        <v>0</v>
      </c>
      <c r="AO83">
        <f>IFERROR(VLOOKUP($B83, duel!$AU:$AV, 2, FALSE), 0)</f>
        <v>0</v>
      </c>
      <c r="AP83">
        <f>IFERROR(VLOOKUP($B83, blitz!$AU:$AV, 2, FALSE), 0)</f>
        <v>0</v>
      </c>
      <c r="AQ83" t="b">
        <f t="shared" si="36"/>
        <v>1</v>
      </c>
      <c r="AR83" t="str">
        <f>IFERROR(VLOOKUP($B83, aegis!$AZ:$BA, 2, FALSE), 0)</f>
        <v>2</v>
      </c>
      <c r="AS83" t="str">
        <f>IFERROR(VLOOKUP($B83, duel!$AZ:$BA, 2, FALSE), 0)</f>
        <v>2</v>
      </c>
      <c r="AT83" t="str">
        <f>IFERROR(VLOOKUP($B83, blitz!$AZ:$BA, 2, FALSE), 0)</f>
        <v>2</v>
      </c>
      <c r="AU83" t="b">
        <f t="shared" si="37"/>
        <v>1</v>
      </c>
      <c r="AV83" t="str">
        <f>IFERROR(VLOOKUP($B83, aegis!$BE:$BF, 2, FALSE), 0)</f>
        <v>1</v>
      </c>
      <c r="AW83" t="str">
        <f>IFERROR(VLOOKUP($B83, duel!$BE:$BF, 2, FALSE), 0)</f>
        <v>1</v>
      </c>
      <c r="AX83" t="str">
        <f>IFERROR(VLOOKUP($B83, blitz!$BE:$BF, 2, FALSE), 0)</f>
        <v>1</v>
      </c>
      <c r="AY83" t="b">
        <f t="shared" si="38"/>
        <v>1</v>
      </c>
      <c r="AZ83" t="str">
        <f>IFERROR(VLOOKUP($B83, aegis!$BJ:$BK, 2, FALSE), 0)</f>
        <v>1</v>
      </c>
      <c r="BA83" t="str">
        <f>IFERROR(VLOOKUP($B83, duel!$BJ:$BK, 2, FALSE), 0)</f>
        <v>1</v>
      </c>
      <c r="BB83" t="str">
        <f>IFERROR(VLOOKUP($B83, blitz!$BJ:$BK, 2, FALSE), 0)</f>
        <v>1</v>
      </c>
      <c r="BC83" t="b">
        <f t="shared" si="39"/>
        <v>1</v>
      </c>
      <c r="BD83">
        <f>IFERROR(VLOOKUP($B83, aegis!$BO:$BP, 2, FALSE), 0)</f>
        <v>0</v>
      </c>
      <c r="BE83">
        <f>IFERROR(VLOOKUP($B83, duel!$BO:$BP, 2, FALSE), 0)</f>
        <v>0</v>
      </c>
      <c r="BF83">
        <f>IFERROR(VLOOKUP($B83, blitz!$BO:$BP, 2, FALSE), 0)</f>
        <v>0</v>
      </c>
      <c r="BG83" t="b">
        <f t="shared" si="40"/>
        <v>1</v>
      </c>
      <c r="BH83" t="str">
        <f>IFERROR(VLOOKUP($B83, aegis!$BT:$BU, 2, FALSE), 0)</f>
        <v>8</v>
      </c>
      <c r="BI83" t="str">
        <f>IFERROR(VLOOKUP($B83, duel!$BT:$BU, 2, FALSE), 0)</f>
        <v>8</v>
      </c>
      <c r="BJ83" t="str">
        <f>IFERROR(VLOOKUP($B83, blitz!$BT:$BU, 2, FALSE), 0)</f>
        <v>8</v>
      </c>
      <c r="BK83" t="b">
        <f t="shared" si="41"/>
        <v>1</v>
      </c>
      <c r="BL83" t="str">
        <f>IFERROR(VLOOKUP($B83, aegis!$BY:$BZ, 2, FALSE), 0)</f>
        <v>1</v>
      </c>
      <c r="BM83" t="str">
        <f>IFERROR(VLOOKUP($B83, duel!$BY:$BZ, 2, FALSE), 0)</f>
        <v>1</v>
      </c>
      <c r="BN83" t="str">
        <f>IFERROR(VLOOKUP($B83, blitz!$BY:$BZ, 2, FALSE), 0)</f>
        <v>1</v>
      </c>
      <c r="BO83" t="b">
        <f t="shared" si="42"/>
        <v>1</v>
      </c>
      <c r="BP83" t="str">
        <f>IFERROR(VLOOKUP($B83, aegis!$CD:$CE, 2, FALSE), 0)</f>
        <v>6</v>
      </c>
      <c r="BQ83" t="str">
        <f>IFERROR(VLOOKUP($B83, duel!$CD:$CE, 2, FALSE), 0)</f>
        <v>6</v>
      </c>
      <c r="BR83" t="str">
        <f>IFERROR(VLOOKUP($B83, blitz!$CD:$CE, 2, FALSE), 0)</f>
        <v>6</v>
      </c>
      <c r="BS83" t="b">
        <f t="shared" si="43"/>
        <v>1</v>
      </c>
      <c r="BT83">
        <f>IFERROR(VLOOKUP($B83, aegis!$CI:$CJ, 2, FALSE), 0)</f>
        <v>0</v>
      </c>
      <c r="BU83">
        <f>IFERROR(VLOOKUP($B83, duel!$CI:$CJ, 2, FALSE), 0)</f>
        <v>0</v>
      </c>
      <c r="BV83">
        <f>IFERROR(VLOOKUP($B83, blitz!$CI:$CJ, 2, FALSE), 0)</f>
        <v>0</v>
      </c>
      <c r="BW83" t="b">
        <f t="shared" si="44"/>
        <v>1</v>
      </c>
      <c r="BX83">
        <f>IFERROR(VLOOKUP($B83, aegis!$CN:$CO, 2, FALSE), 0)</f>
        <v>0</v>
      </c>
      <c r="BY83">
        <f>IFERROR(VLOOKUP($B83, duel!$CN:$CO, 2, FALSE), 0)</f>
        <v>0</v>
      </c>
      <c r="BZ83">
        <f>IFERROR(VLOOKUP($B83, blitz!$CN:$CO, 2, FALSE), 0)</f>
        <v>0</v>
      </c>
      <c r="CA83" t="b">
        <f t="shared" si="45"/>
        <v>1</v>
      </c>
      <c r="CB83">
        <f>IFERROR(VLOOKUP($B83, aegis!$CS:$CT, 2, FALSE), 0)</f>
        <v>0</v>
      </c>
      <c r="CC83">
        <f>IFERROR(VLOOKUP($B83, duel!$CS:$CT, 2, FALSE), 0)</f>
        <v>0</v>
      </c>
      <c r="CD83">
        <f>IFERROR(VLOOKUP($B83, blitz!$CS:$CT, 2, FALSE), 0)</f>
        <v>0</v>
      </c>
      <c r="CE83" t="b">
        <f t="shared" si="46"/>
        <v>1</v>
      </c>
      <c r="CF83" t="str">
        <f>IFERROR(VLOOKUP($B83, aegis!$CX:$CY, 2, FALSE), 0)</f>
        <v>2483</v>
      </c>
      <c r="CG83" t="str">
        <f>IFERROR(VLOOKUP($B83, duel!$CX:$CY, 2, FALSE), 0)</f>
        <v>2481</v>
      </c>
      <c r="CH83" t="str">
        <f>IFERROR(VLOOKUP($B83, blitz!$CX:$CY, 2, FALSE), 0)</f>
        <v>850</v>
      </c>
      <c r="CI83" t="b">
        <f t="shared" si="47"/>
        <v>0</v>
      </c>
      <c r="CJ83" t="str">
        <f>IFERROR(VLOOKUP($B83, aegis!$DC:$DD, 2, FALSE), 0)</f>
        <v>1</v>
      </c>
      <c r="CK83" t="str">
        <f>IFERROR(VLOOKUP($B83, duel!$DC:$DD, 2, FALSE), 0)</f>
        <v>1</v>
      </c>
      <c r="CL83" t="str">
        <f>IFERROR(VLOOKUP($B83, blitz!$DC:$DD, 2, FALSE), 0)</f>
        <v>1</v>
      </c>
      <c r="CM83" t="b">
        <f t="shared" si="48"/>
        <v>1</v>
      </c>
      <c r="CN83" t="str">
        <f>IFERROR(VLOOKUP($B83, aegis!$DH:$DI, 2, FALSE), 0)</f>
        <v>1</v>
      </c>
      <c r="CO83" t="str">
        <f>IFERROR(VLOOKUP($B83, duel!$DH:$DI, 2, FALSE), 0)</f>
        <v>1</v>
      </c>
      <c r="CP83" s="13">
        <f>IFERROR(VLOOKUP($B83, blitz!$DH:$DI, 2, FALSE), 0)</f>
        <v>0</v>
      </c>
      <c r="CQ83" t="b">
        <f t="shared" si="49"/>
        <v>1</v>
      </c>
      <c r="CR83" t="str">
        <f>IFERROR(VLOOKUP($B83, aegis!$DM:$DN, 2, FALSE), 0)</f>
        <v>1</v>
      </c>
      <c r="CS83" t="str">
        <f>IFERROR(VLOOKUP($B83, duel!$DM:$DN, 2, FALSE), 0)</f>
        <v>1</v>
      </c>
      <c r="CT83" t="str">
        <f>IFERROR(VLOOKUP($B83, blitz!$DM:$DN, 2, FALSE), 0)</f>
        <v>1</v>
      </c>
      <c r="CU83" t="b">
        <f t="shared" si="50"/>
        <v>1</v>
      </c>
      <c r="CV83" t="str">
        <f>IFERROR(VLOOKUP($B83, aegis!$DR:$DS, 2, FALSE), 0)</f>
        <v>13</v>
      </c>
      <c r="CW83" t="str">
        <f>IFERROR(VLOOKUP($B83, duel!$DR:$DS, 2, FALSE), 0)</f>
        <v>13</v>
      </c>
      <c r="CX83" t="str">
        <f>IFERROR(VLOOKUP($B83, blitz!$DR:$DS, 2, FALSE), 0)</f>
        <v>13</v>
      </c>
      <c r="CY83" t="b">
        <f t="shared" si="51"/>
        <v>1</v>
      </c>
    </row>
    <row r="84" spans="1:103">
      <c r="A84" t="s">
        <v>1733</v>
      </c>
      <c r="B84" s="6" t="s">
        <v>156</v>
      </c>
      <c r="C84" s="5" t="b">
        <f t="shared" si="26"/>
        <v>0</v>
      </c>
      <c r="D84" t="str">
        <f>IFERROR(VLOOKUP($B84, aegis!$B:$C, 2, FALSE), 0)</f>
        <v>24</v>
      </c>
      <c r="E84" t="str">
        <f>IFERROR(VLOOKUP($B84, duel!$B:$C, 2, FALSE), 0)</f>
        <v>24</v>
      </c>
      <c r="F84" t="str">
        <f>IFERROR(VLOOKUP($B84, blitz!$B:$C, 2, FALSE), 0)</f>
        <v>24</v>
      </c>
      <c r="G84" t="b">
        <f t="shared" si="27"/>
        <v>1</v>
      </c>
      <c r="H84" t="str">
        <f>IFERROR(VLOOKUP($B84, aegis!$G:$H, 2, FALSE), 0)</f>
        <v>14</v>
      </c>
      <c r="I84" t="str">
        <f>IFERROR(VLOOKUP($B84, duel!$G:$H, 2, FALSE), 0)</f>
        <v>14</v>
      </c>
      <c r="J84" t="str">
        <f>IFERROR(VLOOKUP($B84, blitz!$G:$H, 2, FALSE), 0)</f>
        <v>14</v>
      </c>
      <c r="K84" t="b">
        <f t="shared" si="28"/>
        <v>1</v>
      </c>
      <c r="L84" t="str">
        <f>IFERROR(VLOOKUP($B84, aegis!$L:$M, 2, FALSE), 0)</f>
        <v>24</v>
      </c>
      <c r="M84" t="str">
        <f>IFERROR(VLOOKUP($B84, duel!$L:$M, 2, FALSE), 0)</f>
        <v>24</v>
      </c>
      <c r="N84" t="str">
        <f>IFERROR(VLOOKUP($B84, blitz!$L:$M, 2, FALSE), 0)</f>
        <v>24</v>
      </c>
      <c r="O84" t="b">
        <f t="shared" si="29"/>
        <v>1</v>
      </c>
      <c r="P84" t="str">
        <f>IFERROR(VLOOKUP($B84, aegis!$Q:$R, 2, FALSE), 0)</f>
        <v>14</v>
      </c>
      <c r="Q84" t="str">
        <f>IFERROR(VLOOKUP($B84, duel!$Q:$R, 2, FALSE), 0)</f>
        <v>14</v>
      </c>
      <c r="R84" t="str">
        <f>IFERROR(VLOOKUP($B84, blitz!$Q:$R, 2, FALSE), 0)</f>
        <v>14</v>
      </c>
      <c r="S84" t="b">
        <f t="shared" si="30"/>
        <v>1</v>
      </c>
      <c r="T84" t="str">
        <f>IFERROR(VLOOKUP($B84, aegis!$V:$W, 2, FALSE), 0)</f>
        <v>2</v>
      </c>
      <c r="U84" t="str">
        <f>IFERROR(VLOOKUP($B84, duel!$V:$W, 2, FALSE), 0)</f>
        <v>2</v>
      </c>
      <c r="V84" t="str">
        <f>IFERROR(VLOOKUP($B84, blitz!$V:$W, 2, FALSE), 0)</f>
        <v>2</v>
      </c>
      <c r="W84" t="b">
        <f t="shared" si="31"/>
        <v>1</v>
      </c>
      <c r="X84" t="str">
        <f>IFERROR(VLOOKUP($B84, aegis!$AA:$AB, 2, FALSE), 0)</f>
        <v>2</v>
      </c>
      <c r="Y84" t="str">
        <f>IFERROR(VLOOKUP($B84, duel!$AA:$AB, 2, FALSE), 0)</f>
        <v>4</v>
      </c>
      <c r="Z84" t="str">
        <f>IFERROR(VLOOKUP($B84, blitz!$AA:$AB, 2, FALSE), 0)</f>
        <v>2</v>
      </c>
      <c r="AA84" t="b">
        <f t="shared" si="32"/>
        <v>0</v>
      </c>
      <c r="AB84" t="str">
        <f>IFERROR(VLOOKUP($B84, aegis!$AF:$AG, 2, FALSE), 0)</f>
        <v>2</v>
      </c>
      <c r="AC84" t="str">
        <f>IFERROR(VLOOKUP($B84, duel!$AF:$AG, 2, FALSE), 0)</f>
        <v>2</v>
      </c>
      <c r="AD84" t="str">
        <f>IFERROR(VLOOKUP($B84, blitz!$AF:$AG, 2, FALSE), 0)</f>
        <v>2</v>
      </c>
      <c r="AE84" t="b">
        <f t="shared" si="33"/>
        <v>1</v>
      </c>
      <c r="AF84" t="str">
        <f>IFERROR(VLOOKUP($B84, aegis!$AK:$AL, 2, FALSE), 0)</f>
        <v>3</v>
      </c>
      <c r="AG84" t="str">
        <f>IFERROR(VLOOKUP($B84, duel!$AK:$AL, 2, FALSE), 0)</f>
        <v>1</v>
      </c>
      <c r="AH84" t="str">
        <f>IFERROR(VLOOKUP($B84, blitz!$AK:$AL, 2, FALSE), 0)</f>
        <v>1</v>
      </c>
      <c r="AI84" t="b">
        <f t="shared" si="34"/>
        <v>0</v>
      </c>
      <c r="AJ84" t="str">
        <f>IFERROR(VLOOKUP($B84, aegis!$AP:$AQ, 2, FALSE), 0)</f>
        <v>1</v>
      </c>
      <c r="AK84" t="str">
        <f>IFERROR(VLOOKUP($B84, duel!$AP:$AQ, 2, FALSE), 0)</f>
        <v>1</v>
      </c>
      <c r="AL84" t="str">
        <f>IFERROR(VLOOKUP($B84, blitz!$AP:$AQ, 2, FALSE), 0)</f>
        <v>1</v>
      </c>
      <c r="AM84" t="b">
        <f t="shared" si="35"/>
        <v>1</v>
      </c>
      <c r="AN84">
        <f>IFERROR(VLOOKUP($B84, aegis!$AU:$AV, 2, FALSE), 0)</f>
        <v>0</v>
      </c>
      <c r="AO84">
        <f>IFERROR(VLOOKUP($B84, duel!$AU:$AV, 2, FALSE), 0)</f>
        <v>0</v>
      </c>
      <c r="AP84">
        <f>IFERROR(VLOOKUP($B84, blitz!$AU:$AV, 2, FALSE), 0)</f>
        <v>0</v>
      </c>
      <c r="AQ84" t="b">
        <f t="shared" si="36"/>
        <v>1</v>
      </c>
      <c r="AR84" t="str">
        <f>IFERROR(VLOOKUP($B84, aegis!$AZ:$BA, 2, FALSE), 0)</f>
        <v>2</v>
      </c>
      <c r="AS84" t="str">
        <f>IFERROR(VLOOKUP($B84, duel!$AZ:$BA, 2, FALSE), 0)</f>
        <v>2</v>
      </c>
      <c r="AT84" t="str">
        <f>IFERROR(VLOOKUP($B84, blitz!$AZ:$BA, 2, FALSE), 0)</f>
        <v>2</v>
      </c>
      <c r="AU84" t="b">
        <f t="shared" si="37"/>
        <v>1</v>
      </c>
      <c r="AV84" t="str">
        <f>IFERROR(VLOOKUP($B84, aegis!$BE:$BF, 2, FALSE), 0)</f>
        <v>1</v>
      </c>
      <c r="AW84" t="str">
        <f>IFERROR(VLOOKUP($B84, duel!$BE:$BF, 2, FALSE), 0)</f>
        <v>1</v>
      </c>
      <c r="AX84" t="str">
        <f>IFERROR(VLOOKUP($B84, blitz!$BE:$BF, 2, FALSE), 0)</f>
        <v>1</v>
      </c>
      <c r="AY84" t="b">
        <f t="shared" si="38"/>
        <v>1</v>
      </c>
      <c r="AZ84" t="str">
        <f>IFERROR(VLOOKUP($B84, aegis!$BJ:$BK, 2, FALSE), 0)</f>
        <v>1</v>
      </c>
      <c r="BA84" t="str">
        <f>IFERROR(VLOOKUP($B84, duel!$BJ:$BK, 2, FALSE), 0)</f>
        <v>1</v>
      </c>
      <c r="BB84" t="str">
        <f>IFERROR(VLOOKUP($B84, blitz!$BJ:$BK, 2, FALSE), 0)</f>
        <v>1</v>
      </c>
      <c r="BC84" t="b">
        <f t="shared" si="39"/>
        <v>1</v>
      </c>
      <c r="BD84">
        <f>IFERROR(VLOOKUP($B84, aegis!$BO:$BP, 2, FALSE), 0)</f>
        <v>0</v>
      </c>
      <c r="BE84">
        <f>IFERROR(VLOOKUP($B84, duel!$BO:$BP, 2, FALSE), 0)</f>
        <v>0</v>
      </c>
      <c r="BF84">
        <f>IFERROR(VLOOKUP($B84, blitz!$BO:$BP, 2, FALSE), 0)</f>
        <v>0</v>
      </c>
      <c r="BG84" t="b">
        <f t="shared" si="40"/>
        <v>1</v>
      </c>
      <c r="BH84" t="str">
        <f>IFERROR(VLOOKUP($B84, aegis!$BT:$BU, 2, FALSE), 0)</f>
        <v>2</v>
      </c>
      <c r="BI84" t="str">
        <f>IFERROR(VLOOKUP($B84, duel!$BT:$BU, 2, FALSE), 0)</f>
        <v>2</v>
      </c>
      <c r="BJ84" t="str">
        <f>IFERROR(VLOOKUP($B84, blitz!$BT:$BU, 2, FALSE), 0)</f>
        <v>2</v>
      </c>
      <c r="BK84" t="b">
        <f t="shared" si="41"/>
        <v>1</v>
      </c>
      <c r="BL84" t="str">
        <f>IFERROR(VLOOKUP($B84, aegis!$BY:$BZ, 2, FALSE), 0)</f>
        <v>1</v>
      </c>
      <c r="BM84" t="str">
        <f>IFERROR(VLOOKUP($B84, duel!$BY:$BZ, 2, FALSE), 0)</f>
        <v>1</v>
      </c>
      <c r="BN84" t="str">
        <f>IFERROR(VLOOKUP($B84, blitz!$BY:$BZ, 2, FALSE), 0)</f>
        <v>1</v>
      </c>
      <c r="BO84" t="b">
        <f t="shared" si="42"/>
        <v>1</v>
      </c>
      <c r="BP84" t="str">
        <f>IFERROR(VLOOKUP($B84, aegis!$CD:$CE, 2, FALSE), 0)</f>
        <v>7</v>
      </c>
      <c r="BQ84" t="str">
        <f>IFERROR(VLOOKUP($B84, duel!$CD:$CE, 2, FALSE), 0)</f>
        <v>7</v>
      </c>
      <c r="BR84" t="str">
        <f>IFERROR(VLOOKUP($B84, blitz!$CD:$CE, 2, FALSE), 0)</f>
        <v>7</v>
      </c>
      <c r="BS84" t="b">
        <f t="shared" si="43"/>
        <v>1</v>
      </c>
      <c r="BT84">
        <f>IFERROR(VLOOKUP($B84, aegis!$CI:$CJ, 2, FALSE), 0)</f>
        <v>0</v>
      </c>
      <c r="BU84">
        <f>IFERROR(VLOOKUP($B84, duel!$CI:$CJ, 2, FALSE), 0)</f>
        <v>0</v>
      </c>
      <c r="BV84">
        <f>IFERROR(VLOOKUP($B84, blitz!$CI:$CJ, 2, FALSE), 0)</f>
        <v>0</v>
      </c>
      <c r="BW84" t="b">
        <f t="shared" si="44"/>
        <v>1</v>
      </c>
      <c r="BX84">
        <f>IFERROR(VLOOKUP($B84, aegis!$CN:$CO, 2, FALSE), 0)</f>
        <v>0</v>
      </c>
      <c r="BY84">
        <f>IFERROR(VLOOKUP($B84, duel!$CN:$CO, 2, FALSE), 0)</f>
        <v>0</v>
      </c>
      <c r="BZ84">
        <f>IFERROR(VLOOKUP($B84, blitz!$CN:$CO, 2, FALSE), 0)</f>
        <v>0</v>
      </c>
      <c r="CA84" t="b">
        <f t="shared" si="45"/>
        <v>1</v>
      </c>
      <c r="CB84">
        <f>IFERROR(VLOOKUP($B84, aegis!$CS:$CT, 2, FALSE), 0)</f>
        <v>0</v>
      </c>
      <c r="CC84">
        <f>IFERROR(VLOOKUP($B84, duel!$CS:$CT, 2, FALSE), 0)</f>
        <v>0</v>
      </c>
      <c r="CD84">
        <f>IFERROR(VLOOKUP($B84, blitz!$CS:$CT, 2, FALSE), 0)</f>
        <v>0</v>
      </c>
      <c r="CE84" t="b">
        <f t="shared" si="46"/>
        <v>1</v>
      </c>
      <c r="CF84" t="str">
        <f>IFERROR(VLOOKUP($B84, aegis!$CX:$CY, 2, FALSE), 0)</f>
        <v>332</v>
      </c>
      <c r="CG84" t="str">
        <f>IFERROR(VLOOKUP($B84, duel!$CX:$CY, 2, FALSE), 0)</f>
        <v>332</v>
      </c>
      <c r="CH84" t="str">
        <f>IFERROR(VLOOKUP($B84, blitz!$CX:$CY, 2, FALSE), 0)</f>
        <v>97</v>
      </c>
      <c r="CI84" t="b">
        <f t="shared" si="47"/>
        <v>0</v>
      </c>
      <c r="CJ84" t="str">
        <f>IFERROR(VLOOKUP($B84, aegis!$DC:$DD, 2, FALSE), 0)</f>
        <v>1</v>
      </c>
      <c r="CK84" t="str">
        <f>IFERROR(VLOOKUP($B84, duel!$DC:$DD, 2, FALSE), 0)</f>
        <v>1</v>
      </c>
      <c r="CL84" t="str">
        <f>IFERROR(VLOOKUP($B84, blitz!$DC:$DD, 2, FALSE), 0)</f>
        <v>1</v>
      </c>
      <c r="CM84" t="b">
        <f t="shared" si="48"/>
        <v>1</v>
      </c>
      <c r="CN84" t="str">
        <f>IFERROR(VLOOKUP($B84, aegis!$DH:$DI, 2, FALSE), 0)</f>
        <v>4</v>
      </c>
      <c r="CO84" t="str">
        <f>IFERROR(VLOOKUP($B84, duel!$DH:$DI, 2, FALSE), 0)</f>
        <v>4</v>
      </c>
      <c r="CP84" s="13">
        <f>IFERROR(VLOOKUP($B84, blitz!$DH:$DI, 2, FALSE), 0)</f>
        <v>0</v>
      </c>
      <c r="CQ84" t="b">
        <f t="shared" si="49"/>
        <v>1</v>
      </c>
      <c r="CR84" t="str">
        <f>IFERROR(VLOOKUP($B84, aegis!$DM:$DN, 2, FALSE), 0)</f>
        <v>1</v>
      </c>
      <c r="CS84" t="str">
        <f>IFERROR(VLOOKUP($B84, duel!$DM:$DN, 2, FALSE), 0)</f>
        <v>1</v>
      </c>
      <c r="CT84" t="str">
        <f>IFERROR(VLOOKUP($B84, blitz!$DM:$DN, 2, FALSE), 0)</f>
        <v>1</v>
      </c>
      <c r="CU84" t="b">
        <f t="shared" si="50"/>
        <v>1</v>
      </c>
      <c r="CV84" t="str">
        <f>IFERROR(VLOOKUP($B84, aegis!$DR:$DS, 2, FALSE), 0)</f>
        <v>2</v>
      </c>
      <c r="CW84" t="str">
        <f>IFERROR(VLOOKUP($B84, duel!$DR:$DS, 2, FALSE), 0)</f>
        <v>2</v>
      </c>
      <c r="CX84" t="str">
        <f>IFERROR(VLOOKUP($B84, blitz!$DR:$DS, 2, FALSE), 0)</f>
        <v>2</v>
      </c>
      <c r="CY84" t="b">
        <f t="shared" si="51"/>
        <v>1</v>
      </c>
    </row>
    <row r="85" spans="1:103">
      <c r="B85" s="6" t="s">
        <v>157</v>
      </c>
      <c r="C85" s="5" t="b">
        <f t="shared" si="26"/>
        <v>0</v>
      </c>
      <c r="D85" t="str">
        <f>IFERROR(VLOOKUP($B85, aegis!$B:$C, 2, FALSE), 0)</f>
        <v>36</v>
      </c>
      <c r="E85" t="str">
        <f>IFERROR(VLOOKUP($B85, duel!$B:$C, 2, FALSE), 0)</f>
        <v>36</v>
      </c>
      <c r="F85" t="str">
        <f>IFERROR(VLOOKUP($B85, blitz!$B:$C, 2, FALSE), 0)</f>
        <v>36</v>
      </c>
      <c r="G85" t="b">
        <f t="shared" si="27"/>
        <v>1</v>
      </c>
      <c r="H85" t="str">
        <f>IFERROR(VLOOKUP($B85, aegis!$G:$H, 2, FALSE), 0)</f>
        <v>21</v>
      </c>
      <c r="I85" t="str">
        <f>IFERROR(VLOOKUP($B85, duel!$G:$H, 2, FALSE), 0)</f>
        <v>21</v>
      </c>
      <c r="J85" t="str">
        <f>IFERROR(VLOOKUP($B85, blitz!$G:$H, 2, FALSE), 0)</f>
        <v>21</v>
      </c>
      <c r="K85" t="b">
        <f t="shared" si="28"/>
        <v>1</v>
      </c>
      <c r="L85" t="str">
        <f>IFERROR(VLOOKUP($B85, aegis!$L:$M, 2, FALSE), 0)</f>
        <v>36</v>
      </c>
      <c r="M85" t="str">
        <f>IFERROR(VLOOKUP($B85, duel!$L:$M, 2, FALSE), 0)</f>
        <v>36</v>
      </c>
      <c r="N85" t="str">
        <f>IFERROR(VLOOKUP($B85, blitz!$L:$M, 2, FALSE), 0)</f>
        <v>36</v>
      </c>
      <c r="O85" t="b">
        <f t="shared" si="29"/>
        <v>1</v>
      </c>
      <c r="P85" t="str">
        <f>IFERROR(VLOOKUP($B85, aegis!$Q:$R, 2, FALSE), 0)</f>
        <v>21</v>
      </c>
      <c r="Q85" t="str">
        <f>IFERROR(VLOOKUP($B85, duel!$Q:$R, 2, FALSE), 0)</f>
        <v>21</v>
      </c>
      <c r="R85" t="str">
        <f>IFERROR(VLOOKUP($B85, blitz!$Q:$R, 2, FALSE), 0)</f>
        <v>21</v>
      </c>
      <c r="S85" t="b">
        <f t="shared" si="30"/>
        <v>1</v>
      </c>
      <c r="T85" t="str">
        <f>IFERROR(VLOOKUP($B85, aegis!$V:$W, 2, FALSE), 0)</f>
        <v>2</v>
      </c>
      <c r="U85" t="str">
        <f>IFERROR(VLOOKUP($B85, duel!$V:$W, 2, FALSE), 0)</f>
        <v>2</v>
      </c>
      <c r="V85" t="str">
        <f>IFERROR(VLOOKUP($B85, blitz!$V:$W, 2, FALSE), 0)</f>
        <v>2</v>
      </c>
      <c r="W85" t="b">
        <f t="shared" si="31"/>
        <v>1</v>
      </c>
      <c r="X85" t="str">
        <f>IFERROR(VLOOKUP($B85, aegis!$AA:$AB, 2, FALSE), 0)</f>
        <v>2</v>
      </c>
      <c r="Y85" t="str">
        <f>IFERROR(VLOOKUP($B85, duel!$AA:$AB, 2, FALSE), 0)</f>
        <v>4</v>
      </c>
      <c r="Z85" t="str">
        <f>IFERROR(VLOOKUP($B85, blitz!$AA:$AB, 2, FALSE), 0)</f>
        <v>2</v>
      </c>
      <c r="AA85" t="b">
        <f t="shared" si="32"/>
        <v>0</v>
      </c>
      <c r="AB85" t="str">
        <f>IFERROR(VLOOKUP($B85, aegis!$AF:$AG, 2, FALSE), 0)</f>
        <v>13</v>
      </c>
      <c r="AC85" t="str">
        <f>IFERROR(VLOOKUP($B85, duel!$AF:$AG, 2, FALSE), 0)</f>
        <v>13</v>
      </c>
      <c r="AD85" t="str">
        <f>IFERROR(VLOOKUP($B85, blitz!$AF:$AG, 2, FALSE), 0)</f>
        <v>13</v>
      </c>
      <c r="AE85" t="b">
        <f t="shared" si="33"/>
        <v>1</v>
      </c>
      <c r="AF85" t="str">
        <f>IFERROR(VLOOKUP($B85, aegis!$AK:$AL, 2, FALSE), 0)</f>
        <v>3</v>
      </c>
      <c r="AG85" t="str">
        <f>IFERROR(VLOOKUP($B85, duel!$AK:$AL, 2, FALSE), 0)</f>
        <v>1</v>
      </c>
      <c r="AH85" t="str">
        <f>IFERROR(VLOOKUP($B85, blitz!$AK:$AL, 2, FALSE), 0)</f>
        <v>1</v>
      </c>
      <c r="AI85" t="b">
        <f t="shared" si="34"/>
        <v>0</v>
      </c>
      <c r="AJ85" t="str">
        <f>IFERROR(VLOOKUP($B85, aegis!$AP:$AQ, 2, FALSE), 0)</f>
        <v>1</v>
      </c>
      <c r="AK85" t="str">
        <f>IFERROR(VLOOKUP($B85, duel!$AP:$AQ, 2, FALSE), 0)</f>
        <v>1</v>
      </c>
      <c r="AL85" t="str">
        <f>IFERROR(VLOOKUP($B85, blitz!$AP:$AQ, 2, FALSE), 0)</f>
        <v>1</v>
      </c>
      <c r="AM85" t="b">
        <f t="shared" si="35"/>
        <v>1</v>
      </c>
      <c r="AN85">
        <f>IFERROR(VLOOKUP($B85, aegis!$AU:$AV, 2, FALSE), 0)</f>
        <v>0</v>
      </c>
      <c r="AO85">
        <f>IFERROR(VLOOKUP($B85, duel!$AU:$AV, 2, FALSE), 0)</f>
        <v>0</v>
      </c>
      <c r="AP85">
        <f>IFERROR(VLOOKUP($B85, blitz!$AU:$AV, 2, FALSE), 0)</f>
        <v>0</v>
      </c>
      <c r="AQ85" t="b">
        <f t="shared" si="36"/>
        <v>1</v>
      </c>
      <c r="AR85" t="str">
        <f>IFERROR(VLOOKUP($B85, aegis!$AZ:$BA, 2, FALSE), 0)</f>
        <v>2</v>
      </c>
      <c r="AS85" t="str">
        <f>IFERROR(VLOOKUP($B85, duel!$AZ:$BA, 2, FALSE), 0)</f>
        <v>2</v>
      </c>
      <c r="AT85" t="str">
        <f>IFERROR(VLOOKUP($B85, blitz!$AZ:$BA, 2, FALSE), 0)</f>
        <v>2</v>
      </c>
      <c r="AU85" t="b">
        <f t="shared" si="37"/>
        <v>1</v>
      </c>
      <c r="AV85" t="str">
        <f>IFERROR(VLOOKUP($B85, aegis!$BE:$BF, 2, FALSE), 0)</f>
        <v>1</v>
      </c>
      <c r="AW85" t="str">
        <f>IFERROR(VLOOKUP($B85, duel!$BE:$BF, 2, FALSE), 0)</f>
        <v>1</v>
      </c>
      <c r="AX85" t="str">
        <f>IFERROR(VLOOKUP($B85, blitz!$BE:$BF, 2, FALSE), 0)</f>
        <v>1</v>
      </c>
      <c r="AY85" t="b">
        <f t="shared" si="38"/>
        <v>1</v>
      </c>
      <c r="AZ85" t="str">
        <f>IFERROR(VLOOKUP($B85, aegis!$BJ:$BK, 2, FALSE), 0)</f>
        <v>1</v>
      </c>
      <c r="BA85" t="str">
        <f>IFERROR(VLOOKUP($B85, duel!$BJ:$BK, 2, FALSE), 0)</f>
        <v>1</v>
      </c>
      <c r="BB85" t="str">
        <f>IFERROR(VLOOKUP($B85, blitz!$BJ:$BK, 2, FALSE), 0)</f>
        <v>1</v>
      </c>
      <c r="BC85" t="b">
        <f t="shared" si="39"/>
        <v>1</v>
      </c>
      <c r="BD85">
        <f>IFERROR(VLOOKUP($B85, aegis!$BO:$BP, 2, FALSE), 0)</f>
        <v>0</v>
      </c>
      <c r="BE85">
        <f>IFERROR(VLOOKUP($B85, duel!$BO:$BP, 2, FALSE), 0)</f>
        <v>0</v>
      </c>
      <c r="BF85">
        <f>IFERROR(VLOOKUP($B85, blitz!$BO:$BP, 2, FALSE), 0)</f>
        <v>0</v>
      </c>
      <c r="BG85" t="b">
        <f t="shared" si="40"/>
        <v>1</v>
      </c>
      <c r="BH85" t="str">
        <f>IFERROR(VLOOKUP($B85, aegis!$BT:$BU, 2, FALSE), 0)</f>
        <v>2</v>
      </c>
      <c r="BI85" t="str">
        <f>IFERROR(VLOOKUP($B85, duel!$BT:$BU, 2, FALSE), 0)</f>
        <v>2</v>
      </c>
      <c r="BJ85" t="str">
        <f>IFERROR(VLOOKUP($B85, blitz!$BT:$BU, 2, FALSE), 0)</f>
        <v>2</v>
      </c>
      <c r="BK85" t="b">
        <f t="shared" si="41"/>
        <v>1</v>
      </c>
      <c r="BL85" t="str">
        <f>IFERROR(VLOOKUP($B85, aegis!$BY:$BZ, 2, FALSE), 0)</f>
        <v>1</v>
      </c>
      <c r="BM85" t="str">
        <f>IFERROR(VLOOKUP($B85, duel!$BY:$BZ, 2, FALSE), 0)</f>
        <v>1</v>
      </c>
      <c r="BN85" t="str">
        <f>IFERROR(VLOOKUP($B85, blitz!$BY:$BZ, 2, FALSE), 0)</f>
        <v>1</v>
      </c>
      <c r="BO85" t="b">
        <f t="shared" si="42"/>
        <v>1</v>
      </c>
      <c r="BP85" t="str">
        <f>IFERROR(VLOOKUP($B85, aegis!$CD:$CE, 2, FALSE), 0)</f>
        <v>2</v>
      </c>
      <c r="BQ85" t="str">
        <f>IFERROR(VLOOKUP($B85, duel!$CD:$CE, 2, FALSE), 0)</f>
        <v>2</v>
      </c>
      <c r="BR85" t="str">
        <f>IFERROR(VLOOKUP($B85, blitz!$CD:$CE, 2, FALSE), 0)</f>
        <v>2</v>
      </c>
      <c r="BS85" t="b">
        <f t="shared" si="43"/>
        <v>1</v>
      </c>
      <c r="BT85">
        <f>IFERROR(VLOOKUP($B85, aegis!$CI:$CJ, 2, FALSE), 0)</f>
        <v>0</v>
      </c>
      <c r="BU85">
        <f>IFERROR(VLOOKUP($B85, duel!$CI:$CJ, 2, FALSE), 0)</f>
        <v>0</v>
      </c>
      <c r="BV85">
        <f>IFERROR(VLOOKUP($B85, blitz!$CI:$CJ, 2, FALSE), 0)</f>
        <v>0</v>
      </c>
      <c r="BW85" t="b">
        <f t="shared" si="44"/>
        <v>1</v>
      </c>
      <c r="BX85">
        <f>IFERROR(VLOOKUP($B85, aegis!$CN:$CO, 2, FALSE), 0)</f>
        <v>0</v>
      </c>
      <c r="BY85">
        <f>IFERROR(VLOOKUP($B85, duel!$CN:$CO, 2, FALSE), 0)</f>
        <v>0</v>
      </c>
      <c r="BZ85">
        <f>IFERROR(VLOOKUP($B85, blitz!$CN:$CO, 2, FALSE), 0)</f>
        <v>0</v>
      </c>
      <c r="CA85" t="b">
        <f t="shared" si="45"/>
        <v>1</v>
      </c>
      <c r="CB85">
        <f>IFERROR(VLOOKUP($B85, aegis!$CS:$CT, 2, FALSE), 0)</f>
        <v>0</v>
      </c>
      <c r="CC85">
        <f>IFERROR(VLOOKUP($B85, duel!$CS:$CT, 2, FALSE), 0)</f>
        <v>0</v>
      </c>
      <c r="CD85">
        <f>IFERROR(VLOOKUP($B85, blitz!$CS:$CT, 2, FALSE), 0)</f>
        <v>0</v>
      </c>
      <c r="CE85" t="b">
        <f t="shared" si="46"/>
        <v>1</v>
      </c>
      <c r="CF85">
        <f>IFERROR(VLOOKUP($B85, aegis!$CX:$CY, 2, FALSE), 0)</f>
        <v>0</v>
      </c>
      <c r="CG85">
        <f>IFERROR(VLOOKUP($B85, duel!$CX:$CY, 2, FALSE), 0)</f>
        <v>0</v>
      </c>
      <c r="CH85">
        <f>IFERROR(VLOOKUP($B85, blitz!$CX:$CY, 2, FALSE), 0)</f>
        <v>0</v>
      </c>
      <c r="CI85" t="b">
        <f t="shared" si="47"/>
        <v>1</v>
      </c>
      <c r="CJ85" t="str">
        <f>IFERROR(VLOOKUP($B85, aegis!$DC:$DD, 2, FALSE), 0)</f>
        <v>1</v>
      </c>
      <c r="CK85" t="str">
        <f>IFERROR(VLOOKUP($B85, duel!$DC:$DD, 2, FALSE), 0)</f>
        <v>1</v>
      </c>
      <c r="CL85" t="str">
        <f>IFERROR(VLOOKUP($B85, blitz!$DC:$DD, 2, FALSE), 0)</f>
        <v>1</v>
      </c>
      <c r="CM85" t="b">
        <f t="shared" si="48"/>
        <v>1</v>
      </c>
      <c r="CN85" t="str">
        <f>IFERROR(VLOOKUP($B85, aegis!$DH:$DI, 2, FALSE), 0)</f>
        <v>1</v>
      </c>
      <c r="CO85" t="str">
        <f>IFERROR(VLOOKUP($B85, duel!$DH:$DI, 2, FALSE), 0)</f>
        <v>1</v>
      </c>
      <c r="CP85" s="13">
        <f>IFERROR(VLOOKUP($B85, blitz!$DH:$DI, 2, FALSE), 0)</f>
        <v>0</v>
      </c>
      <c r="CQ85" t="b">
        <f t="shared" si="49"/>
        <v>1</v>
      </c>
      <c r="CR85" t="str">
        <f>IFERROR(VLOOKUP($B85, aegis!$DM:$DN, 2, FALSE), 0)</f>
        <v>1</v>
      </c>
      <c r="CS85" t="str">
        <f>IFERROR(VLOOKUP($B85, duel!$DM:$DN, 2, FALSE), 0)</f>
        <v>1</v>
      </c>
      <c r="CT85" t="str">
        <f>IFERROR(VLOOKUP($B85, blitz!$DM:$DN, 2, FALSE), 0)</f>
        <v>1</v>
      </c>
      <c r="CU85" t="b">
        <f t="shared" si="50"/>
        <v>1</v>
      </c>
      <c r="CV85" t="str">
        <f>IFERROR(VLOOKUP($B85, aegis!$DR:$DS, 2, FALSE), 0)</f>
        <v>13</v>
      </c>
      <c r="CW85" t="str">
        <f>IFERROR(VLOOKUP($B85, duel!$DR:$DS, 2, FALSE), 0)</f>
        <v>13</v>
      </c>
      <c r="CX85" t="str">
        <f>IFERROR(VLOOKUP($B85, blitz!$DR:$DS, 2, FALSE), 0)</f>
        <v>13</v>
      </c>
      <c r="CY85" t="b">
        <f t="shared" si="51"/>
        <v>1</v>
      </c>
    </row>
    <row r="86" spans="1:103">
      <c r="B86" s="6" t="s">
        <v>159</v>
      </c>
      <c r="C86" s="5" t="b">
        <f t="shared" si="26"/>
        <v>0</v>
      </c>
      <c r="D86" t="str">
        <f>IFERROR(VLOOKUP($B86, aegis!$B:$C, 2, FALSE), 0)</f>
        <v>12</v>
      </c>
      <c r="E86" t="str">
        <f>IFERROR(VLOOKUP($B86, duel!$B:$C, 2, FALSE), 0)</f>
        <v>12</v>
      </c>
      <c r="F86" t="str">
        <f>IFERROR(VLOOKUP($B86, blitz!$B:$C, 2, FALSE), 0)</f>
        <v>12</v>
      </c>
      <c r="G86" t="b">
        <f t="shared" si="27"/>
        <v>1</v>
      </c>
      <c r="H86" t="str">
        <f>IFERROR(VLOOKUP($B86, aegis!$G:$H, 2, FALSE), 0)</f>
        <v>7</v>
      </c>
      <c r="I86" t="str">
        <f>IFERROR(VLOOKUP($B86, duel!$G:$H, 2, FALSE), 0)</f>
        <v>7</v>
      </c>
      <c r="J86" t="str">
        <f>IFERROR(VLOOKUP($B86, blitz!$G:$H, 2, FALSE), 0)</f>
        <v>7</v>
      </c>
      <c r="K86" t="b">
        <f t="shared" si="28"/>
        <v>1</v>
      </c>
      <c r="L86" t="str">
        <f>IFERROR(VLOOKUP($B86, aegis!$L:$M, 2, FALSE), 0)</f>
        <v>12</v>
      </c>
      <c r="M86" t="str">
        <f>IFERROR(VLOOKUP($B86, duel!$L:$M, 2, FALSE), 0)</f>
        <v>12</v>
      </c>
      <c r="N86" t="str">
        <f>IFERROR(VLOOKUP($B86, blitz!$L:$M, 2, FALSE), 0)</f>
        <v>12</v>
      </c>
      <c r="O86" t="b">
        <f t="shared" si="29"/>
        <v>1</v>
      </c>
      <c r="P86" t="str">
        <f>IFERROR(VLOOKUP($B86, aegis!$Q:$R, 2, FALSE), 0)</f>
        <v>7</v>
      </c>
      <c r="Q86" t="str">
        <f>IFERROR(VLOOKUP($B86, duel!$Q:$R, 2, FALSE), 0)</f>
        <v>7</v>
      </c>
      <c r="R86" t="str">
        <f>IFERROR(VLOOKUP($B86, blitz!$Q:$R, 2, FALSE), 0)</f>
        <v>7</v>
      </c>
      <c r="S86" t="b">
        <f t="shared" si="30"/>
        <v>1</v>
      </c>
      <c r="T86">
        <f>IFERROR(VLOOKUP($B86, aegis!$V:$W, 2, FALSE), 0)</f>
        <v>0</v>
      </c>
      <c r="U86">
        <f>IFERROR(VLOOKUP($B86, duel!$V:$W, 2, FALSE), 0)</f>
        <v>0</v>
      </c>
      <c r="V86">
        <f>IFERROR(VLOOKUP($B86, blitz!$V:$W, 2, FALSE), 0)</f>
        <v>0</v>
      </c>
      <c r="W86" t="b">
        <f t="shared" si="31"/>
        <v>1</v>
      </c>
      <c r="X86" t="str">
        <f>IFERROR(VLOOKUP($B86, aegis!$AA:$AB, 2, FALSE), 0)</f>
        <v>1</v>
      </c>
      <c r="Y86" t="str">
        <f>IFERROR(VLOOKUP($B86, duel!$AA:$AB, 2, FALSE), 0)</f>
        <v>2</v>
      </c>
      <c r="Z86" t="str">
        <f>IFERROR(VLOOKUP($B86, blitz!$AA:$AB, 2, FALSE), 0)</f>
        <v>1</v>
      </c>
      <c r="AA86" t="b">
        <f t="shared" si="32"/>
        <v>0</v>
      </c>
      <c r="AB86">
        <f>IFERROR(VLOOKUP($B86, aegis!$AF:$AG, 2, FALSE), 0)</f>
        <v>0</v>
      </c>
      <c r="AC86">
        <f>IFERROR(VLOOKUP($B86, duel!$AF:$AG, 2, FALSE), 0)</f>
        <v>0</v>
      </c>
      <c r="AD86">
        <f>IFERROR(VLOOKUP($B86, blitz!$AF:$AG, 2, FALSE), 0)</f>
        <v>0</v>
      </c>
      <c r="AE86" t="b">
        <f t="shared" si="33"/>
        <v>1</v>
      </c>
      <c r="AF86" t="str">
        <f>IFERROR(VLOOKUP($B86, aegis!$AK:$AL, 2, FALSE), 0)</f>
        <v>2</v>
      </c>
      <c r="AG86" t="str">
        <f>IFERROR(VLOOKUP($B86, duel!$AK:$AL, 2, FALSE), 0)</f>
        <v>1</v>
      </c>
      <c r="AH86" t="str">
        <f>IFERROR(VLOOKUP($B86, blitz!$AK:$AL, 2, FALSE), 0)</f>
        <v>1</v>
      </c>
      <c r="AI86" t="b">
        <f t="shared" si="34"/>
        <v>0</v>
      </c>
      <c r="AJ86">
        <f>IFERROR(VLOOKUP($B86, aegis!$AP:$AQ, 2, FALSE), 0)</f>
        <v>0</v>
      </c>
      <c r="AK86">
        <f>IFERROR(VLOOKUP($B86, duel!$AP:$AQ, 2, FALSE), 0)</f>
        <v>0</v>
      </c>
      <c r="AL86">
        <f>IFERROR(VLOOKUP($B86, blitz!$AP:$AQ, 2, FALSE), 0)</f>
        <v>0</v>
      </c>
      <c r="AM86" t="b">
        <f t="shared" si="35"/>
        <v>1</v>
      </c>
      <c r="AN86">
        <f>IFERROR(VLOOKUP($B86, aegis!$AU:$AV, 2, FALSE), 0)</f>
        <v>0</v>
      </c>
      <c r="AO86">
        <f>IFERROR(VLOOKUP($B86, duel!$AU:$AV, 2, FALSE), 0)</f>
        <v>0</v>
      </c>
      <c r="AP86">
        <f>IFERROR(VLOOKUP($B86, blitz!$AU:$AV, 2, FALSE), 0)</f>
        <v>0</v>
      </c>
      <c r="AQ86" t="b">
        <f t="shared" si="36"/>
        <v>1</v>
      </c>
      <c r="AR86" t="str">
        <f>IFERROR(VLOOKUP($B86, aegis!$AZ:$BA, 2, FALSE), 0)</f>
        <v>1</v>
      </c>
      <c r="AS86" t="str">
        <f>IFERROR(VLOOKUP($B86, duel!$AZ:$BA, 2, FALSE), 0)</f>
        <v>1</v>
      </c>
      <c r="AT86" t="str">
        <f>IFERROR(VLOOKUP($B86, blitz!$AZ:$BA, 2, FALSE), 0)</f>
        <v>1</v>
      </c>
      <c r="AU86" t="b">
        <f t="shared" si="37"/>
        <v>1</v>
      </c>
      <c r="AV86">
        <f>IFERROR(VLOOKUP($B86, aegis!$BE:$BF, 2, FALSE), 0)</f>
        <v>0</v>
      </c>
      <c r="AW86">
        <f>IFERROR(VLOOKUP($B86, duel!$BE:$BF, 2, FALSE), 0)</f>
        <v>0</v>
      </c>
      <c r="AX86">
        <f>IFERROR(VLOOKUP($B86, blitz!$BE:$BF, 2, FALSE), 0)</f>
        <v>0</v>
      </c>
      <c r="AY86" t="b">
        <f t="shared" si="38"/>
        <v>1</v>
      </c>
      <c r="AZ86" t="str">
        <f>IFERROR(VLOOKUP($B86, aegis!$BJ:$BK, 2, FALSE), 0)</f>
        <v>1</v>
      </c>
      <c r="BA86" t="str">
        <f>IFERROR(VLOOKUP($B86, duel!$BJ:$BK, 2, FALSE), 0)</f>
        <v>1</v>
      </c>
      <c r="BB86" t="str">
        <f>IFERROR(VLOOKUP($B86, blitz!$BJ:$BK, 2, FALSE), 0)</f>
        <v>1</v>
      </c>
      <c r="BC86" t="b">
        <f t="shared" si="39"/>
        <v>1</v>
      </c>
      <c r="BD86">
        <f>IFERROR(VLOOKUP($B86, aegis!$BO:$BP, 2, FALSE), 0)</f>
        <v>0</v>
      </c>
      <c r="BE86">
        <f>IFERROR(VLOOKUP($B86, duel!$BO:$BP, 2, FALSE), 0)</f>
        <v>0</v>
      </c>
      <c r="BF86">
        <f>IFERROR(VLOOKUP($B86, blitz!$BO:$BP, 2, FALSE), 0)</f>
        <v>0</v>
      </c>
      <c r="BG86" t="b">
        <f t="shared" si="40"/>
        <v>1</v>
      </c>
      <c r="BH86">
        <f>IFERROR(VLOOKUP($B86, aegis!$BT:$BU, 2, FALSE), 0)</f>
        <v>0</v>
      </c>
      <c r="BI86">
        <f>IFERROR(VLOOKUP($B86, duel!$BT:$BU, 2, FALSE), 0)</f>
        <v>0</v>
      </c>
      <c r="BJ86">
        <f>IFERROR(VLOOKUP($B86, blitz!$BT:$BU, 2, FALSE), 0)</f>
        <v>0</v>
      </c>
      <c r="BK86" t="b">
        <f t="shared" si="41"/>
        <v>1</v>
      </c>
      <c r="BL86">
        <f>IFERROR(VLOOKUP($B86, aegis!$BY:$BZ, 2, FALSE), 0)</f>
        <v>0</v>
      </c>
      <c r="BM86">
        <f>IFERROR(VLOOKUP($B86, duel!$BY:$BZ, 2, FALSE), 0)</f>
        <v>0</v>
      </c>
      <c r="BN86">
        <f>IFERROR(VLOOKUP($B86, blitz!$BY:$BZ, 2, FALSE), 0)</f>
        <v>0</v>
      </c>
      <c r="BO86" t="b">
        <f t="shared" si="42"/>
        <v>1</v>
      </c>
      <c r="BP86" t="str">
        <f>IFERROR(VLOOKUP($B86, aegis!$CD:$CE, 2, FALSE), 0)</f>
        <v>1</v>
      </c>
      <c r="BQ86" t="str">
        <f>IFERROR(VLOOKUP($B86, duel!$CD:$CE, 2, FALSE), 0)</f>
        <v>1</v>
      </c>
      <c r="BR86" t="str">
        <f>IFERROR(VLOOKUP($B86, blitz!$CD:$CE, 2, FALSE), 0)</f>
        <v>1</v>
      </c>
      <c r="BS86" t="b">
        <f t="shared" si="43"/>
        <v>1</v>
      </c>
      <c r="BT86">
        <f>IFERROR(VLOOKUP($B86, aegis!$CI:$CJ, 2, FALSE), 0)</f>
        <v>0</v>
      </c>
      <c r="BU86">
        <f>IFERROR(VLOOKUP($B86, duel!$CI:$CJ, 2, FALSE), 0)</f>
        <v>0</v>
      </c>
      <c r="BV86">
        <f>IFERROR(VLOOKUP($B86, blitz!$CI:$CJ, 2, FALSE), 0)</f>
        <v>0</v>
      </c>
      <c r="BW86" t="b">
        <f t="shared" si="44"/>
        <v>1</v>
      </c>
      <c r="BX86">
        <f>IFERROR(VLOOKUP($B86, aegis!$CN:$CO, 2, FALSE), 0)</f>
        <v>0</v>
      </c>
      <c r="BY86">
        <f>IFERROR(VLOOKUP($B86, duel!$CN:$CO, 2, FALSE), 0)</f>
        <v>0</v>
      </c>
      <c r="BZ86">
        <f>IFERROR(VLOOKUP($B86, blitz!$CN:$CO, 2, FALSE), 0)</f>
        <v>0</v>
      </c>
      <c r="CA86" t="b">
        <f t="shared" si="45"/>
        <v>1</v>
      </c>
      <c r="CB86">
        <f>IFERROR(VLOOKUP($B86, aegis!$CS:$CT, 2, FALSE), 0)</f>
        <v>0</v>
      </c>
      <c r="CC86">
        <f>IFERROR(VLOOKUP($B86, duel!$CS:$CT, 2, FALSE), 0)</f>
        <v>0</v>
      </c>
      <c r="CD86">
        <f>IFERROR(VLOOKUP($B86, blitz!$CS:$CT, 2, FALSE), 0)</f>
        <v>0</v>
      </c>
      <c r="CE86" t="b">
        <f t="shared" si="46"/>
        <v>1</v>
      </c>
      <c r="CF86">
        <f>IFERROR(VLOOKUP($B86, aegis!$CX:$CY, 2, FALSE), 0)</f>
        <v>0</v>
      </c>
      <c r="CG86">
        <f>IFERROR(VLOOKUP($B86, duel!$CX:$CY, 2, FALSE), 0)</f>
        <v>0</v>
      </c>
      <c r="CH86">
        <f>IFERROR(VLOOKUP($B86, blitz!$CX:$CY, 2, FALSE), 0)</f>
        <v>0</v>
      </c>
      <c r="CI86" t="b">
        <f t="shared" si="47"/>
        <v>1</v>
      </c>
      <c r="CJ86" t="str">
        <f>IFERROR(VLOOKUP($B86, aegis!$DC:$DD, 2, FALSE), 0)</f>
        <v>1</v>
      </c>
      <c r="CK86" t="str">
        <f>IFERROR(VLOOKUP($B86, duel!$DC:$DD, 2, FALSE), 0)</f>
        <v>1</v>
      </c>
      <c r="CL86" t="str">
        <f>IFERROR(VLOOKUP($B86, blitz!$DC:$DD, 2, FALSE), 0)</f>
        <v>1</v>
      </c>
      <c r="CM86" t="b">
        <f t="shared" si="48"/>
        <v>1</v>
      </c>
      <c r="CN86">
        <f>IFERROR(VLOOKUP($B86, aegis!$DH:$DI, 2, FALSE), 0)</f>
        <v>0</v>
      </c>
      <c r="CO86">
        <f>IFERROR(VLOOKUP($B86, duel!$DH:$DI, 2, FALSE), 0)</f>
        <v>0</v>
      </c>
      <c r="CP86" s="13">
        <f>IFERROR(VLOOKUP($B86, blitz!$DH:$DI, 2, FALSE), 0)</f>
        <v>0</v>
      </c>
      <c r="CQ86" t="b">
        <f t="shared" si="49"/>
        <v>1</v>
      </c>
      <c r="CR86">
        <f>IFERROR(VLOOKUP($B86, aegis!$DM:$DN, 2, FALSE), 0)</f>
        <v>0</v>
      </c>
      <c r="CS86">
        <f>IFERROR(VLOOKUP($B86, duel!$DM:$DN, 2, FALSE), 0)</f>
        <v>0</v>
      </c>
      <c r="CT86">
        <f>IFERROR(VLOOKUP($B86, blitz!$DM:$DN, 2, FALSE), 0)</f>
        <v>0</v>
      </c>
      <c r="CU86" t="b">
        <f t="shared" si="50"/>
        <v>1</v>
      </c>
      <c r="CV86">
        <f>IFERROR(VLOOKUP($B86, aegis!$DR:$DS, 2, FALSE), 0)</f>
        <v>0</v>
      </c>
      <c r="CW86">
        <f>IFERROR(VLOOKUP($B86, duel!$DR:$DS, 2, FALSE), 0)</f>
        <v>0</v>
      </c>
      <c r="CX86">
        <f>IFERROR(VLOOKUP($B86, blitz!$DR:$DS, 2, FALSE), 0)</f>
        <v>0</v>
      </c>
      <c r="CY86" t="b">
        <f t="shared" si="51"/>
        <v>1</v>
      </c>
    </row>
    <row r="87" spans="1:103">
      <c r="A87" t="s">
        <v>1733</v>
      </c>
      <c r="B87" s="6" t="s">
        <v>160</v>
      </c>
      <c r="C87" s="5" t="b">
        <f t="shared" si="26"/>
        <v>0</v>
      </c>
      <c r="D87" t="str">
        <f>IFERROR(VLOOKUP($B87, aegis!$B:$C, 2, FALSE), 0)</f>
        <v>84</v>
      </c>
      <c r="E87" t="str">
        <f>IFERROR(VLOOKUP($B87, duel!$B:$C, 2, FALSE), 0)</f>
        <v>84</v>
      </c>
      <c r="F87" t="str">
        <f>IFERROR(VLOOKUP($B87, blitz!$B:$C, 2, FALSE), 0)</f>
        <v>84</v>
      </c>
      <c r="G87" t="b">
        <f t="shared" si="27"/>
        <v>1</v>
      </c>
      <c r="H87" t="str">
        <f>IFERROR(VLOOKUP($B87, aegis!$G:$H, 2, FALSE), 0)</f>
        <v>49</v>
      </c>
      <c r="I87" t="str">
        <f>IFERROR(VLOOKUP($B87, duel!$G:$H, 2, FALSE), 0)</f>
        <v>49</v>
      </c>
      <c r="J87" t="str">
        <f>IFERROR(VLOOKUP($B87, blitz!$G:$H, 2, FALSE), 0)</f>
        <v>49</v>
      </c>
      <c r="K87" t="b">
        <f t="shared" si="28"/>
        <v>1</v>
      </c>
      <c r="L87" t="str">
        <f>IFERROR(VLOOKUP($B87, aegis!$L:$M, 2, FALSE), 0)</f>
        <v>108</v>
      </c>
      <c r="M87" t="str">
        <f>IFERROR(VLOOKUP($B87, duel!$L:$M, 2, FALSE), 0)</f>
        <v>108</v>
      </c>
      <c r="N87" t="str">
        <f>IFERROR(VLOOKUP($B87, blitz!$L:$M, 2, FALSE), 0)</f>
        <v>108</v>
      </c>
      <c r="O87" t="b">
        <f t="shared" si="29"/>
        <v>1</v>
      </c>
      <c r="P87" t="str">
        <f>IFERROR(VLOOKUP($B87, aegis!$Q:$R, 2, FALSE), 0)</f>
        <v>63</v>
      </c>
      <c r="Q87" t="str">
        <f>IFERROR(VLOOKUP($B87, duel!$Q:$R, 2, FALSE), 0)</f>
        <v>63</v>
      </c>
      <c r="R87" t="str">
        <f>IFERROR(VLOOKUP($B87, blitz!$Q:$R, 2, FALSE), 0)</f>
        <v>63</v>
      </c>
      <c r="S87" t="b">
        <f t="shared" si="30"/>
        <v>1</v>
      </c>
      <c r="T87" t="str">
        <f>IFERROR(VLOOKUP($B87, aegis!$V:$W, 2, FALSE), 0)</f>
        <v>56</v>
      </c>
      <c r="U87" t="str">
        <f>IFERROR(VLOOKUP($B87, duel!$V:$W, 2, FALSE), 0)</f>
        <v>56</v>
      </c>
      <c r="V87" t="str">
        <f>IFERROR(VLOOKUP($B87, blitz!$V:$W, 2, FALSE), 0)</f>
        <v>56</v>
      </c>
      <c r="W87" t="b">
        <f t="shared" si="31"/>
        <v>1</v>
      </c>
      <c r="X87" t="str">
        <f>IFERROR(VLOOKUP($B87, aegis!$AA:$AB, 2, FALSE), 0)</f>
        <v>2</v>
      </c>
      <c r="Y87" t="str">
        <f>IFERROR(VLOOKUP($B87, duel!$AA:$AB, 2, FALSE), 0)</f>
        <v>4</v>
      </c>
      <c r="Z87" t="str">
        <f>IFERROR(VLOOKUP($B87, blitz!$AA:$AB, 2, FALSE), 0)</f>
        <v>2</v>
      </c>
      <c r="AA87" t="b">
        <f t="shared" si="32"/>
        <v>0</v>
      </c>
      <c r="AB87" t="str">
        <f>IFERROR(VLOOKUP($B87, aegis!$AF:$AG, 2, FALSE), 0)</f>
        <v>20</v>
      </c>
      <c r="AC87" t="str">
        <f>IFERROR(VLOOKUP($B87, duel!$AF:$AG, 2, FALSE), 0)</f>
        <v>20</v>
      </c>
      <c r="AD87" t="str">
        <f>IFERROR(VLOOKUP($B87, blitz!$AF:$AG, 2, FALSE), 0)</f>
        <v>20</v>
      </c>
      <c r="AE87" t="b">
        <f t="shared" si="33"/>
        <v>1</v>
      </c>
      <c r="AF87" t="str">
        <f>IFERROR(VLOOKUP($B87, aegis!$AK:$AL, 2, FALSE), 0)</f>
        <v>3</v>
      </c>
      <c r="AG87" t="str">
        <f>IFERROR(VLOOKUP($B87, duel!$AK:$AL, 2, FALSE), 0)</f>
        <v>1</v>
      </c>
      <c r="AH87" t="str">
        <f>IFERROR(VLOOKUP($B87, blitz!$AK:$AL, 2, FALSE), 0)</f>
        <v>1</v>
      </c>
      <c r="AI87" t="b">
        <f t="shared" si="34"/>
        <v>0</v>
      </c>
      <c r="AJ87" t="str">
        <f>IFERROR(VLOOKUP($B87, aegis!$AP:$AQ, 2, FALSE), 0)</f>
        <v>1</v>
      </c>
      <c r="AK87" t="str">
        <f>IFERROR(VLOOKUP($B87, duel!$AP:$AQ, 2, FALSE), 0)</f>
        <v>1</v>
      </c>
      <c r="AL87" t="str">
        <f>IFERROR(VLOOKUP($B87, blitz!$AP:$AQ, 2, FALSE), 0)</f>
        <v>1</v>
      </c>
      <c r="AM87" t="b">
        <f t="shared" si="35"/>
        <v>1</v>
      </c>
      <c r="AN87">
        <f>IFERROR(VLOOKUP($B87, aegis!$AU:$AV, 2, FALSE), 0)</f>
        <v>0</v>
      </c>
      <c r="AO87">
        <f>IFERROR(VLOOKUP($B87, duel!$AU:$AV, 2, FALSE), 0)</f>
        <v>0</v>
      </c>
      <c r="AP87">
        <f>IFERROR(VLOOKUP($B87, blitz!$AU:$AV, 2, FALSE), 0)</f>
        <v>0</v>
      </c>
      <c r="AQ87" t="b">
        <f t="shared" si="36"/>
        <v>1</v>
      </c>
      <c r="AR87" t="str">
        <f>IFERROR(VLOOKUP($B87, aegis!$AZ:$BA, 2, FALSE), 0)</f>
        <v>2</v>
      </c>
      <c r="AS87" t="str">
        <f>IFERROR(VLOOKUP($B87, duel!$AZ:$BA, 2, FALSE), 0)</f>
        <v>2</v>
      </c>
      <c r="AT87" t="str">
        <f>IFERROR(VLOOKUP($B87, blitz!$AZ:$BA, 2, FALSE), 0)</f>
        <v>2</v>
      </c>
      <c r="AU87" t="b">
        <f t="shared" si="37"/>
        <v>1</v>
      </c>
      <c r="AV87" t="str">
        <f>IFERROR(VLOOKUP($B87, aegis!$BE:$BF, 2, FALSE), 0)</f>
        <v>2</v>
      </c>
      <c r="AW87" t="str">
        <f>IFERROR(VLOOKUP($B87, duel!$BE:$BF, 2, FALSE), 0)</f>
        <v>2</v>
      </c>
      <c r="AX87" t="str">
        <f>IFERROR(VLOOKUP($B87, blitz!$BE:$BF, 2, FALSE), 0)</f>
        <v>2</v>
      </c>
      <c r="AY87" t="b">
        <f t="shared" si="38"/>
        <v>1</v>
      </c>
      <c r="AZ87" t="str">
        <f>IFERROR(VLOOKUP($B87, aegis!$BJ:$BK, 2, FALSE), 0)</f>
        <v>1</v>
      </c>
      <c r="BA87" t="str">
        <f>IFERROR(VLOOKUP($B87, duel!$BJ:$BK, 2, FALSE), 0)</f>
        <v>1</v>
      </c>
      <c r="BB87" t="str">
        <f>IFERROR(VLOOKUP($B87, blitz!$BJ:$BK, 2, FALSE), 0)</f>
        <v>1</v>
      </c>
      <c r="BC87" t="b">
        <f t="shared" si="39"/>
        <v>1</v>
      </c>
      <c r="BD87">
        <f>IFERROR(VLOOKUP($B87, aegis!$BO:$BP, 2, FALSE), 0)</f>
        <v>0</v>
      </c>
      <c r="BE87">
        <f>IFERROR(VLOOKUP($B87, duel!$BO:$BP, 2, FALSE), 0)</f>
        <v>0</v>
      </c>
      <c r="BF87">
        <f>IFERROR(VLOOKUP($B87, blitz!$BO:$BP, 2, FALSE), 0)</f>
        <v>0</v>
      </c>
      <c r="BG87" t="b">
        <f t="shared" si="40"/>
        <v>1</v>
      </c>
      <c r="BH87" t="str">
        <f>IFERROR(VLOOKUP($B87, aegis!$BT:$BU, 2, FALSE), 0)</f>
        <v>12</v>
      </c>
      <c r="BI87" t="str">
        <f>IFERROR(VLOOKUP($B87, duel!$BT:$BU, 2, FALSE), 0)</f>
        <v>12</v>
      </c>
      <c r="BJ87" t="str">
        <f>IFERROR(VLOOKUP($B87, blitz!$BT:$BU, 2, FALSE), 0)</f>
        <v>12</v>
      </c>
      <c r="BK87" t="b">
        <f t="shared" si="41"/>
        <v>1</v>
      </c>
      <c r="BL87" t="str">
        <f>IFERROR(VLOOKUP($B87, aegis!$BY:$BZ, 2, FALSE), 0)</f>
        <v>1</v>
      </c>
      <c r="BM87" t="str">
        <f>IFERROR(VLOOKUP($B87, duel!$BY:$BZ, 2, FALSE), 0)</f>
        <v>1</v>
      </c>
      <c r="BN87" t="str">
        <f>IFERROR(VLOOKUP($B87, blitz!$BY:$BZ, 2, FALSE), 0)</f>
        <v>1</v>
      </c>
      <c r="BO87" t="b">
        <f t="shared" si="42"/>
        <v>1</v>
      </c>
      <c r="BP87" t="str">
        <f>IFERROR(VLOOKUP($B87, aegis!$CD:$CE, 2, FALSE), 0)</f>
        <v>4</v>
      </c>
      <c r="BQ87" t="str">
        <f>IFERROR(VLOOKUP($B87, duel!$CD:$CE, 2, FALSE), 0)</f>
        <v>4</v>
      </c>
      <c r="BR87" t="str">
        <f>IFERROR(VLOOKUP($B87, blitz!$CD:$CE, 2, FALSE), 0)</f>
        <v>4</v>
      </c>
      <c r="BS87" t="b">
        <f t="shared" si="43"/>
        <v>1</v>
      </c>
      <c r="BT87" t="str">
        <f>IFERROR(VLOOKUP($B87, aegis!$CI:$CJ, 2, FALSE), 0)</f>
        <v>4</v>
      </c>
      <c r="BU87" t="str">
        <f>IFERROR(VLOOKUP($B87, duel!$CI:$CJ, 2, FALSE), 0)</f>
        <v>4</v>
      </c>
      <c r="BV87" t="str">
        <f>IFERROR(VLOOKUP($B87, blitz!$CI:$CJ, 2, FALSE), 0)</f>
        <v>4</v>
      </c>
      <c r="BW87" t="b">
        <f t="shared" si="44"/>
        <v>1</v>
      </c>
      <c r="BX87" t="str">
        <f>IFERROR(VLOOKUP($B87, aegis!$CN:$CO, 2, FALSE), 0)</f>
        <v>4</v>
      </c>
      <c r="BY87" t="str">
        <f>IFERROR(VLOOKUP($B87, duel!$CN:$CO, 2, FALSE), 0)</f>
        <v>4</v>
      </c>
      <c r="BZ87" t="str">
        <f>IFERROR(VLOOKUP($B87, blitz!$CN:$CO, 2, FALSE), 0)</f>
        <v>4</v>
      </c>
      <c r="CA87" t="b">
        <f t="shared" si="45"/>
        <v>1</v>
      </c>
      <c r="CB87" t="str">
        <f>IFERROR(VLOOKUP($B87, aegis!$CS:$CT, 2, FALSE), 0)</f>
        <v>58</v>
      </c>
      <c r="CC87" t="str">
        <f>IFERROR(VLOOKUP($B87, duel!$CS:$CT, 2, FALSE), 0)</f>
        <v>58</v>
      </c>
      <c r="CD87" t="str">
        <f>IFERROR(VLOOKUP($B87, blitz!$CS:$CT, 2, FALSE), 0)</f>
        <v>58</v>
      </c>
      <c r="CE87" t="b">
        <f t="shared" si="46"/>
        <v>1</v>
      </c>
      <c r="CF87" t="str">
        <f>IFERROR(VLOOKUP($B87, aegis!$CX:$CY, 2, FALSE), 0)</f>
        <v>3556</v>
      </c>
      <c r="CG87" t="str">
        <f>IFERROR(VLOOKUP($B87, duel!$CX:$CY, 2, FALSE), 0)</f>
        <v>3554</v>
      </c>
      <c r="CH87" t="str">
        <f>IFERROR(VLOOKUP($B87, blitz!$CX:$CY, 2, FALSE), 0)</f>
        <v>1952</v>
      </c>
      <c r="CI87" t="b">
        <f t="shared" si="47"/>
        <v>0</v>
      </c>
      <c r="CJ87" t="str">
        <f>IFERROR(VLOOKUP($B87, aegis!$DC:$DD, 2, FALSE), 0)</f>
        <v>1</v>
      </c>
      <c r="CK87" t="str">
        <f>IFERROR(VLOOKUP($B87, duel!$DC:$DD, 2, FALSE), 0)</f>
        <v>1</v>
      </c>
      <c r="CL87" t="str">
        <f>IFERROR(VLOOKUP($B87, blitz!$DC:$DD, 2, FALSE), 0)</f>
        <v>1</v>
      </c>
      <c r="CM87" t="b">
        <f t="shared" si="48"/>
        <v>1</v>
      </c>
      <c r="CN87" t="str">
        <f>IFERROR(VLOOKUP($B87, aegis!$DH:$DI, 2, FALSE), 0)</f>
        <v>5</v>
      </c>
      <c r="CO87" t="str">
        <f>IFERROR(VLOOKUP($B87, duel!$DH:$DI, 2, FALSE), 0)</f>
        <v>5</v>
      </c>
      <c r="CP87" s="13">
        <f>IFERROR(VLOOKUP($B87, blitz!$DH:$DI, 2, FALSE), 0)</f>
        <v>0</v>
      </c>
      <c r="CQ87" t="b">
        <f t="shared" si="49"/>
        <v>1</v>
      </c>
      <c r="CR87" t="str">
        <f>IFERROR(VLOOKUP($B87, aegis!$DM:$DN, 2, FALSE), 0)</f>
        <v>3</v>
      </c>
      <c r="CS87" t="str">
        <f>IFERROR(VLOOKUP($B87, duel!$DM:$DN, 2, FALSE), 0)</f>
        <v>3</v>
      </c>
      <c r="CT87" t="str">
        <f>IFERROR(VLOOKUP($B87, blitz!$DM:$DN, 2, FALSE), 0)</f>
        <v>3</v>
      </c>
      <c r="CU87" t="b">
        <f t="shared" si="50"/>
        <v>1</v>
      </c>
      <c r="CV87" t="str">
        <f>IFERROR(VLOOKUP($B87, aegis!$DR:$DS, 2, FALSE), 0)</f>
        <v>20</v>
      </c>
      <c r="CW87" t="str">
        <f>IFERROR(VLOOKUP($B87, duel!$DR:$DS, 2, FALSE), 0)</f>
        <v>20</v>
      </c>
      <c r="CX87" t="str">
        <f>IFERROR(VLOOKUP($B87, blitz!$DR:$DS, 2, FALSE), 0)</f>
        <v>20</v>
      </c>
      <c r="CY87" t="b">
        <f t="shared" si="51"/>
        <v>1</v>
      </c>
    </row>
    <row r="88" spans="1:103">
      <c r="B88" s="6" t="s">
        <v>162</v>
      </c>
      <c r="C88" s="5" t="b">
        <f t="shared" si="26"/>
        <v>0</v>
      </c>
      <c r="D88" t="str">
        <f>IFERROR(VLOOKUP($B88, aegis!$B:$C, 2, FALSE), 0)</f>
        <v>24</v>
      </c>
      <c r="E88" t="str">
        <f>IFERROR(VLOOKUP($B88, duel!$B:$C, 2, FALSE), 0)</f>
        <v>24</v>
      </c>
      <c r="F88" t="str">
        <f>IFERROR(VLOOKUP($B88, blitz!$B:$C, 2, FALSE), 0)</f>
        <v>24</v>
      </c>
      <c r="G88" t="b">
        <f t="shared" si="27"/>
        <v>1</v>
      </c>
      <c r="H88" t="str">
        <f>IFERROR(VLOOKUP($B88, aegis!$G:$H, 2, FALSE), 0)</f>
        <v>14</v>
      </c>
      <c r="I88" t="str">
        <f>IFERROR(VLOOKUP($B88, duel!$G:$H, 2, FALSE), 0)</f>
        <v>14</v>
      </c>
      <c r="J88" t="str">
        <f>IFERROR(VLOOKUP($B88, blitz!$G:$H, 2, FALSE), 0)</f>
        <v>14</v>
      </c>
      <c r="K88" t="b">
        <f t="shared" si="28"/>
        <v>1</v>
      </c>
      <c r="L88" t="str">
        <f>IFERROR(VLOOKUP($B88, aegis!$L:$M, 2, FALSE), 0)</f>
        <v>24</v>
      </c>
      <c r="M88" t="str">
        <f>IFERROR(VLOOKUP($B88, duel!$L:$M, 2, FALSE), 0)</f>
        <v>24</v>
      </c>
      <c r="N88" t="str">
        <f>IFERROR(VLOOKUP($B88, blitz!$L:$M, 2, FALSE), 0)</f>
        <v>24</v>
      </c>
      <c r="O88" t="b">
        <f t="shared" si="29"/>
        <v>1</v>
      </c>
      <c r="P88" t="str">
        <f>IFERROR(VLOOKUP($B88, aegis!$Q:$R, 2, FALSE), 0)</f>
        <v>14</v>
      </c>
      <c r="Q88" t="str">
        <f>IFERROR(VLOOKUP($B88, duel!$Q:$R, 2, FALSE), 0)</f>
        <v>14</v>
      </c>
      <c r="R88" t="str">
        <f>IFERROR(VLOOKUP($B88, blitz!$Q:$R, 2, FALSE), 0)</f>
        <v>14</v>
      </c>
      <c r="S88" t="b">
        <f t="shared" si="30"/>
        <v>1</v>
      </c>
      <c r="T88">
        <f>IFERROR(VLOOKUP($B88, aegis!$V:$W, 2, FALSE), 0)</f>
        <v>0</v>
      </c>
      <c r="U88">
        <f>IFERROR(VLOOKUP($B88, duel!$V:$W, 2, FALSE), 0)</f>
        <v>0</v>
      </c>
      <c r="V88">
        <f>IFERROR(VLOOKUP($B88, blitz!$V:$W, 2, FALSE), 0)</f>
        <v>0</v>
      </c>
      <c r="W88" t="b">
        <f t="shared" si="31"/>
        <v>1</v>
      </c>
      <c r="X88" t="str">
        <f>IFERROR(VLOOKUP($B88, aegis!$AA:$AB, 2, FALSE), 0)</f>
        <v>2</v>
      </c>
      <c r="Y88" t="str">
        <f>IFERROR(VLOOKUP($B88, duel!$AA:$AB, 2, FALSE), 0)</f>
        <v>2</v>
      </c>
      <c r="Z88" t="str">
        <f>IFERROR(VLOOKUP($B88, blitz!$AA:$AB, 2, FALSE), 0)</f>
        <v>2</v>
      </c>
      <c r="AA88" t="b">
        <f t="shared" si="32"/>
        <v>1</v>
      </c>
      <c r="AB88">
        <f>IFERROR(VLOOKUP($B88, aegis!$AF:$AG, 2, FALSE), 0)</f>
        <v>0</v>
      </c>
      <c r="AC88">
        <f>IFERROR(VLOOKUP($B88, duel!$AF:$AG, 2, FALSE), 0)</f>
        <v>0</v>
      </c>
      <c r="AD88">
        <f>IFERROR(VLOOKUP($B88, blitz!$AF:$AG, 2, FALSE), 0)</f>
        <v>0</v>
      </c>
      <c r="AE88" t="b">
        <f t="shared" si="33"/>
        <v>1</v>
      </c>
      <c r="AF88" t="str">
        <f>IFERROR(VLOOKUP($B88, aegis!$AK:$AL, 2, FALSE), 0)</f>
        <v>3</v>
      </c>
      <c r="AG88" t="str">
        <f>IFERROR(VLOOKUP($B88, duel!$AK:$AL, 2, FALSE), 0)</f>
        <v>1</v>
      </c>
      <c r="AH88" t="str">
        <f>IFERROR(VLOOKUP($B88, blitz!$AK:$AL, 2, FALSE), 0)</f>
        <v>1</v>
      </c>
      <c r="AI88" t="b">
        <f t="shared" si="34"/>
        <v>0</v>
      </c>
      <c r="AJ88" t="str">
        <f>IFERROR(VLOOKUP($B88, aegis!$AP:$AQ, 2, FALSE), 0)</f>
        <v>1</v>
      </c>
      <c r="AK88" t="str">
        <f>IFERROR(VLOOKUP($B88, duel!$AP:$AQ, 2, FALSE), 0)</f>
        <v>1</v>
      </c>
      <c r="AL88" t="str">
        <f>IFERROR(VLOOKUP($B88, blitz!$AP:$AQ, 2, FALSE), 0)</f>
        <v>1</v>
      </c>
      <c r="AM88" t="b">
        <f t="shared" si="35"/>
        <v>1</v>
      </c>
      <c r="AN88">
        <f>IFERROR(VLOOKUP($B88, aegis!$AU:$AV, 2, FALSE), 0)</f>
        <v>0</v>
      </c>
      <c r="AO88">
        <f>IFERROR(VLOOKUP($B88, duel!$AU:$AV, 2, FALSE), 0)</f>
        <v>0</v>
      </c>
      <c r="AP88">
        <f>IFERROR(VLOOKUP($B88, blitz!$AU:$AV, 2, FALSE), 0)</f>
        <v>0</v>
      </c>
      <c r="AQ88" t="b">
        <f t="shared" si="36"/>
        <v>1</v>
      </c>
      <c r="AR88" t="str">
        <f>IFERROR(VLOOKUP($B88, aegis!$AZ:$BA, 2, FALSE), 0)</f>
        <v>2</v>
      </c>
      <c r="AS88" t="str">
        <f>IFERROR(VLOOKUP($B88, duel!$AZ:$BA, 2, FALSE), 0)</f>
        <v>2</v>
      </c>
      <c r="AT88" t="str">
        <f>IFERROR(VLOOKUP($B88, blitz!$AZ:$BA, 2, FALSE), 0)</f>
        <v>2</v>
      </c>
      <c r="AU88" t="b">
        <f t="shared" si="37"/>
        <v>1</v>
      </c>
      <c r="AV88" t="str">
        <f>IFERROR(VLOOKUP($B88, aegis!$BE:$BF, 2, FALSE), 0)</f>
        <v>1</v>
      </c>
      <c r="AW88" t="str">
        <f>IFERROR(VLOOKUP($B88, duel!$BE:$BF, 2, FALSE), 0)</f>
        <v>1</v>
      </c>
      <c r="AX88" t="str">
        <f>IFERROR(VLOOKUP($B88, blitz!$BE:$BF, 2, FALSE), 0)</f>
        <v>1</v>
      </c>
      <c r="AY88" t="b">
        <f t="shared" si="38"/>
        <v>1</v>
      </c>
      <c r="AZ88" t="str">
        <f>IFERROR(VLOOKUP($B88, aegis!$BJ:$BK, 2, FALSE), 0)</f>
        <v>1</v>
      </c>
      <c r="BA88" t="str">
        <f>IFERROR(VLOOKUP($B88, duel!$BJ:$BK, 2, FALSE), 0)</f>
        <v>1</v>
      </c>
      <c r="BB88" t="str">
        <f>IFERROR(VLOOKUP($B88, blitz!$BJ:$BK, 2, FALSE), 0)</f>
        <v>1</v>
      </c>
      <c r="BC88" t="b">
        <f t="shared" si="39"/>
        <v>1</v>
      </c>
      <c r="BD88">
        <f>IFERROR(VLOOKUP($B88, aegis!$BO:$BP, 2, FALSE), 0)</f>
        <v>0</v>
      </c>
      <c r="BE88">
        <f>IFERROR(VLOOKUP($B88, duel!$BO:$BP, 2, FALSE), 0)</f>
        <v>0</v>
      </c>
      <c r="BF88">
        <f>IFERROR(VLOOKUP($B88, blitz!$BO:$BP, 2, FALSE), 0)</f>
        <v>0</v>
      </c>
      <c r="BG88" t="b">
        <f t="shared" si="40"/>
        <v>1</v>
      </c>
      <c r="BH88">
        <f>IFERROR(VLOOKUP($B88, aegis!$BT:$BU, 2, FALSE), 0)</f>
        <v>0</v>
      </c>
      <c r="BI88">
        <f>IFERROR(VLOOKUP($B88, duel!$BT:$BU, 2, FALSE), 0)</f>
        <v>0</v>
      </c>
      <c r="BJ88">
        <f>IFERROR(VLOOKUP($B88, blitz!$BT:$BU, 2, FALSE), 0)</f>
        <v>0</v>
      </c>
      <c r="BK88" t="b">
        <f t="shared" si="41"/>
        <v>1</v>
      </c>
      <c r="BL88" t="str">
        <f>IFERROR(VLOOKUP($B88, aegis!$BY:$BZ, 2, FALSE), 0)</f>
        <v>1</v>
      </c>
      <c r="BM88" t="str">
        <f>IFERROR(VLOOKUP($B88, duel!$BY:$BZ, 2, FALSE), 0)</f>
        <v>1</v>
      </c>
      <c r="BN88" t="str">
        <f>IFERROR(VLOOKUP($B88, blitz!$BY:$BZ, 2, FALSE), 0)</f>
        <v>1</v>
      </c>
      <c r="BO88" t="b">
        <f t="shared" si="42"/>
        <v>1</v>
      </c>
      <c r="BP88" t="str">
        <f>IFERROR(VLOOKUP($B88, aegis!$CD:$CE, 2, FALSE), 0)</f>
        <v>1</v>
      </c>
      <c r="BQ88" t="str">
        <f>IFERROR(VLOOKUP($B88, duel!$CD:$CE, 2, FALSE), 0)</f>
        <v>1</v>
      </c>
      <c r="BR88" t="str">
        <f>IFERROR(VLOOKUP($B88, blitz!$CD:$CE, 2, FALSE), 0)</f>
        <v>1</v>
      </c>
      <c r="BS88" t="b">
        <f t="shared" si="43"/>
        <v>1</v>
      </c>
      <c r="BT88">
        <f>IFERROR(VLOOKUP($B88, aegis!$CI:$CJ, 2, FALSE), 0)</f>
        <v>0</v>
      </c>
      <c r="BU88">
        <f>IFERROR(VLOOKUP($B88, duel!$CI:$CJ, 2, FALSE), 0)</f>
        <v>0</v>
      </c>
      <c r="BV88">
        <f>IFERROR(VLOOKUP($B88, blitz!$CI:$CJ, 2, FALSE), 0)</f>
        <v>0</v>
      </c>
      <c r="BW88" t="b">
        <f t="shared" si="44"/>
        <v>1</v>
      </c>
      <c r="BX88">
        <f>IFERROR(VLOOKUP($B88, aegis!$CN:$CO, 2, FALSE), 0)</f>
        <v>0</v>
      </c>
      <c r="BY88">
        <f>IFERROR(VLOOKUP($B88, duel!$CN:$CO, 2, FALSE), 0)</f>
        <v>0</v>
      </c>
      <c r="BZ88">
        <f>IFERROR(VLOOKUP($B88, blitz!$CN:$CO, 2, FALSE), 0)</f>
        <v>0</v>
      </c>
      <c r="CA88" t="b">
        <f t="shared" si="45"/>
        <v>1</v>
      </c>
      <c r="CB88">
        <f>IFERROR(VLOOKUP($B88, aegis!$CS:$CT, 2, FALSE), 0)</f>
        <v>0</v>
      </c>
      <c r="CC88">
        <f>IFERROR(VLOOKUP($B88, duel!$CS:$CT, 2, FALSE), 0)</f>
        <v>0</v>
      </c>
      <c r="CD88">
        <f>IFERROR(VLOOKUP($B88, blitz!$CS:$CT, 2, FALSE), 0)</f>
        <v>0</v>
      </c>
      <c r="CE88" t="b">
        <f t="shared" si="46"/>
        <v>1</v>
      </c>
      <c r="CF88">
        <f>IFERROR(VLOOKUP($B88, aegis!$CX:$CY, 2, FALSE), 0)</f>
        <v>0</v>
      </c>
      <c r="CG88">
        <f>IFERROR(VLOOKUP($B88, duel!$CX:$CY, 2, FALSE), 0)</f>
        <v>0</v>
      </c>
      <c r="CH88">
        <f>IFERROR(VLOOKUP($B88, blitz!$CX:$CY, 2, FALSE), 0)</f>
        <v>0</v>
      </c>
      <c r="CI88" t="b">
        <f t="shared" si="47"/>
        <v>1</v>
      </c>
      <c r="CJ88" t="str">
        <f>IFERROR(VLOOKUP($B88, aegis!$DC:$DD, 2, FALSE), 0)</f>
        <v>1</v>
      </c>
      <c r="CK88" t="str">
        <f>IFERROR(VLOOKUP($B88, duel!$DC:$DD, 2, FALSE), 0)</f>
        <v>1</v>
      </c>
      <c r="CL88" t="str">
        <f>IFERROR(VLOOKUP($B88, blitz!$DC:$DD, 2, FALSE), 0)</f>
        <v>1</v>
      </c>
      <c r="CM88" t="b">
        <f t="shared" si="48"/>
        <v>1</v>
      </c>
      <c r="CN88" t="str">
        <f>IFERROR(VLOOKUP($B88, aegis!$DH:$DI, 2, FALSE), 0)</f>
        <v>1</v>
      </c>
      <c r="CO88" t="str">
        <f>IFERROR(VLOOKUP($B88, duel!$DH:$DI, 2, FALSE), 0)</f>
        <v>1</v>
      </c>
      <c r="CP88" s="13">
        <f>IFERROR(VLOOKUP($B88, blitz!$DH:$DI, 2, FALSE), 0)</f>
        <v>0</v>
      </c>
      <c r="CQ88" t="b">
        <f t="shared" si="49"/>
        <v>1</v>
      </c>
      <c r="CR88" t="str">
        <f>IFERROR(VLOOKUP($B88, aegis!$DM:$DN, 2, FALSE), 0)</f>
        <v>1</v>
      </c>
      <c r="CS88" t="str">
        <f>IFERROR(VLOOKUP($B88, duel!$DM:$DN, 2, FALSE), 0)</f>
        <v>1</v>
      </c>
      <c r="CT88" t="str">
        <f>IFERROR(VLOOKUP($B88, blitz!$DM:$DN, 2, FALSE), 0)</f>
        <v>1</v>
      </c>
      <c r="CU88" t="b">
        <f t="shared" si="50"/>
        <v>1</v>
      </c>
      <c r="CV88">
        <f>IFERROR(VLOOKUP($B88, aegis!$DR:$DS, 2, FALSE), 0)</f>
        <v>0</v>
      </c>
      <c r="CW88">
        <f>IFERROR(VLOOKUP($B88, duel!$DR:$DS, 2, FALSE), 0)</f>
        <v>0</v>
      </c>
      <c r="CX88">
        <f>IFERROR(VLOOKUP($B88, blitz!$DR:$DS, 2, FALSE), 0)</f>
        <v>0</v>
      </c>
      <c r="CY88" t="b">
        <f t="shared" si="51"/>
        <v>1</v>
      </c>
    </row>
    <row r="89" spans="1:103">
      <c r="A89" t="s">
        <v>1733</v>
      </c>
      <c r="B89" s="6" t="s">
        <v>164</v>
      </c>
      <c r="C89" s="5" t="b">
        <f t="shared" si="26"/>
        <v>0</v>
      </c>
      <c r="D89" t="str">
        <f>IFERROR(VLOOKUP($B89, aegis!$B:$C, 2, FALSE), 0)</f>
        <v>120</v>
      </c>
      <c r="E89" t="str">
        <f>IFERROR(VLOOKUP($B89, duel!$B:$C, 2, FALSE), 0)</f>
        <v>120</v>
      </c>
      <c r="F89" t="str">
        <f>IFERROR(VLOOKUP($B89, blitz!$B:$C, 2, FALSE), 0)</f>
        <v>120</v>
      </c>
      <c r="G89" t="b">
        <f t="shared" si="27"/>
        <v>1</v>
      </c>
      <c r="H89" t="str">
        <f>IFERROR(VLOOKUP($B89, aegis!$G:$H, 2, FALSE), 0)</f>
        <v>70</v>
      </c>
      <c r="I89" t="str">
        <f>IFERROR(VLOOKUP($B89, duel!$G:$H, 2, FALSE), 0)</f>
        <v>70</v>
      </c>
      <c r="J89" t="str">
        <f>IFERROR(VLOOKUP($B89, blitz!$G:$H, 2, FALSE), 0)</f>
        <v>70</v>
      </c>
      <c r="K89" t="b">
        <f t="shared" si="28"/>
        <v>1</v>
      </c>
      <c r="L89" t="str">
        <f>IFERROR(VLOOKUP($B89, aegis!$L:$M, 2, FALSE), 0)</f>
        <v>120</v>
      </c>
      <c r="M89" t="str">
        <f>IFERROR(VLOOKUP($B89, duel!$L:$M, 2, FALSE), 0)</f>
        <v>120</v>
      </c>
      <c r="N89" t="str">
        <f>IFERROR(VLOOKUP($B89, blitz!$L:$M, 2, FALSE), 0)</f>
        <v>120</v>
      </c>
      <c r="O89" t="b">
        <f t="shared" si="29"/>
        <v>1</v>
      </c>
      <c r="P89" t="str">
        <f>IFERROR(VLOOKUP($B89, aegis!$Q:$R, 2, FALSE), 0)</f>
        <v>70</v>
      </c>
      <c r="Q89" t="str">
        <f>IFERROR(VLOOKUP($B89, duel!$Q:$R, 2, FALSE), 0)</f>
        <v>70</v>
      </c>
      <c r="R89" t="str">
        <f>IFERROR(VLOOKUP($B89, blitz!$Q:$R, 2, FALSE), 0)</f>
        <v>70</v>
      </c>
      <c r="S89" t="b">
        <f t="shared" si="30"/>
        <v>1</v>
      </c>
      <c r="T89" t="str">
        <f>IFERROR(VLOOKUP($B89, aegis!$V:$W, 2, FALSE), 0)</f>
        <v>155</v>
      </c>
      <c r="U89" t="str">
        <f>IFERROR(VLOOKUP($B89, duel!$V:$W, 2, FALSE), 0)</f>
        <v>155</v>
      </c>
      <c r="V89" t="str">
        <f>IFERROR(VLOOKUP($B89, blitz!$V:$W, 2, FALSE), 0)</f>
        <v>155</v>
      </c>
      <c r="W89" t="b">
        <f t="shared" si="31"/>
        <v>1</v>
      </c>
      <c r="X89" t="str">
        <f>IFERROR(VLOOKUP($B89, aegis!$AA:$AB, 2, FALSE), 0)</f>
        <v>4</v>
      </c>
      <c r="Y89" t="str">
        <f>IFERROR(VLOOKUP($B89, duel!$AA:$AB, 2, FALSE), 0)</f>
        <v>4</v>
      </c>
      <c r="Z89" t="str">
        <f>IFERROR(VLOOKUP($B89, blitz!$AA:$AB, 2, FALSE), 0)</f>
        <v>4</v>
      </c>
      <c r="AA89" t="b">
        <f t="shared" si="32"/>
        <v>1</v>
      </c>
      <c r="AB89" t="str">
        <f>IFERROR(VLOOKUP($B89, aegis!$AF:$AG, 2, FALSE), 0)</f>
        <v>175</v>
      </c>
      <c r="AC89" t="str">
        <f>IFERROR(VLOOKUP($B89, duel!$AF:$AG, 2, FALSE), 0)</f>
        <v>175</v>
      </c>
      <c r="AD89" t="str">
        <f>IFERROR(VLOOKUP($B89, blitz!$AF:$AG, 2, FALSE), 0)</f>
        <v>175</v>
      </c>
      <c r="AE89" t="b">
        <f t="shared" si="33"/>
        <v>1</v>
      </c>
      <c r="AF89" t="str">
        <f>IFERROR(VLOOKUP($B89, aegis!$AK:$AL, 2, FALSE), 0)</f>
        <v>5</v>
      </c>
      <c r="AG89" t="str">
        <f>IFERROR(VLOOKUP($B89, duel!$AK:$AL, 2, FALSE), 0)</f>
        <v>1</v>
      </c>
      <c r="AH89" t="str">
        <f>IFERROR(VLOOKUP($B89, blitz!$AK:$AL, 2, FALSE), 0)</f>
        <v>1</v>
      </c>
      <c r="AI89" t="b">
        <f t="shared" si="34"/>
        <v>0</v>
      </c>
      <c r="AJ89" t="str">
        <f>IFERROR(VLOOKUP($B89, aegis!$AP:$AQ, 2, FALSE), 0)</f>
        <v>3</v>
      </c>
      <c r="AK89" t="str">
        <f>IFERROR(VLOOKUP($B89, duel!$AP:$AQ, 2, FALSE), 0)</f>
        <v>3</v>
      </c>
      <c r="AL89" t="str">
        <f>IFERROR(VLOOKUP($B89, blitz!$AP:$AQ, 2, FALSE), 0)</f>
        <v>3</v>
      </c>
      <c r="AM89" t="b">
        <f t="shared" si="35"/>
        <v>1</v>
      </c>
      <c r="AN89">
        <f>IFERROR(VLOOKUP($B89, aegis!$AU:$AV, 2, FALSE), 0)</f>
        <v>0</v>
      </c>
      <c r="AO89">
        <f>IFERROR(VLOOKUP($B89, duel!$AU:$AV, 2, FALSE), 0)</f>
        <v>0</v>
      </c>
      <c r="AP89">
        <f>IFERROR(VLOOKUP($B89, blitz!$AU:$AV, 2, FALSE), 0)</f>
        <v>0</v>
      </c>
      <c r="AQ89" t="b">
        <f t="shared" si="36"/>
        <v>1</v>
      </c>
      <c r="AR89" t="str">
        <f>IFERROR(VLOOKUP($B89, aegis!$AZ:$BA, 2, FALSE), 0)</f>
        <v>4</v>
      </c>
      <c r="AS89" t="str">
        <f>IFERROR(VLOOKUP($B89, duel!$AZ:$BA, 2, FALSE), 0)</f>
        <v>4</v>
      </c>
      <c r="AT89" t="str">
        <f>IFERROR(VLOOKUP($B89, blitz!$AZ:$BA, 2, FALSE), 0)</f>
        <v>4</v>
      </c>
      <c r="AU89" t="b">
        <f t="shared" si="37"/>
        <v>1</v>
      </c>
      <c r="AV89" t="str">
        <f>IFERROR(VLOOKUP($B89, aegis!$BE:$BF, 2, FALSE), 0)</f>
        <v>3</v>
      </c>
      <c r="AW89" t="str">
        <f>IFERROR(VLOOKUP($B89, duel!$BE:$BF, 2, FALSE), 0)</f>
        <v>3</v>
      </c>
      <c r="AX89" t="str">
        <f>IFERROR(VLOOKUP($B89, blitz!$BE:$BF, 2, FALSE), 0)</f>
        <v>3</v>
      </c>
      <c r="AY89" t="b">
        <f t="shared" si="38"/>
        <v>1</v>
      </c>
      <c r="AZ89" t="str">
        <f>IFERROR(VLOOKUP($B89, aegis!$BJ:$BK, 2, FALSE), 0)</f>
        <v>1</v>
      </c>
      <c r="BA89" t="str">
        <f>IFERROR(VLOOKUP($B89, duel!$BJ:$BK, 2, FALSE), 0)</f>
        <v>1</v>
      </c>
      <c r="BB89" t="str">
        <f>IFERROR(VLOOKUP($B89, blitz!$BJ:$BK, 2, FALSE), 0)</f>
        <v>1</v>
      </c>
      <c r="BC89" t="b">
        <f t="shared" si="39"/>
        <v>1</v>
      </c>
      <c r="BD89">
        <f>IFERROR(VLOOKUP($B89, aegis!$BO:$BP, 2, FALSE), 0)</f>
        <v>0</v>
      </c>
      <c r="BE89">
        <f>IFERROR(VLOOKUP($B89, duel!$BO:$BP, 2, FALSE), 0)</f>
        <v>0</v>
      </c>
      <c r="BF89">
        <f>IFERROR(VLOOKUP($B89, blitz!$BO:$BP, 2, FALSE), 0)</f>
        <v>0</v>
      </c>
      <c r="BG89" t="b">
        <f t="shared" si="40"/>
        <v>1</v>
      </c>
      <c r="BH89" t="str">
        <f>IFERROR(VLOOKUP($B89, aegis!$BT:$BU, 2, FALSE), 0)</f>
        <v>32</v>
      </c>
      <c r="BI89" t="str">
        <f>IFERROR(VLOOKUP($B89, duel!$BT:$BU, 2, FALSE), 0)</f>
        <v>32</v>
      </c>
      <c r="BJ89" t="str">
        <f>IFERROR(VLOOKUP($B89, blitz!$BT:$BU, 2, FALSE), 0)</f>
        <v>32</v>
      </c>
      <c r="BK89" t="b">
        <f t="shared" si="41"/>
        <v>1</v>
      </c>
      <c r="BL89" t="str">
        <f>IFERROR(VLOOKUP($B89, aegis!$BY:$BZ, 2, FALSE), 0)</f>
        <v>4</v>
      </c>
      <c r="BM89" t="str">
        <f>IFERROR(VLOOKUP($B89, duel!$BY:$BZ, 2, FALSE), 0)</f>
        <v>4</v>
      </c>
      <c r="BN89" t="str">
        <f>IFERROR(VLOOKUP($B89, blitz!$BY:$BZ, 2, FALSE), 0)</f>
        <v>4</v>
      </c>
      <c r="BO89" t="b">
        <f t="shared" si="42"/>
        <v>1</v>
      </c>
      <c r="BP89" t="str">
        <f>IFERROR(VLOOKUP($B89, aegis!$CD:$CE, 2, FALSE), 0)</f>
        <v>11</v>
      </c>
      <c r="BQ89" t="str">
        <f>IFERROR(VLOOKUP($B89, duel!$CD:$CE, 2, FALSE), 0)</f>
        <v>11</v>
      </c>
      <c r="BR89" t="str">
        <f>IFERROR(VLOOKUP($B89, blitz!$CD:$CE, 2, FALSE), 0)</f>
        <v>11</v>
      </c>
      <c r="BS89" t="b">
        <f t="shared" si="43"/>
        <v>1</v>
      </c>
      <c r="BT89" t="str">
        <f>IFERROR(VLOOKUP($B89, aegis!$CI:$CJ, 2, FALSE), 0)</f>
        <v>26</v>
      </c>
      <c r="BU89" t="str">
        <f>IFERROR(VLOOKUP($B89, duel!$CI:$CJ, 2, FALSE), 0)</f>
        <v>26</v>
      </c>
      <c r="BV89" t="str">
        <f>IFERROR(VLOOKUP($B89, blitz!$CI:$CJ, 2, FALSE), 0)</f>
        <v>26</v>
      </c>
      <c r="BW89" t="b">
        <f t="shared" si="44"/>
        <v>1</v>
      </c>
      <c r="BX89" t="str">
        <f>IFERROR(VLOOKUP($B89, aegis!$CN:$CO, 2, FALSE), 0)</f>
        <v>26</v>
      </c>
      <c r="BY89" t="str">
        <f>IFERROR(VLOOKUP($B89, duel!$CN:$CO, 2, FALSE), 0)</f>
        <v>26</v>
      </c>
      <c r="BZ89" t="str">
        <f>IFERROR(VLOOKUP($B89, blitz!$CN:$CO, 2, FALSE), 0)</f>
        <v>26</v>
      </c>
      <c r="CA89" t="b">
        <f t="shared" si="45"/>
        <v>1</v>
      </c>
      <c r="CB89" t="str">
        <f>IFERROR(VLOOKUP($B89, aegis!$CS:$CT, 2, FALSE), 0)</f>
        <v>117</v>
      </c>
      <c r="CC89" t="str">
        <f>IFERROR(VLOOKUP($B89, duel!$CS:$CT, 2, FALSE), 0)</f>
        <v>117</v>
      </c>
      <c r="CD89" t="str">
        <f>IFERROR(VLOOKUP($B89, blitz!$CS:$CT, 2, FALSE), 0)</f>
        <v>117</v>
      </c>
      <c r="CE89" t="b">
        <f t="shared" si="46"/>
        <v>1</v>
      </c>
      <c r="CF89" t="str">
        <f>IFERROR(VLOOKUP($B89, aegis!$CX:$CY, 2, FALSE), 0)</f>
        <v>10572</v>
      </c>
      <c r="CG89" t="str">
        <f>IFERROR(VLOOKUP($B89, duel!$CX:$CY, 2, FALSE), 0)</f>
        <v>10566</v>
      </c>
      <c r="CH89" t="str">
        <f>IFERROR(VLOOKUP($B89, blitz!$CX:$CY, 2, FALSE), 0)</f>
        <v>6060</v>
      </c>
      <c r="CI89" t="b">
        <f t="shared" si="47"/>
        <v>0</v>
      </c>
      <c r="CJ89" t="str">
        <f>IFERROR(VLOOKUP($B89, aegis!$DC:$DD, 2, FALSE), 0)</f>
        <v>1</v>
      </c>
      <c r="CK89" t="str">
        <f>IFERROR(VLOOKUP($B89, duel!$DC:$DD, 2, FALSE), 0)</f>
        <v>1</v>
      </c>
      <c r="CL89" t="str">
        <f>IFERROR(VLOOKUP($B89, blitz!$DC:$DD, 2, FALSE), 0)</f>
        <v>1</v>
      </c>
      <c r="CM89" t="b">
        <f t="shared" si="48"/>
        <v>1</v>
      </c>
      <c r="CN89" t="str">
        <f>IFERROR(VLOOKUP($B89, aegis!$DH:$DI, 2, FALSE), 0)</f>
        <v>5</v>
      </c>
      <c r="CO89" t="str">
        <f>IFERROR(VLOOKUP($B89, duel!$DH:$DI, 2, FALSE), 0)</f>
        <v>5</v>
      </c>
      <c r="CP89" s="13">
        <f>IFERROR(VLOOKUP($B89, blitz!$DH:$DI, 2, FALSE), 0)</f>
        <v>0</v>
      </c>
      <c r="CQ89" t="b">
        <f t="shared" si="49"/>
        <v>1</v>
      </c>
      <c r="CR89" t="str">
        <f>IFERROR(VLOOKUP($B89, aegis!$DM:$DN, 2, FALSE), 0)</f>
        <v>3</v>
      </c>
      <c r="CS89" t="str">
        <f>IFERROR(VLOOKUP($B89, duel!$DM:$DN, 2, FALSE), 0)</f>
        <v>3</v>
      </c>
      <c r="CT89" t="str">
        <f>IFERROR(VLOOKUP($B89, blitz!$DM:$DN, 2, FALSE), 0)</f>
        <v>3</v>
      </c>
      <c r="CU89" t="b">
        <f t="shared" si="50"/>
        <v>1</v>
      </c>
      <c r="CV89" t="str">
        <f>IFERROR(VLOOKUP($B89, aegis!$DR:$DS, 2, FALSE), 0)</f>
        <v>173</v>
      </c>
      <c r="CW89" t="str">
        <f>IFERROR(VLOOKUP($B89, duel!$DR:$DS, 2, FALSE), 0)</f>
        <v>173</v>
      </c>
      <c r="CX89" t="str">
        <f>IFERROR(VLOOKUP($B89, blitz!$DR:$DS, 2, FALSE), 0)</f>
        <v>173</v>
      </c>
      <c r="CY89" t="b">
        <f t="shared" si="51"/>
        <v>1</v>
      </c>
    </row>
    <row r="90" spans="1:103">
      <c r="A90" t="s">
        <v>1733</v>
      </c>
      <c r="B90" s="6" t="s">
        <v>166</v>
      </c>
      <c r="C90" s="5" t="b">
        <f t="shared" si="26"/>
        <v>0</v>
      </c>
      <c r="D90" t="str">
        <f>IFERROR(VLOOKUP($B90, aegis!$B:$C, 2, FALSE), 0)</f>
        <v>36</v>
      </c>
      <c r="E90" t="str">
        <f>IFERROR(VLOOKUP($B90, duel!$B:$C, 2, FALSE), 0)</f>
        <v>36</v>
      </c>
      <c r="F90" t="str">
        <f>IFERROR(VLOOKUP($B90, blitz!$B:$C, 2, FALSE), 0)</f>
        <v>36</v>
      </c>
      <c r="G90" t="b">
        <f t="shared" si="27"/>
        <v>1</v>
      </c>
      <c r="H90" t="str">
        <f>IFERROR(VLOOKUP($B90, aegis!$G:$H, 2, FALSE), 0)</f>
        <v>21</v>
      </c>
      <c r="I90" t="str">
        <f>IFERROR(VLOOKUP($B90, duel!$G:$H, 2, FALSE), 0)</f>
        <v>21</v>
      </c>
      <c r="J90" t="str">
        <f>IFERROR(VLOOKUP($B90, blitz!$G:$H, 2, FALSE), 0)</f>
        <v>21</v>
      </c>
      <c r="K90" t="b">
        <f t="shared" si="28"/>
        <v>1</v>
      </c>
      <c r="L90" t="str">
        <f>IFERROR(VLOOKUP($B90, aegis!$L:$M, 2, FALSE), 0)</f>
        <v>36</v>
      </c>
      <c r="M90" t="str">
        <f>IFERROR(VLOOKUP($B90, duel!$L:$M, 2, FALSE), 0)</f>
        <v>36</v>
      </c>
      <c r="N90" t="str">
        <f>IFERROR(VLOOKUP($B90, blitz!$L:$M, 2, FALSE), 0)</f>
        <v>36</v>
      </c>
      <c r="O90" t="b">
        <f t="shared" si="29"/>
        <v>1</v>
      </c>
      <c r="P90" t="str">
        <f>IFERROR(VLOOKUP($B90, aegis!$Q:$R, 2, FALSE), 0)</f>
        <v>21</v>
      </c>
      <c r="Q90" t="str">
        <f>IFERROR(VLOOKUP($B90, duel!$Q:$R, 2, FALSE), 0)</f>
        <v>21</v>
      </c>
      <c r="R90" t="str">
        <f>IFERROR(VLOOKUP($B90, blitz!$Q:$R, 2, FALSE), 0)</f>
        <v>21</v>
      </c>
      <c r="S90" t="b">
        <f t="shared" si="30"/>
        <v>1</v>
      </c>
      <c r="T90" t="str">
        <f>IFERROR(VLOOKUP($B90, aegis!$V:$W, 2, FALSE), 0)</f>
        <v>67</v>
      </c>
      <c r="U90" t="str">
        <f>IFERROR(VLOOKUP($B90, duel!$V:$W, 2, FALSE), 0)</f>
        <v>67</v>
      </c>
      <c r="V90" t="str">
        <f>IFERROR(VLOOKUP($B90, blitz!$V:$W, 2, FALSE), 0)</f>
        <v>67</v>
      </c>
      <c r="W90" t="b">
        <f t="shared" si="31"/>
        <v>1</v>
      </c>
      <c r="X90" t="str">
        <f>IFERROR(VLOOKUP($B90, aegis!$AA:$AB, 2, FALSE), 0)</f>
        <v>2</v>
      </c>
      <c r="Y90" t="str">
        <f>IFERROR(VLOOKUP($B90, duel!$AA:$AB, 2, FALSE), 0)</f>
        <v>2</v>
      </c>
      <c r="Z90" t="str">
        <f>IFERROR(VLOOKUP($B90, blitz!$AA:$AB, 2, FALSE), 0)</f>
        <v>2</v>
      </c>
      <c r="AA90" t="b">
        <f t="shared" si="32"/>
        <v>1</v>
      </c>
      <c r="AB90" t="str">
        <f>IFERROR(VLOOKUP($B90, aegis!$AF:$AG, 2, FALSE), 0)</f>
        <v>70</v>
      </c>
      <c r="AC90" t="str">
        <f>IFERROR(VLOOKUP($B90, duel!$AF:$AG, 2, FALSE), 0)</f>
        <v>70</v>
      </c>
      <c r="AD90" t="str">
        <f>IFERROR(VLOOKUP($B90, blitz!$AF:$AG, 2, FALSE), 0)</f>
        <v>70</v>
      </c>
      <c r="AE90" t="b">
        <f t="shared" si="33"/>
        <v>1</v>
      </c>
      <c r="AF90" t="str">
        <f>IFERROR(VLOOKUP($B90, aegis!$AK:$AL, 2, FALSE), 0)</f>
        <v>3</v>
      </c>
      <c r="AG90" t="str">
        <f>IFERROR(VLOOKUP($B90, duel!$AK:$AL, 2, FALSE), 0)</f>
        <v>1</v>
      </c>
      <c r="AH90" t="str">
        <f>IFERROR(VLOOKUP($B90, blitz!$AK:$AL, 2, FALSE), 0)</f>
        <v>1</v>
      </c>
      <c r="AI90" t="b">
        <f t="shared" si="34"/>
        <v>0</v>
      </c>
      <c r="AJ90" t="str">
        <f>IFERROR(VLOOKUP($B90, aegis!$AP:$AQ, 2, FALSE), 0)</f>
        <v>1</v>
      </c>
      <c r="AK90" t="str">
        <f>IFERROR(VLOOKUP($B90, duel!$AP:$AQ, 2, FALSE), 0)</f>
        <v>1</v>
      </c>
      <c r="AL90" t="str">
        <f>IFERROR(VLOOKUP($B90, blitz!$AP:$AQ, 2, FALSE), 0)</f>
        <v>1</v>
      </c>
      <c r="AM90" t="b">
        <f t="shared" si="35"/>
        <v>1</v>
      </c>
      <c r="AN90">
        <f>IFERROR(VLOOKUP($B90, aegis!$AU:$AV, 2, FALSE), 0)</f>
        <v>0</v>
      </c>
      <c r="AO90">
        <f>IFERROR(VLOOKUP($B90, duel!$AU:$AV, 2, FALSE), 0)</f>
        <v>0</v>
      </c>
      <c r="AP90">
        <f>IFERROR(VLOOKUP($B90, blitz!$AU:$AV, 2, FALSE), 0)</f>
        <v>0</v>
      </c>
      <c r="AQ90" t="b">
        <f t="shared" si="36"/>
        <v>1</v>
      </c>
      <c r="AR90" t="str">
        <f>IFERROR(VLOOKUP($B90, aegis!$AZ:$BA, 2, FALSE), 0)</f>
        <v>2</v>
      </c>
      <c r="AS90" t="str">
        <f>IFERROR(VLOOKUP($B90, duel!$AZ:$BA, 2, FALSE), 0)</f>
        <v>2</v>
      </c>
      <c r="AT90" t="str">
        <f>IFERROR(VLOOKUP($B90, blitz!$AZ:$BA, 2, FALSE), 0)</f>
        <v>2</v>
      </c>
      <c r="AU90" t="b">
        <f t="shared" si="37"/>
        <v>1</v>
      </c>
      <c r="AV90" t="str">
        <f>IFERROR(VLOOKUP($B90, aegis!$BE:$BF, 2, FALSE), 0)</f>
        <v>1</v>
      </c>
      <c r="AW90" t="str">
        <f>IFERROR(VLOOKUP($B90, duel!$BE:$BF, 2, FALSE), 0)</f>
        <v>1</v>
      </c>
      <c r="AX90" t="str">
        <f>IFERROR(VLOOKUP($B90, blitz!$BE:$BF, 2, FALSE), 0)</f>
        <v>1</v>
      </c>
      <c r="AY90" t="b">
        <f t="shared" si="38"/>
        <v>1</v>
      </c>
      <c r="AZ90" t="str">
        <f>IFERROR(VLOOKUP($B90, aegis!$BJ:$BK, 2, FALSE), 0)</f>
        <v>1</v>
      </c>
      <c r="BA90" t="str">
        <f>IFERROR(VLOOKUP($B90, duel!$BJ:$BK, 2, FALSE), 0)</f>
        <v>1</v>
      </c>
      <c r="BB90" t="str">
        <f>IFERROR(VLOOKUP($B90, blitz!$BJ:$BK, 2, FALSE), 0)</f>
        <v>1</v>
      </c>
      <c r="BC90" t="b">
        <f t="shared" si="39"/>
        <v>1</v>
      </c>
      <c r="BD90">
        <f>IFERROR(VLOOKUP($B90, aegis!$BO:$BP, 2, FALSE), 0)</f>
        <v>0</v>
      </c>
      <c r="BE90">
        <f>IFERROR(VLOOKUP($B90, duel!$BO:$BP, 2, FALSE), 0)</f>
        <v>0</v>
      </c>
      <c r="BF90">
        <f>IFERROR(VLOOKUP($B90, blitz!$BO:$BP, 2, FALSE), 0)</f>
        <v>0</v>
      </c>
      <c r="BG90" t="b">
        <f t="shared" si="40"/>
        <v>1</v>
      </c>
      <c r="BH90" t="str">
        <f>IFERROR(VLOOKUP($B90, aegis!$BT:$BU, 2, FALSE), 0)</f>
        <v>45</v>
      </c>
      <c r="BI90" t="str">
        <f>IFERROR(VLOOKUP($B90, duel!$BT:$BU, 2, FALSE), 0)</f>
        <v>45</v>
      </c>
      <c r="BJ90" t="str">
        <f>IFERROR(VLOOKUP($B90, blitz!$BT:$BU, 2, FALSE), 0)</f>
        <v>45</v>
      </c>
      <c r="BK90" t="b">
        <f t="shared" si="41"/>
        <v>1</v>
      </c>
      <c r="BL90" t="str">
        <f>IFERROR(VLOOKUP($B90, aegis!$BY:$BZ, 2, FALSE), 0)</f>
        <v>1</v>
      </c>
      <c r="BM90" t="str">
        <f>IFERROR(VLOOKUP($B90, duel!$BY:$BZ, 2, FALSE), 0)</f>
        <v>1</v>
      </c>
      <c r="BN90" t="str">
        <f>IFERROR(VLOOKUP($B90, blitz!$BY:$BZ, 2, FALSE), 0)</f>
        <v>1</v>
      </c>
      <c r="BO90" t="b">
        <f t="shared" si="42"/>
        <v>1</v>
      </c>
      <c r="BP90" t="str">
        <f>IFERROR(VLOOKUP($B90, aegis!$CD:$CE, 2, FALSE), 0)</f>
        <v>3</v>
      </c>
      <c r="BQ90" t="str">
        <f>IFERROR(VLOOKUP($B90, duel!$CD:$CE, 2, FALSE), 0)</f>
        <v>3</v>
      </c>
      <c r="BR90" t="str">
        <f>IFERROR(VLOOKUP($B90, blitz!$CD:$CE, 2, FALSE), 0)</f>
        <v>3</v>
      </c>
      <c r="BS90" t="b">
        <f t="shared" si="43"/>
        <v>1</v>
      </c>
      <c r="BT90">
        <f>IFERROR(VLOOKUP($B90, aegis!$CI:$CJ, 2, FALSE), 0)</f>
        <v>0</v>
      </c>
      <c r="BU90">
        <f>IFERROR(VLOOKUP($B90, duel!$CI:$CJ, 2, FALSE), 0)</f>
        <v>0</v>
      </c>
      <c r="BV90">
        <f>IFERROR(VLOOKUP($B90, blitz!$CI:$CJ, 2, FALSE), 0)</f>
        <v>0</v>
      </c>
      <c r="BW90" t="b">
        <f t="shared" si="44"/>
        <v>1</v>
      </c>
      <c r="BX90">
        <f>IFERROR(VLOOKUP($B90, aegis!$CN:$CO, 2, FALSE), 0)</f>
        <v>0</v>
      </c>
      <c r="BY90">
        <f>IFERROR(VLOOKUP($B90, duel!$CN:$CO, 2, FALSE), 0)</f>
        <v>0</v>
      </c>
      <c r="BZ90">
        <f>IFERROR(VLOOKUP($B90, blitz!$CN:$CO, 2, FALSE), 0)</f>
        <v>0</v>
      </c>
      <c r="CA90" t="b">
        <f t="shared" si="45"/>
        <v>1</v>
      </c>
      <c r="CB90">
        <f>IFERROR(VLOOKUP($B90, aegis!$CS:$CT, 2, FALSE), 0)</f>
        <v>0</v>
      </c>
      <c r="CC90">
        <f>IFERROR(VLOOKUP($B90, duel!$CS:$CT, 2, FALSE), 0)</f>
        <v>0</v>
      </c>
      <c r="CD90">
        <f>IFERROR(VLOOKUP($B90, blitz!$CS:$CT, 2, FALSE), 0)</f>
        <v>0</v>
      </c>
      <c r="CE90" t="b">
        <f t="shared" si="46"/>
        <v>1</v>
      </c>
      <c r="CF90" t="str">
        <f>IFERROR(VLOOKUP($B90, aegis!$CX:$CY, 2, FALSE), 0)</f>
        <v>4630</v>
      </c>
      <c r="CG90" t="str">
        <f>IFERROR(VLOOKUP($B90, duel!$CX:$CY, 2, FALSE), 0)</f>
        <v>4620</v>
      </c>
      <c r="CH90" t="str">
        <f>IFERROR(VLOOKUP($B90, blitz!$CX:$CY, 2, FALSE), 0)</f>
        <v>3002</v>
      </c>
      <c r="CI90" t="b">
        <f t="shared" si="47"/>
        <v>0</v>
      </c>
      <c r="CJ90" t="str">
        <f>IFERROR(VLOOKUP($B90, aegis!$DC:$DD, 2, FALSE), 0)</f>
        <v>1</v>
      </c>
      <c r="CK90" t="str">
        <f>IFERROR(VLOOKUP($B90, duel!$DC:$DD, 2, FALSE), 0)</f>
        <v>1</v>
      </c>
      <c r="CL90" t="str">
        <f>IFERROR(VLOOKUP($B90, blitz!$DC:$DD, 2, FALSE), 0)</f>
        <v>1</v>
      </c>
      <c r="CM90" t="b">
        <f t="shared" si="48"/>
        <v>1</v>
      </c>
      <c r="CN90" t="str">
        <f>IFERROR(VLOOKUP($B90, aegis!$DH:$DI, 2, FALSE), 0)</f>
        <v>1</v>
      </c>
      <c r="CO90" t="str">
        <f>IFERROR(VLOOKUP($B90, duel!$DH:$DI, 2, FALSE), 0)</f>
        <v>1</v>
      </c>
      <c r="CP90" s="13">
        <f>IFERROR(VLOOKUP($B90, blitz!$DH:$DI, 2, FALSE), 0)</f>
        <v>0</v>
      </c>
      <c r="CQ90" t="b">
        <f t="shared" si="49"/>
        <v>1</v>
      </c>
      <c r="CR90" t="str">
        <f>IFERROR(VLOOKUP($B90, aegis!$DM:$DN, 2, FALSE), 0)</f>
        <v>1</v>
      </c>
      <c r="CS90" t="str">
        <f>IFERROR(VLOOKUP($B90, duel!$DM:$DN, 2, FALSE), 0)</f>
        <v>1</v>
      </c>
      <c r="CT90" t="str">
        <f>IFERROR(VLOOKUP($B90, blitz!$DM:$DN, 2, FALSE), 0)</f>
        <v>1</v>
      </c>
      <c r="CU90" t="b">
        <f t="shared" si="50"/>
        <v>1</v>
      </c>
      <c r="CV90" t="str">
        <f>IFERROR(VLOOKUP($B90, aegis!$DR:$DS, 2, FALSE), 0)</f>
        <v>70</v>
      </c>
      <c r="CW90" t="str">
        <f>IFERROR(VLOOKUP($B90, duel!$DR:$DS, 2, FALSE), 0)</f>
        <v>70</v>
      </c>
      <c r="CX90" t="str">
        <f>IFERROR(VLOOKUP($B90, blitz!$DR:$DS, 2, FALSE), 0)</f>
        <v>70</v>
      </c>
      <c r="CY90" t="b">
        <f t="shared" si="51"/>
        <v>1</v>
      </c>
    </row>
    <row r="91" spans="1:103">
      <c r="A91" t="s">
        <v>1733</v>
      </c>
      <c r="B91" s="6" t="s">
        <v>168</v>
      </c>
      <c r="C91" s="5" t="b">
        <f t="shared" si="26"/>
        <v>0</v>
      </c>
      <c r="D91" t="str">
        <f>IFERROR(VLOOKUP($B91, aegis!$B:$C, 2, FALSE), 0)</f>
        <v>36</v>
      </c>
      <c r="E91" t="str">
        <f>IFERROR(VLOOKUP($B91, duel!$B:$C, 2, FALSE), 0)</f>
        <v>36</v>
      </c>
      <c r="F91" t="str">
        <f>IFERROR(VLOOKUP($B91, blitz!$B:$C, 2, FALSE), 0)</f>
        <v>36</v>
      </c>
      <c r="G91" t="b">
        <f t="shared" si="27"/>
        <v>1</v>
      </c>
      <c r="H91" t="str">
        <f>IFERROR(VLOOKUP($B91, aegis!$G:$H, 2, FALSE), 0)</f>
        <v>21</v>
      </c>
      <c r="I91" t="str">
        <f>IFERROR(VLOOKUP($B91, duel!$G:$H, 2, FALSE), 0)</f>
        <v>21</v>
      </c>
      <c r="J91" t="str">
        <f>IFERROR(VLOOKUP($B91, blitz!$G:$H, 2, FALSE), 0)</f>
        <v>21</v>
      </c>
      <c r="K91" t="b">
        <f t="shared" si="28"/>
        <v>1</v>
      </c>
      <c r="L91" t="str">
        <f>IFERROR(VLOOKUP($B91, aegis!$L:$M, 2, FALSE), 0)</f>
        <v>36</v>
      </c>
      <c r="M91" t="str">
        <f>IFERROR(VLOOKUP($B91, duel!$L:$M, 2, FALSE), 0)</f>
        <v>36</v>
      </c>
      <c r="N91" t="str">
        <f>IFERROR(VLOOKUP($B91, blitz!$L:$M, 2, FALSE), 0)</f>
        <v>36</v>
      </c>
      <c r="O91" t="b">
        <f t="shared" si="29"/>
        <v>1</v>
      </c>
      <c r="P91" t="str">
        <f>IFERROR(VLOOKUP($B91, aegis!$Q:$R, 2, FALSE), 0)</f>
        <v>21</v>
      </c>
      <c r="Q91" t="str">
        <f>IFERROR(VLOOKUP($B91, duel!$Q:$R, 2, FALSE), 0)</f>
        <v>21</v>
      </c>
      <c r="R91" t="str">
        <f>IFERROR(VLOOKUP($B91, blitz!$Q:$R, 2, FALSE), 0)</f>
        <v>21</v>
      </c>
      <c r="S91" t="b">
        <f t="shared" si="30"/>
        <v>1</v>
      </c>
      <c r="T91" t="str">
        <f>IFERROR(VLOOKUP($B91, aegis!$V:$W, 2, FALSE), 0)</f>
        <v>68</v>
      </c>
      <c r="U91" t="str">
        <f>IFERROR(VLOOKUP($B91, duel!$V:$W, 2, FALSE), 0)</f>
        <v>68</v>
      </c>
      <c r="V91" t="str">
        <f>IFERROR(VLOOKUP($B91, blitz!$V:$W, 2, FALSE), 0)</f>
        <v>68</v>
      </c>
      <c r="W91" t="b">
        <f t="shared" si="31"/>
        <v>1</v>
      </c>
      <c r="X91" t="str">
        <f>IFERROR(VLOOKUP($B91, aegis!$AA:$AB, 2, FALSE), 0)</f>
        <v>2</v>
      </c>
      <c r="Y91" t="str">
        <f>IFERROR(VLOOKUP($B91, duel!$AA:$AB, 2, FALSE), 0)</f>
        <v>2</v>
      </c>
      <c r="Z91" t="str">
        <f>IFERROR(VLOOKUP($B91, blitz!$AA:$AB, 2, FALSE), 0)</f>
        <v>2</v>
      </c>
      <c r="AA91" t="b">
        <f t="shared" si="32"/>
        <v>1</v>
      </c>
      <c r="AB91" t="str">
        <f>IFERROR(VLOOKUP($B91, aegis!$AF:$AG, 2, FALSE), 0)</f>
        <v>84</v>
      </c>
      <c r="AC91" t="str">
        <f>IFERROR(VLOOKUP($B91, duel!$AF:$AG, 2, FALSE), 0)</f>
        <v>84</v>
      </c>
      <c r="AD91" t="str">
        <f>IFERROR(VLOOKUP($B91, blitz!$AF:$AG, 2, FALSE), 0)</f>
        <v>84</v>
      </c>
      <c r="AE91" t="b">
        <f t="shared" si="33"/>
        <v>1</v>
      </c>
      <c r="AF91" t="str">
        <f>IFERROR(VLOOKUP($B91, aegis!$AK:$AL, 2, FALSE), 0)</f>
        <v>3</v>
      </c>
      <c r="AG91" t="str">
        <f>IFERROR(VLOOKUP($B91, duel!$AK:$AL, 2, FALSE), 0)</f>
        <v>1</v>
      </c>
      <c r="AH91" t="str">
        <f>IFERROR(VLOOKUP($B91, blitz!$AK:$AL, 2, FALSE), 0)</f>
        <v>1</v>
      </c>
      <c r="AI91" t="b">
        <f t="shared" si="34"/>
        <v>0</v>
      </c>
      <c r="AJ91" t="str">
        <f>IFERROR(VLOOKUP($B91, aegis!$AP:$AQ, 2, FALSE), 0)</f>
        <v>2</v>
      </c>
      <c r="AK91" t="str">
        <f>IFERROR(VLOOKUP($B91, duel!$AP:$AQ, 2, FALSE), 0)</f>
        <v>2</v>
      </c>
      <c r="AL91" t="str">
        <f>IFERROR(VLOOKUP($B91, blitz!$AP:$AQ, 2, FALSE), 0)</f>
        <v>2</v>
      </c>
      <c r="AM91" t="b">
        <f t="shared" si="35"/>
        <v>1</v>
      </c>
      <c r="AN91">
        <f>IFERROR(VLOOKUP($B91, aegis!$AU:$AV, 2, FALSE), 0)</f>
        <v>0</v>
      </c>
      <c r="AO91">
        <f>IFERROR(VLOOKUP($B91, duel!$AU:$AV, 2, FALSE), 0)</f>
        <v>0</v>
      </c>
      <c r="AP91">
        <f>IFERROR(VLOOKUP($B91, blitz!$AU:$AV, 2, FALSE), 0)</f>
        <v>0</v>
      </c>
      <c r="AQ91" t="b">
        <f t="shared" si="36"/>
        <v>1</v>
      </c>
      <c r="AR91" t="str">
        <f>IFERROR(VLOOKUP($B91, aegis!$AZ:$BA, 2, FALSE), 0)</f>
        <v>2</v>
      </c>
      <c r="AS91" t="str">
        <f>IFERROR(VLOOKUP($B91, duel!$AZ:$BA, 2, FALSE), 0)</f>
        <v>2</v>
      </c>
      <c r="AT91" t="str">
        <f>IFERROR(VLOOKUP($B91, blitz!$AZ:$BA, 2, FALSE), 0)</f>
        <v>2</v>
      </c>
      <c r="AU91" t="b">
        <f t="shared" si="37"/>
        <v>1</v>
      </c>
      <c r="AV91" t="str">
        <f>IFERROR(VLOOKUP($B91, aegis!$BE:$BF, 2, FALSE), 0)</f>
        <v>1</v>
      </c>
      <c r="AW91" t="str">
        <f>IFERROR(VLOOKUP($B91, duel!$BE:$BF, 2, FALSE), 0)</f>
        <v>1</v>
      </c>
      <c r="AX91" t="str">
        <f>IFERROR(VLOOKUP($B91, blitz!$BE:$BF, 2, FALSE), 0)</f>
        <v>1</v>
      </c>
      <c r="AY91" t="b">
        <f t="shared" si="38"/>
        <v>1</v>
      </c>
      <c r="AZ91" t="str">
        <f>IFERROR(VLOOKUP($B91, aegis!$BJ:$BK, 2, FALSE), 0)</f>
        <v>1</v>
      </c>
      <c r="BA91" t="str">
        <f>IFERROR(VLOOKUP($B91, duel!$BJ:$BK, 2, FALSE), 0)</f>
        <v>1</v>
      </c>
      <c r="BB91" t="str">
        <f>IFERROR(VLOOKUP($B91, blitz!$BJ:$BK, 2, FALSE), 0)</f>
        <v>1</v>
      </c>
      <c r="BC91" t="b">
        <f t="shared" si="39"/>
        <v>1</v>
      </c>
      <c r="BD91">
        <f>IFERROR(VLOOKUP($B91, aegis!$BO:$BP, 2, FALSE), 0)</f>
        <v>0</v>
      </c>
      <c r="BE91">
        <f>IFERROR(VLOOKUP($B91, duel!$BO:$BP, 2, FALSE), 0)</f>
        <v>0</v>
      </c>
      <c r="BF91">
        <f>IFERROR(VLOOKUP($B91, blitz!$BO:$BP, 2, FALSE), 0)</f>
        <v>0</v>
      </c>
      <c r="BG91" t="b">
        <f t="shared" si="40"/>
        <v>1</v>
      </c>
      <c r="BH91" t="str">
        <f>IFERROR(VLOOKUP($B91, aegis!$BT:$BU, 2, FALSE), 0)</f>
        <v>11</v>
      </c>
      <c r="BI91" t="str">
        <f>IFERROR(VLOOKUP($B91, duel!$BT:$BU, 2, FALSE), 0)</f>
        <v>11</v>
      </c>
      <c r="BJ91" t="str">
        <f>IFERROR(VLOOKUP($B91, blitz!$BT:$BU, 2, FALSE), 0)</f>
        <v>11</v>
      </c>
      <c r="BK91" t="b">
        <f t="shared" si="41"/>
        <v>1</v>
      </c>
      <c r="BL91" t="str">
        <f>IFERROR(VLOOKUP($B91, aegis!$BY:$BZ, 2, FALSE), 0)</f>
        <v>1</v>
      </c>
      <c r="BM91" t="str">
        <f>IFERROR(VLOOKUP($B91, duel!$BY:$BZ, 2, FALSE), 0)</f>
        <v>1</v>
      </c>
      <c r="BN91" t="str">
        <f>IFERROR(VLOOKUP($B91, blitz!$BY:$BZ, 2, FALSE), 0)</f>
        <v>1</v>
      </c>
      <c r="BO91" t="b">
        <f t="shared" si="42"/>
        <v>1</v>
      </c>
      <c r="BP91" t="str">
        <f>IFERROR(VLOOKUP($B91, aegis!$CD:$CE, 2, FALSE), 0)</f>
        <v>4</v>
      </c>
      <c r="BQ91" t="str">
        <f>IFERROR(VLOOKUP($B91, duel!$CD:$CE, 2, FALSE), 0)</f>
        <v>4</v>
      </c>
      <c r="BR91" t="str">
        <f>IFERROR(VLOOKUP($B91, blitz!$CD:$CE, 2, FALSE), 0)</f>
        <v>4</v>
      </c>
      <c r="BS91" t="b">
        <f t="shared" si="43"/>
        <v>1</v>
      </c>
      <c r="BT91" t="str">
        <f>IFERROR(VLOOKUP($B91, aegis!$CI:$CJ, 2, FALSE), 0)</f>
        <v>77</v>
      </c>
      <c r="BU91" t="str">
        <f>IFERROR(VLOOKUP($B91, duel!$CI:$CJ, 2, FALSE), 0)</f>
        <v>77</v>
      </c>
      <c r="BV91" t="str">
        <f>IFERROR(VLOOKUP($B91, blitz!$CI:$CJ, 2, FALSE), 0)</f>
        <v>77</v>
      </c>
      <c r="BW91" t="b">
        <f t="shared" si="44"/>
        <v>1</v>
      </c>
      <c r="BX91" t="str">
        <f>IFERROR(VLOOKUP($B91, aegis!$CN:$CO, 2, FALSE), 0)</f>
        <v>77</v>
      </c>
      <c r="BY91" t="str">
        <f>IFERROR(VLOOKUP($B91, duel!$CN:$CO, 2, FALSE), 0)</f>
        <v>77</v>
      </c>
      <c r="BZ91" t="str">
        <f>IFERROR(VLOOKUP($B91, blitz!$CN:$CO, 2, FALSE), 0)</f>
        <v>77</v>
      </c>
      <c r="CA91" t="b">
        <f t="shared" si="45"/>
        <v>1</v>
      </c>
      <c r="CB91" t="str">
        <f>IFERROR(VLOOKUP($B91, aegis!$CS:$CT, 2, FALSE), 0)</f>
        <v>376</v>
      </c>
      <c r="CC91" t="str">
        <f>IFERROR(VLOOKUP($B91, duel!$CS:$CT, 2, FALSE), 0)</f>
        <v>376</v>
      </c>
      <c r="CD91" t="str">
        <f>IFERROR(VLOOKUP($B91, blitz!$CS:$CT, 2, FALSE), 0)</f>
        <v>376</v>
      </c>
      <c r="CE91" t="b">
        <f t="shared" si="46"/>
        <v>1</v>
      </c>
      <c r="CF91" t="str">
        <f>IFERROR(VLOOKUP($B91, aegis!$CX:$CY, 2, FALSE), 0)</f>
        <v>603</v>
      </c>
      <c r="CG91" t="str">
        <f>IFERROR(VLOOKUP($B91, duel!$CX:$CY, 2, FALSE), 0)</f>
        <v>603</v>
      </c>
      <c r="CH91" t="str">
        <f>IFERROR(VLOOKUP($B91, blitz!$CX:$CY, 2, FALSE), 0)</f>
        <v>545</v>
      </c>
      <c r="CI91" t="b">
        <f t="shared" si="47"/>
        <v>0</v>
      </c>
      <c r="CJ91" t="str">
        <f>IFERROR(VLOOKUP($B91, aegis!$DC:$DD, 2, FALSE), 0)</f>
        <v>1</v>
      </c>
      <c r="CK91" t="str">
        <f>IFERROR(VLOOKUP($B91, duel!$DC:$DD, 2, FALSE), 0)</f>
        <v>1</v>
      </c>
      <c r="CL91" t="str">
        <f>IFERROR(VLOOKUP($B91, blitz!$DC:$DD, 2, FALSE), 0)</f>
        <v>1</v>
      </c>
      <c r="CM91" t="b">
        <f t="shared" si="48"/>
        <v>1</v>
      </c>
      <c r="CN91" t="str">
        <f>IFERROR(VLOOKUP($B91, aegis!$DH:$DI, 2, FALSE), 0)</f>
        <v>2</v>
      </c>
      <c r="CO91" t="str">
        <f>IFERROR(VLOOKUP($B91, duel!$DH:$DI, 2, FALSE), 0)</f>
        <v>2</v>
      </c>
      <c r="CP91" s="13">
        <f>IFERROR(VLOOKUP($B91, blitz!$DH:$DI, 2, FALSE), 0)</f>
        <v>0</v>
      </c>
      <c r="CQ91" t="b">
        <f t="shared" si="49"/>
        <v>1</v>
      </c>
      <c r="CR91" t="str">
        <f>IFERROR(VLOOKUP($B91, aegis!$DM:$DN, 2, FALSE), 0)</f>
        <v>1</v>
      </c>
      <c r="CS91" t="str">
        <f>IFERROR(VLOOKUP($B91, duel!$DM:$DN, 2, FALSE), 0)</f>
        <v>1</v>
      </c>
      <c r="CT91" t="str">
        <f>IFERROR(VLOOKUP($B91, blitz!$DM:$DN, 2, FALSE), 0)</f>
        <v>1</v>
      </c>
      <c r="CU91" t="b">
        <f t="shared" si="50"/>
        <v>1</v>
      </c>
      <c r="CV91" t="str">
        <f>IFERROR(VLOOKUP($B91, aegis!$DR:$DS, 2, FALSE), 0)</f>
        <v>84</v>
      </c>
      <c r="CW91" t="str">
        <f>IFERROR(VLOOKUP($B91, duel!$DR:$DS, 2, FALSE), 0)</f>
        <v>84</v>
      </c>
      <c r="CX91" t="str">
        <f>IFERROR(VLOOKUP($B91, blitz!$DR:$DS, 2, FALSE), 0)</f>
        <v>84</v>
      </c>
      <c r="CY91" t="b">
        <f t="shared" si="51"/>
        <v>1</v>
      </c>
    </row>
    <row r="92" spans="1:103">
      <c r="A92" t="s">
        <v>1733</v>
      </c>
      <c r="B92" s="6" t="s">
        <v>170</v>
      </c>
      <c r="C92" s="5" t="b">
        <f t="shared" si="26"/>
        <v>0</v>
      </c>
      <c r="D92" t="str">
        <f>IFERROR(VLOOKUP($B92, aegis!$B:$C, 2, FALSE), 0)</f>
        <v>48</v>
      </c>
      <c r="E92" t="str">
        <f>IFERROR(VLOOKUP($B92, duel!$B:$C, 2, FALSE), 0)</f>
        <v>48</v>
      </c>
      <c r="F92" t="str">
        <f>IFERROR(VLOOKUP($B92, blitz!$B:$C, 2, FALSE), 0)</f>
        <v>48</v>
      </c>
      <c r="G92" t="b">
        <f t="shared" si="27"/>
        <v>1</v>
      </c>
      <c r="H92" t="str">
        <f>IFERROR(VLOOKUP($B92, aegis!$G:$H, 2, FALSE), 0)</f>
        <v>28</v>
      </c>
      <c r="I92" t="str">
        <f>IFERROR(VLOOKUP($B92, duel!$G:$H, 2, FALSE), 0)</f>
        <v>28</v>
      </c>
      <c r="J92" t="str">
        <f>IFERROR(VLOOKUP($B92, blitz!$G:$H, 2, FALSE), 0)</f>
        <v>28</v>
      </c>
      <c r="K92" t="b">
        <f t="shared" si="28"/>
        <v>1</v>
      </c>
      <c r="L92" t="str">
        <f>IFERROR(VLOOKUP($B92, aegis!$L:$M, 2, FALSE), 0)</f>
        <v>48</v>
      </c>
      <c r="M92" t="str">
        <f>IFERROR(VLOOKUP($B92, duel!$L:$M, 2, FALSE), 0)</f>
        <v>48</v>
      </c>
      <c r="N92" t="str">
        <f>IFERROR(VLOOKUP($B92, blitz!$L:$M, 2, FALSE), 0)</f>
        <v>48</v>
      </c>
      <c r="O92" t="b">
        <f t="shared" si="29"/>
        <v>1</v>
      </c>
      <c r="P92" t="str">
        <f>IFERROR(VLOOKUP($B92, aegis!$Q:$R, 2, FALSE), 0)</f>
        <v>28</v>
      </c>
      <c r="Q92" t="str">
        <f>IFERROR(VLOOKUP($B92, duel!$Q:$R, 2, FALSE), 0)</f>
        <v>28</v>
      </c>
      <c r="R92" t="str">
        <f>IFERROR(VLOOKUP($B92, blitz!$Q:$R, 2, FALSE), 0)</f>
        <v>28</v>
      </c>
      <c r="S92" t="b">
        <f t="shared" si="30"/>
        <v>1</v>
      </c>
      <c r="T92" t="str">
        <f>IFERROR(VLOOKUP($B92, aegis!$V:$W, 2, FALSE), 0)</f>
        <v>6</v>
      </c>
      <c r="U92" t="str">
        <f>IFERROR(VLOOKUP($B92, duel!$V:$W, 2, FALSE), 0)</f>
        <v>6</v>
      </c>
      <c r="V92" t="str">
        <f>IFERROR(VLOOKUP($B92, blitz!$V:$W, 2, FALSE), 0)</f>
        <v>6</v>
      </c>
      <c r="W92" t="b">
        <f t="shared" si="31"/>
        <v>1</v>
      </c>
      <c r="X92" t="str">
        <f>IFERROR(VLOOKUP($B92, aegis!$AA:$AB, 2, FALSE), 0)</f>
        <v>3</v>
      </c>
      <c r="Y92" t="str">
        <f>IFERROR(VLOOKUP($B92, duel!$AA:$AB, 2, FALSE), 0)</f>
        <v>3</v>
      </c>
      <c r="Z92" t="str">
        <f>IFERROR(VLOOKUP($B92, blitz!$AA:$AB, 2, FALSE), 0)</f>
        <v>3</v>
      </c>
      <c r="AA92" t="b">
        <f t="shared" si="32"/>
        <v>1</v>
      </c>
      <c r="AB92" t="str">
        <f>IFERROR(VLOOKUP($B92, aegis!$AF:$AG, 2, FALSE), 0)</f>
        <v>33</v>
      </c>
      <c r="AC92" t="str">
        <f>IFERROR(VLOOKUP($B92, duel!$AF:$AG, 2, FALSE), 0)</f>
        <v>33</v>
      </c>
      <c r="AD92" t="str">
        <f>IFERROR(VLOOKUP($B92, blitz!$AF:$AG, 2, FALSE), 0)</f>
        <v>33</v>
      </c>
      <c r="AE92" t="b">
        <f t="shared" si="33"/>
        <v>1</v>
      </c>
      <c r="AF92" t="str">
        <f>IFERROR(VLOOKUP($B92, aegis!$AK:$AL, 2, FALSE), 0)</f>
        <v>4</v>
      </c>
      <c r="AG92" t="str">
        <f>IFERROR(VLOOKUP($B92, duel!$AK:$AL, 2, FALSE), 0)</f>
        <v>1</v>
      </c>
      <c r="AH92" t="str">
        <f>IFERROR(VLOOKUP($B92, blitz!$AK:$AL, 2, FALSE), 0)</f>
        <v>1</v>
      </c>
      <c r="AI92" t="b">
        <f t="shared" si="34"/>
        <v>0</v>
      </c>
      <c r="AJ92" t="str">
        <f>IFERROR(VLOOKUP($B92, aegis!$AP:$AQ, 2, FALSE), 0)</f>
        <v>2</v>
      </c>
      <c r="AK92" t="str">
        <f>IFERROR(VLOOKUP($B92, duel!$AP:$AQ, 2, FALSE), 0)</f>
        <v>2</v>
      </c>
      <c r="AL92" t="str">
        <f>IFERROR(VLOOKUP($B92, blitz!$AP:$AQ, 2, FALSE), 0)</f>
        <v>2</v>
      </c>
      <c r="AM92" t="b">
        <f t="shared" si="35"/>
        <v>1</v>
      </c>
      <c r="AN92">
        <f>IFERROR(VLOOKUP($B92, aegis!$AU:$AV, 2, FALSE), 0)</f>
        <v>0</v>
      </c>
      <c r="AO92">
        <f>IFERROR(VLOOKUP($B92, duel!$AU:$AV, 2, FALSE), 0)</f>
        <v>0</v>
      </c>
      <c r="AP92">
        <f>IFERROR(VLOOKUP($B92, blitz!$AU:$AV, 2, FALSE), 0)</f>
        <v>0</v>
      </c>
      <c r="AQ92" t="b">
        <f t="shared" si="36"/>
        <v>1</v>
      </c>
      <c r="AR92" t="str">
        <f>IFERROR(VLOOKUP($B92, aegis!$AZ:$BA, 2, FALSE), 0)</f>
        <v>3</v>
      </c>
      <c r="AS92" t="str">
        <f>IFERROR(VLOOKUP($B92, duel!$AZ:$BA, 2, FALSE), 0)</f>
        <v>3</v>
      </c>
      <c r="AT92" t="str">
        <f>IFERROR(VLOOKUP($B92, blitz!$AZ:$BA, 2, FALSE), 0)</f>
        <v>3</v>
      </c>
      <c r="AU92" t="b">
        <f t="shared" si="37"/>
        <v>1</v>
      </c>
      <c r="AV92" t="str">
        <f>IFERROR(VLOOKUP($B92, aegis!$BE:$BF, 2, FALSE), 0)</f>
        <v>2</v>
      </c>
      <c r="AW92" t="str">
        <f>IFERROR(VLOOKUP($B92, duel!$BE:$BF, 2, FALSE), 0)</f>
        <v>2</v>
      </c>
      <c r="AX92" t="str">
        <f>IFERROR(VLOOKUP($B92, blitz!$BE:$BF, 2, FALSE), 0)</f>
        <v>2</v>
      </c>
      <c r="AY92" t="b">
        <f t="shared" si="38"/>
        <v>1</v>
      </c>
      <c r="AZ92" t="str">
        <f>IFERROR(VLOOKUP($B92, aegis!$BJ:$BK, 2, FALSE), 0)</f>
        <v>1</v>
      </c>
      <c r="BA92" t="str">
        <f>IFERROR(VLOOKUP($B92, duel!$BJ:$BK, 2, FALSE), 0)</f>
        <v>1</v>
      </c>
      <c r="BB92" t="str">
        <f>IFERROR(VLOOKUP($B92, blitz!$BJ:$BK, 2, FALSE), 0)</f>
        <v>1</v>
      </c>
      <c r="BC92" t="b">
        <f t="shared" si="39"/>
        <v>1</v>
      </c>
      <c r="BD92">
        <f>IFERROR(VLOOKUP($B92, aegis!$BO:$BP, 2, FALSE), 0)</f>
        <v>0</v>
      </c>
      <c r="BE92">
        <f>IFERROR(VLOOKUP($B92, duel!$BO:$BP, 2, FALSE), 0)</f>
        <v>0</v>
      </c>
      <c r="BF92">
        <f>IFERROR(VLOOKUP($B92, blitz!$BO:$BP, 2, FALSE), 0)</f>
        <v>0</v>
      </c>
      <c r="BG92" t="b">
        <f t="shared" si="40"/>
        <v>1</v>
      </c>
      <c r="BH92" t="str">
        <f>IFERROR(VLOOKUP($B92, aegis!$BT:$BU, 2, FALSE), 0)</f>
        <v>18</v>
      </c>
      <c r="BI92" t="str">
        <f>IFERROR(VLOOKUP($B92, duel!$BT:$BU, 2, FALSE), 0)</f>
        <v>18</v>
      </c>
      <c r="BJ92" t="str">
        <f>IFERROR(VLOOKUP($B92, blitz!$BT:$BU, 2, FALSE), 0)</f>
        <v>18</v>
      </c>
      <c r="BK92" t="b">
        <f t="shared" si="41"/>
        <v>1</v>
      </c>
      <c r="BL92" t="str">
        <f>IFERROR(VLOOKUP($B92, aegis!$BY:$BZ, 2, FALSE), 0)</f>
        <v>2</v>
      </c>
      <c r="BM92" t="str">
        <f>IFERROR(VLOOKUP($B92, duel!$BY:$BZ, 2, FALSE), 0)</f>
        <v>2</v>
      </c>
      <c r="BN92" t="str">
        <f>IFERROR(VLOOKUP($B92, blitz!$BY:$BZ, 2, FALSE), 0)</f>
        <v>2</v>
      </c>
      <c r="BO92" t="b">
        <f t="shared" si="42"/>
        <v>1</v>
      </c>
      <c r="BP92" t="str">
        <f>IFERROR(VLOOKUP($B92, aegis!$CD:$CE, 2, FALSE), 0)</f>
        <v>7</v>
      </c>
      <c r="BQ92" t="str">
        <f>IFERROR(VLOOKUP($B92, duel!$CD:$CE, 2, FALSE), 0)</f>
        <v>7</v>
      </c>
      <c r="BR92" t="str">
        <f>IFERROR(VLOOKUP($B92, blitz!$CD:$CE, 2, FALSE), 0)</f>
        <v>7</v>
      </c>
      <c r="BS92" t="b">
        <f t="shared" si="43"/>
        <v>1</v>
      </c>
      <c r="BT92" t="str">
        <f>IFERROR(VLOOKUP($B92, aegis!$CI:$CJ, 2, FALSE), 0)</f>
        <v>1</v>
      </c>
      <c r="BU92" t="str">
        <f>IFERROR(VLOOKUP($B92, duel!$CI:$CJ, 2, FALSE), 0)</f>
        <v>1</v>
      </c>
      <c r="BV92" t="str">
        <f>IFERROR(VLOOKUP($B92, blitz!$CI:$CJ, 2, FALSE), 0)</f>
        <v>1</v>
      </c>
      <c r="BW92" t="b">
        <f t="shared" si="44"/>
        <v>1</v>
      </c>
      <c r="BX92" t="str">
        <f>IFERROR(VLOOKUP($B92, aegis!$CN:$CO, 2, FALSE), 0)</f>
        <v>1</v>
      </c>
      <c r="BY92" t="str">
        <f>IFERROR(VLOOKUP($B92, duel!$CN:$CO, 2, FALSE), 0)</f>
        <v>1</v>
      </c>
      <c r="BZ92" t="str">
        <f>IFERROR(VLOOKUP($B92, blitz!$CN:$CO, 2, FALSE), 0)</f>
        <v>1</v>
      </c>
      <c r="CA92" t="b">
        <f t="shared" si="45"/>
        <v>1</v>
      </c>
      <c r="CB92" t="str">
        <f>IFERROR(VLOOKUP($B92, aegis!$CS:$CT, 2, FALSE), 0)</f>
        <v>3</v>
      </c>
      <c r="CC92" t="str">
        <f>IFERROR(VLOOKUP($B92, duel!$CS:$CT, 2, FALSE), 0)</f>
        <v>3</v>
      </c>
      <c r="CD92" t="str">
        <f>IFERROR(VLOOKUP($B92, blitz!$CS:$CT, 2, FALSE), 0)</f>
        <v>3</v>
      </c>
      <c r="CE92" t="b">
        <f t="shared" si="46"/>
        <v>1</v>
      </c>
      <c r="CF92" t="str">
        <f>IFERROR(VLOOKUP($B92, aegis!$CX:$CY, 2, FALSE), 0)</f>
        <v>1848</v>
      </c>
      <c r="CG92" t="str">
        <f>IFERROR(VLOOKUP($B92, duel!$CX:$CY, 2, FALSE), 0)</f>
        <v>1847</v>
      </c>
      <c r="CH92" t="str">
        <f>IFERROR(VLOOKUP($B92, blitz!$CX:$CY, 2, FALSE), 0)</f>
        <v>1676</v>
      </c>
      <c r="CI92" t="b">
        <f t="shared" si="47"/>
        <v>0</v>
      </c>
      <c r="CJ92" t="str">
        <f>IFERROR(VLOOKUP($B92, aegis!$DC:$DD, 2, FALSE), 0)</f>
        <v>1</v>
      </c>
      <c r="CK92" t="str">
        <f>IFERROR(VLOOKUP($B92, duel!$DC:$DD, 2, FALSE), 0)</f>
        <v>1</v>
      </c>
      <c r="CL92" t="str">
        <f>IFERROR(VLOOKUP($B92, blitz!$DC:$DD, 2, FALSE), 0)</f>
        <v>1</v>
      </c>
      <c r="CM92" t="b">
        <f t="shared" si="48"/>
        <v>1</v>
      </c>
      <c r="CN92" t="str">
        <f>IFERROR(VLOOKUP($B92, aegis!$DH:$DI, 2, FALSE), 0)</f>
        <v>2</v>
      </c>
      <c r="CO92" t="str">
        <f>IFERROR(VLOOKUP($B92, duel!$DH:$DI, 2, FALSE), 0)</f>
        <v>2</v>
      </c>
      <c r="CP92" s="13">
        <f>IFERROR(VLOOKUP($B92, blitz!$DH:$DI, 2, FALSE), 0)</f>
        <v>0</v>
      </c>
      <c r="CQ92" t="b">
        <f t="shared" si="49"/>
        <v>1</v>
      </c>
      <c r="CR92" t="str">
        <f>IFERROR(VLOOKUP($B92, aegis!$DM:$DN, 2, FALSE), 0)</f>
        <v>2</v>
      </c>
      <c r="CS92" t="str">
        <f>IFERROR(VLOOKUP($B92, duel!$DM:$DN, 2, FALSE), 0)</f>
        <v>1</v>
      </c>
      <c r="CT92" t="str">
        <f>IFERROR(VLOOKUP($B92, blitz!$DM:$DN, 2, FALSE), 0)</f>
        <v>2</v>
      </c>
      <c r="CU92" t="b">
        <f t="shared" si="50"/>
        <v>0</v>
      </c>
      <c r="CV92" t="str">
        <f>IFERROR(VLOOKUP($B92, aegis!$DR:$DS, 2, FALSE), 0)</f>
        <v>33</v>
      </c>
      <c r="CW92" t="str">
        <f>IFERROR(VLOOKUP($B92, duel!$DR:$DS, 2, FALSE), 0)</f>
        <v>33</v>
      </c>
      <c r="CX92" t="str">
        <f>IFERROR(VLOOKUP($B92, blitz!$DR:$DS, 2, FALSE), 0)</f>
        <v>33</v>
      </c>
      <c r="CY92" t="b">
        <f t="shared" si="51"/>
        <v>1</v>
      </c>
    </row>
    <row r="93" spans="1:103">
      <c r="A93" t="s">
        <v>1733</v>
      </c>
      <c r="B93" s="6" t="s">
        <v>172</v>
      </c>
      <c r="C93" s="5" t="b">
        <f t="shared" si="26"/>
        <v>0</v>
      </c>
      <c r="D93" t="str">
        <f>IFERROR(VLOOKUP($B93, aegis!$B:$C, 2, FALSE), 0)</f>
        <v>36</v>
      </c>
      <c r="E93" t="str">
        <f>IFERROR(VLOOKUP($B93, duel!$B:$C, 2, FALSE), 0)</f>
        <v>36</v>
      </c>
      <c r="F93" t="str">
        <f>IFERROR(VLOOKUP($B93, blitz!$B:$C, 2, FALSE), 0)</f>
        <v>36</v>
      </c>
      <c r="G93" t="b">
        <f t="shared" si="27"/>
        <v>1</v>
      </c>
      <c r="H93" t="str">
        <f>IFERROR(VLOOKUP($B93, aegis!$G:$H, 2, FALSE), 0)</f>
        <v>21</v>
      </c>
      <c r="I93" t="str">
        <f>IFERROR(VLOOKUP($B93, duel!$G:$H, 2, FALSE), 0)</f>
        <v>21</v>
      </c>
      <c r="J93" t="str">
        <f>IFERROR(VLOOKUP($B93, blitz!$G:$H, 2, FALSE), 0)</f>
        <v>21</v>
      </c>
      <c r="K93" t="b">
        <f t="shared" si="28"/>
        <v>1</v>
      </c>
      <c r="L93" t="str">
        <f>IFERROR(VLOOKUP($B93, aegis!$L:$M, 2, FALSE), 0)</f>
        <v>36</v>
      </c>
      <c r="M93" t="str">
        <f>IFERROR(VLOOKUP($B93, duel!$L:$M, 2, FALSE), 0)</f>
        <v>36</v>
      </c>
      <c r="N93" t="str">
        <f>IFERROR(VLOOKUP($B93, blitz!$L:$M, 2, FALSE), 0)</f>
        <v>36</v>
      </c>
      <c r="O93" t="b">
        <f t="shared" si="29"/>
        <v>1</v>
      </c>
      <c r="P93" t="str">
        <f>IFERROR(VLOOKUP($B93, aegis!$Q:$R, 2, FALSE), 0)</f>
        <v>21</v>
      </c>
      <c r="Q93" t="str">
        <f>IFERROR(VLOOKUP($B93, duel!$Q:$R, 2, FALSE), 0)</f>
        <v>21</v>
      </c>
      <c r="R93" t="str">
        <f>IFERROR(VLOOKUP($B93, blitz!$Q:$R, 2, FALSE), 0)</f>
        <v>21</v>
      </c>
      <c r="S93" t="b">
        <f t="shared" si="30"/>
        <v>1</v>
      </c>
      <c r="T93" t="str">
        <f>IFERROR(VLOOKUP($B93, aegis!$V:$W, 2, FALSE), 0)</f>
        <v>16</v>
      </c>
      <c r="U93" t="str">
        <f>IFERROR(VLOOKUP($B93, duel!$V:$W, 2, FALSE), 0)</f>
        <v>16</v>
      </c>
      <c r="V93" t="str">
        <f>IFERROR(VLOOKUP($B93, blitz!$V:$W, 2, FALSE), 0)</f>
        <v>16</v>
      </c>
      <c r="W93" t="b">
        <f t="shared" si="31"/>
        <v>1</v>
      </c>
      <c r="X93" t="str">
        <f>IFERROR(VLOOKUP($B93, aegis!$AA:$AB, 2, FALSE), 0)</f>
        <v>2</v>
      </c>
      <c r="Y93" t="str">
        <f>IFERROR(VLOOKUP($B93, duel!$AA:$AB, 2, FALSE), 0)</f>
        <v>2</v>
      </c>
      <c r="Z93" t="str">
        <f>IFERROR(VLOOKUP($B93, blitz!$AA:$AB, 2, FALSE), 0)</f>
        <v>2</v>
      </c>
      <c r="AA93" t="b">
        <f t="shared" si="32"/>
        <v>1</v>
      </c>
      <c r="AB93" t="str">
        <f>IFERROR(VLOOKUP($B93, aegis!$AF:$AG, 2, FALSE), 0)</f>
        <v>18</v>
      </c>
      <c r="AC93" t="str">
        <f>IFERROR(VLOOKUP($B93, duel!$AF:$AG, 2, FALSE), 0)</f>
        <v>18</v>
      </c>
      <c r="AD93" t="str">
        <f>IFERROR(VLOOKUP($B93, blitz!$AF:$AG, 2, FALSE), 0)</f>
        <v>18</v>
      </c>
      <c r="AE93" t="b">
        <f t="shared" si="33"/>
        <v>1</v>
      </c>
      <c r="AF93" t="str">
        <f>IFERROR(VLOOKUP($B93, aegis!$AK:$AL, 2, FALSE), 0)</f>
        <v>3</v>
      </c>
      <c r="AG93" t="str">
        <f>IFERROR(VLOOKUP($B93, duel!$AK:$AL, 2, FALSE), 0)</f>
        <v>1</v>
      </c>
      <c r="AH93" t="str">
        <f>IFERROR(VLOOKUP($B93, blitz!$AK:$AL, 2, FALSE), 0)</f>
        <v>1</v>
      </c>
      <c r="AI93" t="b">
        <f t="shared" si="34"/>
        <v>0</v>
      </c>
      <c r="AJ93" t="str">
        <f>IFERROR(VLOOKUP($B93, aegis!$AP:$AQ, 2, FALSE), 0)</f>
        <v>1</v>
      </c>
      <c r="AK93" t="str">
        <f>IFERROR(VLOOKUP($B93, duel!$AP:$AQ, 2, FALSE), 0)</f>
        <v>1</v>
      </c>
      <c r="AL93" t="str">
        <f>IFERROR(VLOOKUP($B93, blitz!$AP:$AQ, 2, FALSE), 0)</f>
        <v>1</v>
      </c>
      <c r="AM93" t="b">
        <f t="shared" si="35"/>
        <v>1</v>
      </c>
      <c r="AN93">
        <f>IFERROR(VLOOKUP($B93, aegis!$AU:$AV, 2, FALSE), 0)</f>
        <v>0</v>
      </c>
      <c r="AO93">
        <f>IFERROR(VLOOKUP($B93, duel!$AU:$AV, 2, FALSE), 0)</f>
        <v>0</v>
      </c>
      <c r="AP93">
        <f>IFERROR(VLOOKUP($B93, blitz!$AU:$AV, 2, FALSE), 0)</f>
        <v>0</v>
      </c>
      <c r="AQ93" t="b">
        <f t="shared" si="36"/>
        <v>1</v>
      </c>
      <c r="AR93" t="str">
        <f>IFERROR(VLOOKUP($B93, aegis!$AZ:$BA, 2, FALSE), 0)</f>
        <v>2</v>
      </c>
      <c r="AS93" t="str">
        <f>IFERROR(VLOOKUP($B93, duel!$AZ:$BA, 2, FALSE), 0)</f>
        <v>2</v>
      </c>
      <c r="AT93" t="str">
        <f>IFERROR(VLOOKUP($B93, blitz!$AZ:$BA, 2, FALSE), 0)</f>
        <v>2</v>
      </c>
      <c r="AU93" t="b">
        <f t="shared" si="37"/>
        <v>1</v>
      </c>
      <c r="AV93" t="str">
        <f>IFERROR(VLOOKUP($B93, aegis!$BE:$BF, 2, FALSE), 0)</f>
        <v>1</v>
      </c>
      <c r="AW93" t="str">
        <f>IFERROR(VLOOKUP($B93, duel!$BE:$BF, 2, FALSE), 0)</f>
        <v>1</v>
      </c>
      <c r="AX93" t="str">
        <f>IFERROR(VLOOKUP($B93, blitz!$BE:$BF, 2, FALSE), 0)</f>
        <v>1</v>
      </c>
      <c r="AY93" t="b">
        <f t="shared" si="38"/>
        <v>1</v>
      </c>
      <c r="AZ93" t="str">
        <f>IFERROR(VLOOKUP($B93, aegis!$BJ:$BK, 2, FALSE), 0)</f>
        <v>1</v>
      </c>
      <c r="BA93" t="str">
        <f>IFERROR(VLOOKUP($B93, duel!$BJ:$BK, 2, FALSE), 0)</f>
        <v>1</v>
      </c>
      <c r="BB93" t="str">
        <f>IFERROR(VLOOKUP($B93, blitz!$BJ:$BK, 2, FALSE), 0)</f>
        <v>1</v>
      </c>
      <c r="BC93" t="b">
        <f t="shared" si="39"/>
        <v>1</v>
      </c>
      <c r="BD93">
        <f>IFERROR(VLOOKUP($B93, aegis!$BO:$BP, 2, FALSE), 0)</f>
        <v>0</v>
      </c>
      <c r="BE93">
        <f>IFERROR(VLOOKUP($B93, duel!$BO:$BP, 2, FALSE), 0)</f>
        <v>0</v>
      </c>
      <c r="BF93">
        <f>IFERROR(VLOOKUP($B93, blitz!$BO:$BP, 2, FALSE), 0)</f>
        <v>0</v>
      </c>
      <c r="BG93" t="b">
        <f t="shared" si="40"/>
        <v>1</v>
      </c>
      <c r="BH93" t="str">
        <f>IFERROR(VLOOKUP($B93, aegis!$BT:$BU, 2, FALSE), 0)</f>
        <v>10</v>
      </c>
      <c r="BI93" t="str">
        <f>IFERROR(VLOOKUP($B93, duel!$BT:$BU, 2, FALSE), 0)</f>
        <v>10</v>
      </c>
      <c r="BJ93" t="str">
        <f>IFERROR(VLOOKUP($B93, blitz!$BT:$BU, 2, FALSE), 0)</f>
        <v>10</v>
      </c>
      <c r="BK93" t="b">
        <f t="shared" si="41"/>
        <v>1</v>
      </c>
      <c r="BL93" t="str">
        <f>IFERROR(VLOOKUP($B93, aegis!$BY:$BZ, 2, FALSE), 0)</f>
        <v>1</v>
      </c>
      <c r="BM93" t="str">
        <f>IFERROR(VLOOKUP($B93, duel!$BY:$BZ, 2, FALSE), 0)</f>
        <v>1</v>
      </c>
      <c r="BN93" t="str">
        <f>IFERROR(VLOOKUP($B93, blitz!$BY:$BZ, 2, FALSE), 0)</f>
        <v>1</v>
      </c>
      <c r="BO93" t="b">
        <f t="shared" si="42"/>
        <v>1</v>
      </c>
      <c r="BP93" t="str">
        <f>IFERROR(VLOOKUP($B93, aegis!$CD:$CE, 2, FALSE), 0)</f>
        <v>2</v>
      </c>
      <c r="BQ93" t="str">
        <f>IFERROR(VLOOKUP($B93, duel!$CD:$CE, 2, FALSE), 0)</f>
        <v>2</v>
      </c>
      <c r="BR93" t="str">
        <f>IFERROR(VLOOKUP($B93, blitz!$CD:$CE, 2, FALSE), 0)</f>
        <v>2</v>
      </c>
      <c r="BS93" t="b">
        <f t="shared" si="43"/>
        <v>1</v>
      </c>
      <c r="BT93" t="str">
        <f>IFERROR(VLOOKUP($B93, aegis!$CI:$CJ, 2, FALSE), 0)</f>
        <v>3</v>
      </c>
      <c r="BU93" t="str">
        <f>IFERROR(VLOOKUP($B93, duel!$CI:$CJ, 2, FALSE), 0)</f>
        <v>3</v>
      </c>
      <c r="BV93" t="str">
        <f>IFERROR(VLOOKUP($B93, blitz!$CI:$CJ, 2, FALSE), 0)</f>
        <v>3</v>
      </c>
      <c r="BW93" t="b">
        <f t="shared" si="44"/>
        <v>1</v>
      </c>
      <c r="BX93" t="str">
        <f>IFERROR(VLOOKUP($B93, aegis!$CN:$CO, 2, FALSE), 0)</f>
        <v>3</v>
      </c>
      <c r="BY93" t="str">
        <f>IFERROR(VLOOKUP($B93, duel!$CN:$CO, 2, FALSE), 0)</f>
        <v>3</v>
      </c>
      <c r="BZ93" t="str">
        <f>IFERROR(VLOOKUP($B93, blitz!$CN:$CO, 2, FALSE), 0)</f>
        <v>3</v>
      </c>
      <c r="CA93" t="b">
        <f t="shared" si="45"/>
        <v>1</v>
      </c>
      <c r="CB93" t="str">
        <f>IFERROR(VLOOKUP($B93, aegis!$CS:$CT, 2, FALSE), 0)</f>
        <v>14</v>
      </c>
      <c r="CC93" t="str">
        <f>IFERROR(VLOOKUP($B93, duel!$CS:$CT, 2, FALSE), 0)</f>
        <v>14</v>
      </c>
      <c r="CD93" t="str">
        <f>IFERROR(VLOOKUP($B93, blitz!$CS:$CT, 2, FALSE), 0)</f>
        <v>14</v>
      </c>
      <c r="CE93" t="b">
        <f t="shared" si="46"/>
        <v>1</v>
      </c>
      <c r="CF93" t="str">
        <f>IFERROR(VLOOKUP($B93, aegis!$CX:$CY, 2, FALSE), 0)</f>
        <v>1754</v>
      </c>
      <c r="CG93" t="str">
        <f>IFERROR(VLOOKUP($B93, duel!$CX:$CY, 2, FALSE), 0)</f>
        <v>1754</v>
      </c>
      <c r="CH93" t="str">
        <f>IFERROR(VLOOKUP($B93, blitz!$CX:$CY, 2, FALSE), 0)</f>
        <v>1151</v>
      </c>
      <c r="CI93" t="b">
        <f t="shared" si="47"/>
        <v>0</v>
      </c>
      <c r="CJ93" t="str">
        <f>IFERROR(VLOOKUP($B93, aegis!$DC:$DD, 2, FALSE), 0)</f>
        <v>1</v>
      </c>
      <c r="CK93" t="str">
        <f>IFERROR(VLOOKUP($B93, duel!$DC:$DD, 2, FALSE), 0)</f>
        <v>1</v>
      </c>
      <c r="CL93" t="str">
        <f>IFERROR(VLOOKUP($B93, blitz!$DC:$DD, 2, FALSE), 0)</f>
        <v>1</v>
      </c>
      <c r="CM93" t="b">
        <f t="shared" si="48"/>
        <v>1</v>
      </c>
      <c r="CN93" t="str">
        <f>IFERROR(VLOOKUP($B93, aegis!$DH:$DI, 2, FALSE), 0)</f>
        <v>1</v>
      </c>
      <c r="CO93" t="str">
        <f>IFERROR(VLOOKUP($B93, duel!$DH:$DI, 2, FALSE), 0)</f>
        <v>1</v>
      </c>
      <c r="CP93" s="13">
        <f>IFERROR(VLOOKUP($B93, blitz!$DH:$DI, 2, FALSE), 0)</f>
        <v>0</v>
      </c>
      <c r="CQ93" t="b">
        <f t="shared" si="49"/>
        <v>1</v>
      </c>
      <c r="CR93" t="str">
        <f>IFERROR(VLOOKUP($B93, aegis!$DM:$DN, 2, FALSE), 0)</f>
        <v>1</v>
      </c>
      <c r="CS93" t="str">
        <f>IFERROR(VLOOKUP($B93, duel!$DM:$DN, 2, FALSE), 0)</f>
        <v>1</v>
      </c>
      <c r="CT93" t="str">
        <f>IFERROR(VLOOKUP($B93, blitz!$DM:$DN, 2, FALSE), 0)</f>
        <v>1</v>
      </c>
      <c r="CU93" t="b">
        <f t="shared" si="50"/>
        <v>1</v>
      </c>
      <c r="CV93" t="str">
        <f>IFERROR(VLOOKUP($B93, aegis!$DR:$DS, 2, FALSE), 0)</f>
        <v>18</v>
      </c>
      <c r="CW93" t="str">
        <f>IFERROR(VLOOKUP($B93, duel!$DR:$DS, 2, FALSE), 0)</f>
        <v>18</v>
      </c>
      <c r="CX93" t="str">
        <f>IFERROR(VLOOKUP($B93, blitz!$DR:$DS, 2, FALSE), 0)</f>
        <v>18</v>
      </c>
      <c r="CY93" t="b">
        <f t="shared" si="51"/>
        <v>1</v>
      </c>
    </row>
    <row r="94" spans="1:103">
      <c r="A94" t="s">
        <v>1733</v>
      </c>
      <c r="B94" s="6" t="s">
        <v>174</v>
      </c>
      <c r="C94" s="5" t="b">
        <f t="shared" si="26"/>
        <v>0</v>
      </c>
      <c r="D94" t="str">
        <f>IFERROR(VLOOKUP($B94, aegis!$B:$C, 2, FALSE), 0)</f>
        <v>36</v>
      </c>
      <c r="E94" t="str">
        <f>IFERROR(VLOOKUP($B94, duel!$B:$C, 2, FALSE), 0)</f>
        <v>36</v>
      </c>
      <c r="F94" t="str">
        <f>IFERROR(VLOOKUP($B94, blitz!$B:$C, 2, FALSE), 0)</f>
        <v>36</v>
      </c>
      <c r="G94" t="b">
        <f t="shared" si="27"/>
        <v>1</v>
      </c>
      <c r="H94" t="str">
        <f>IFERROR(VLOOKUP($B94, aegis!$G:$H, 2, FALSE), 0)</f>
        <v>21</v>
      </c>
      <c r="I94" t="str">
        <f>IFERROR(VLOOKUP($B94, duel!$G:$H, 2, FALSE), 0)</f>
        <v>21</v>
      </c>
      <c r="J94" t="str">
        <f>IFERROR(VLOOKUP($B94, blitz!$G:$H, 2, FALSE), 0)</f>
        <v>21</v>
      </c>
      <c r="K94" t="b">
        <f t="shared" si="28"/>
        <v>1</v>
      </c>
      <c r="L94" t="str">
        <f>IFERROR(VLOOKUP($B94, aegis!$L:$M, 2, FALSE), 0)</f>
        <v>36</v>
      </c>
      <c r="M94" t="str">
        <f>IFERROR(VLOOKUP($B94, duel!$L:$M, 2, FALSE), 0)</f>
        <v>36</v>
      </c>
      <c r="N94" t="str">
        <f>IFERROR(VLOOKUP($B94, blitz!$L:$M, 2, FALSE), 0)</f>
        <v>36</v>
      </c>
      <c r="O94" t="b">
        <f t="shared" si="29"/>
        <v>1</v>
      </c>
      <c r="P94" t="str">
        <f>IFERROR(VLOOKUP($B94, aegis!$Q:$R, 2, FALSE), 0)</f>
        <v>21</v>
      </c>
      <c r="Q94" t="str">
        <f>IFERROR(VLOOKUP($B94, duel!$Q:$R, 2, FALSE), 0)</f>
        <v>21</v>
      </c>
      <c r="R94" t="str">
        <f>IFERROR(VLOOKUP($B94, blitz!$Q:$R, 2, FALSE), 0)</f>
        <v>21</v>
      </c>
      <c r="S94" t="b">
        <f t="shared" si="30"/>
        <v>1</v>
      </c>
      <c r="T94" t="str">
        <f>IFERROR(VLOOKUP($B94, aegis!$V:$W, 2, FALSE), 0)</f>
        <v>15</v>
      </c>
      <c r="U94" t="str">
        <f>IFERROR(VLOOKUP($B94, duel!$V:$W, 2, FALSE), 0)</f>
        <v>15</v>
      </c>
      <c r="V94" t="str">
        <f>IFERROR(VLOOKUP($B94, blitz!$V:$W, 2, FALSE), 0)</f>
        <v>15</v>
      </c>
      <c r="W94" t="b">
        <f t="shared" si="31"/>
        <v>1</v>
      </c>
      <c r="X94" t="str">
        <f>IFERROR(VLOOKUP($B94, aegis!$AA:$AB, 2, FALSE), 0)</f>
        <v>2</v>
      </c>
      <c r="Y94" t="str">
        <f>IFERROR(VLOOKUP($B94, duel!$AA:$AB, 2, FALSE), 0)</f>
        <v>2</v>
      </c>
      <c r="Z94" t="str">
        <f>IFERROR(VLOOKUP($B94, blitz!$AA:$AB, 2, FALSE), 0)</f>
        <v>2</v>
      </c>
      <c r="AA94" t="b">
        <f t="shared" si="32"/>
        <v>1</v>
      </c>
      <c r="AB94" t="str">
        <f>IFERROR(VLOOKUP($B94, aegis!$AF:$AG, 2, FALSE), 0)</f>
        <v>46</v>
      </c>
      <c r="AC94" t="str">
        <f>IFERROR(VLOOKUP($B94, duel!$AF:$AG, 2, FALSE), 0)</f>
        <v>46</v>
      </c>
      <c r="AD94" t="str">
        <f>IFERROR(VLOOKUP($B94, blitz!$AF:$AG, 2, FALSE), 0)</f>
        <v>46</v>
      </c>
      <c r="AE94" t="b">
        <f t="shared" si="33"/>
        <v>1</v>
      </c>
      <c r="AF94" t="str">
        <f>IFERROR(VLOOKUP($B94, aegis!$AK:$AL, 2, FALSE), 0)</f>
        <v>3</v>
      </c>
      <c r="AG94" t="str">
        <f>IFERROR(VLOOKUP($B94, duel!$AK:$AL, 2, FALSE), 0)</f>
        <v>1</v>
      </c>
      <c r="AH94" t="str">
        <f>IFERROR(VLOOKUP($B94, blitz!$AK:$AL, 2, FALSE), 0)</f>
        <v>1</v>
      </c>
      <c r="AI94" t="b">
        <f t="shared" si="34"/>
        <v>0</v>
      </c>
      <c r="AJ94" t="str">
        <f>IFERROR(VLOOKUP($B94, aegis!$AP:$AQ, 2, FALSE), 0)</f>
        <v>1</v>
      </c>
      <c r="AK94" t="str">
        <f>IFERROR(VLOOKUP($B94, duel!$AP:$AQ, 2, FALSE), 0)</f>
        <v>1</v>
      </c>
      <c r="AL94" t="str">
        <f>IFERROR(VLOOKUP($B94, blitz!$AP:$AQ, 2, FALSE), 0)</f>
        <v>1</v>
      </c>
      <c r="AM94" t="b">
        <f t="shared" si="35"/>
        <v>1</v>
      </c>
      <c r="AN94">
        <f>IFERROR(VLOOKUP($B94, aegis!$AU:$AV, 2, FALSE), 0)</f>
        <v>0</v>
      </c>
      <c r="AO94">
        <f>IFERROR(VLOOKUP($B94, duel!$AU:$AV, 2, FALSE), 0)</f>
        <v>0</v>
      </c>
      <c r="AP94">
        <f>IFERROR(VLOOKUP($B94, blitz!$AU:$AV, 2, FALSE), 0)</f>
        <v>0</v>
      </c>
      <c r="AQ94" t="b">
        <f t="shared" si="36"/>
        <v>1</v>
      </c>
      <c r="AR94" t="str">
        <f>IFERROR(VLOOKUP($B94, aegis!$AZ:$BA, 2, FALSE), 0)</f>
        <v>2</v>
      </c>
      <c r="AS94" t="str">
        <f>IFERROR(VLOOKUP($B94, duel!$AZ:$BA, 2, FALSE), 0)</f>
        <v>2</v>
      </c>
      <c r="AT94" t="str">
        <f>IFERROR(VLOOKUP($B94, blitz!$AZ:$BA, 2, FALSE), 0)</f>
        <v>2</v>
      </c>
      <c r="AU94" t="b">
        <f t="shared" si="37"/>
        <v>1</v>
      </c>
      <c r="AV94" t="str">
        <f>IFERROR(VLOOKUP($B94, aegis!$BE:$BF, 2, FALSE), 0)</f>
        <v>1</v>
      </c>
      <c r="AW94" t="str">
        <f>IFERROR(VLOOKUP($B94, duel!$BE:$BF, 2, FALSE), 0)</f>
        <v>1</v>
      </c>
      <c r="AX94" t="str">
        <f>IFERROR(VLOOKUP($B94, blitz!$BE:$BF, 2, FALSE), 0)</f>
        <v>1</v>
      </c>
      <c r="AY94" t="b">
        <f t="shared" si="38"/>
        <v>1</v>
      </c>
      <c r="AZ94" t="str">
        <f>IFERROR(VLOOKUP($B94, aegis!$BJ:$BK, 2, FALSE), 0)</f>
        <v>1</v>
      </c>
      <c r="BA94" t="str">
        <f>IFERROR(VLOOKUP($B94, duel!$BJ:$BK, 2, FALSE), 0)</f>
        <v>1</v>
      </c>
      <c r="BB94" t="str">
        <f>IFERROR(VLOOKUP($B94, blitz!$BJ:$BK, 2, FALSE), 0)</f>
        <v>1</v>
      </c>
      <c r="BC94" t="b">
        <f t="shared" si="39"/>
        <v>1</v>
      </c>
      <c r="BD94">
        <f>IFERROR(VLOOKUP($B94, aegis!$BO:$BP, 2, FALSE), 0)</f>
        <v>0</v>
      </c>
      <c r="BE94">
        <f>IFERROR(VLOOKUP($B94, duel!$BO:$BP, 2, FALSE), 0)</f>
        <v>0</v>
      </c>
      <c r="BF94">
        <f>IFERROR(VLOOKUP($B94, blitz!$BO:$BP, 2, FALSE), 0)</f>
        <v>0</v>
      </c>
      <c r="BG94" t="b">
        <f t="shared" si="40"/>
        <v>1</v>
      </c>
      <c r="BH94" t="str">
        <f>IFERROR(VLOOKUP($B94, aegis!$BT:$BU, 2, FALSE), 0)</f>
        <v>13</v>
      </c>
      <c r="BI94" t="str">
        <f>IFERROR(VLOOKUP($B94, duel!$BT:$BU, 2, FALSE), 0)</f>
        <v>13</v>
      </c>
      <c r="BJ94" t="str">
        <f>IFERROR(VLOOKUP($B94, blitz!$BT:$BU, 2, FALSE), 0)</f>
        <v>13</v>
      </c>
      <c r="BK94" t="b">
        <f t="shared" si="41"/>
        <v>1</v>
      </c>
      <c r="BL94" t="str">
        <f>IFERROR(VLOOKUP($B94, aegis!$BY:$BZ, 2, FALSE), 0)</f>
        <v>1</v>
      </c>
      <c r="BM94" t="str">
        <f>IFERROR(VLOOKUP($B94, duel!$BY:$BZ, 2, FALSE), 0)</f>
        <v>1</v>
      </c>
      <c r="BN94" t="str">
        <f>IFERROR(VLOOKUP($B94, blitz!$BY:$BZ, 2, FALSE), 0)</f>
        <v>1</v>
      </c>
      <c r="BO94" t="b">
        <f t="shared" si="42"/>
        <v>1</v>
      </c>
      <c r="BP94" t="str">
        <f>IFERROR(VLOOKUP($B94, aegis!$CD:$CE, 2, FALSE), 0)</f>
        <v>2</v>
      </c>
      <c r="BQ94" t="str">
        <f>IFERROR(VLOOKUP($B94, duel!$CD:$CE, 2, FALSE), 0)</f>
        <v>2</v>
      </c>
      <c r="BR94" t="str">
        <f>IFERROR(VLOOKUP($B94, blitz!$CD:$CE, 2, FALSE), 0)</f>
        <v>2</v>
      </c>
      <c r="BS94" t="b">
        <f t="shared" si="43"/>
        <v>1</v>
      </c>
      <c r="BT94">
        <f>IFERROR(VLOOKUP($B94, aegis!$CI:$CJ, 2, FALSE), 0)</f>
        <v>0</v>
      </c>
      <c r="BU94">
        <f>IFERROR(VLOOKUP($B94, duel!$CI:$CJ, 2, FALSE), 0)</f>
        <v>0</v>
      </c>
      <c r="BV94">
        <f>IFERROR(VLOOKUP($B94, blitz!$CI:$CJ, 2, FALSE), 0)</f>
        <v>0</v>
      </c>
      <c r="BW94" t="b">
        <f t="shared" si="44"/>
        <v>1</v>
      </c>
      <c r="BX94">
        <f>IFERROR(VLOOKUP($B94, aegis!$CN:$CO, 2, FALSE), 0)</f>
        <v>0</v>
      </c>
      <c r="BY94">
        <f>IFERROR(VLOOKUP($B94, duel!$CN:$CO, 2, FALSE), 0)</f>
        <v>0</v>
      </c>
      <c r="BZ94">
        <f>IFERROR(VLOOKUP($B94, blitz!$CN:$CO, 2, FALSE), 0)</f>
        <v>0</v>
      </c>
      <c r="CA94" t="b">
        <f t="shared" si="45"/>
        <v>1</v>
      </c>
      <c r="CB94">
        <f>IFERROR(VLOOKUP($B94, aegis!$CS:$CT, 2, FALSE), 0)</f>
        <v>0</v>
      </c>
      <c r="CC94">
        <f>IFERROR(VLOOKUP($B94, duel!$CS:$CT, 2, FALSE), 0)</f>
        <v>0</v>
      </c>
      <c r="CD94">
        <f>IFERROR(VLOOKUP($B94, blitz!$CS:$CT, 2, FALSE), 0)</f>
        <v>0</v>
      </c>
      <c r="CE94" t="b">
        <f t="shared" si="46"/>
        <v>1</v>
      </c>
      <c r="CF94" t="str">
        <f>IFERROR(VLOOKUP($B94, aegis!$CX:$CY, 2, FALSE), 0)</f>
        <v>3177</v>
      </c>
      <c r="CG94" t="str">
        <f>IFERROR(VLOOKUP($B94, duel!$CX:$CY, 2, FALSE), 0)</f>
        <v>3174</v>
      </c>
      <c r="CH94" t="str">
        <f>IFERROR(VLOOKUP($B94, blitz!$CX:$CY, 2, FALSE), 0)</f>
        <v>2142</v>
      </c>
      <c r="CI94" t="b">
        <f t="shared" si="47"/>
        <v>0</v>
      </c>
      <c r="CJ94" t="str">
        <f>IFERROR(VLOOKUP($B94, aegis!$DC:$DD, 2, FALSE), 0)</f>
        <v>1</v>
      </c>
      <c r="CK94" t="str">
        <f>IFERROR(VLOOKUP($B94, duel!$DC:$DD, 2, FALSE), 0)</f>
        <v>1</v>
      </c>
      <c r="CL94" t="str">
        <f>IFERROR(VLOOKUP($B94, blitz!$DC:$DD, 2, FALSE), 0)</f>
        <v>1</v>
      </c>
      <c r="CM94" t="b">
        <f t="shared" si="48"/>
        <v>1</v>
      </c>
      <c r="CN94" t="str">
        <f>IFERROR(VLOOKUP($B94, aegis!$DH:$DI, 2, FALSE), 0)</f>
        <v>1</v>
      </c>
      <c r="CO94" t="str">
        <f>IFERROR(VLOOKUP($B94, duel!$DH:$DI, 2, FALSE), 0)</f>
        <v>1</v>
      </c>
      <c r="CP94" s="13">
        <f>IFERROR(VLOOKUP($B94, blitz!$DH:$DI, 2, FALSE), 0)</f>
        <v>0</v>
      </c>
      <c r="CQ94" t="b">
        <f t="shared" si="49"/>
        <v>1</v>
      </c>
      <c r="CR94" t="str">
        <f>IFERROR(VLOOKUP($B94, aegis!$DM:$DN, 2, FALSE), 0)</f>
        <v>1</v>
      </c>
      <c r="CS94" t="str">
        <f>IFERROR(VLOOKUP($B94, duel!$DM:$DN, 2, FALSE), 0)</f>
        <v>1</v>
      </c>
      <c r="CT94" t="str">
        <f>IFERROR(VLOOKUP($B94, blitz!$DM:$DN, 2, FALSE), 0)</f>
        <v>1</v>
      </c>
      <c r="CU94" t="b">
        <f t="shared" si="50"/>
        <v>1</v>
      </c>
      <c r="CV94" t="str">
        <f>IFERROR(VLOOKUP($B94, aegis!$DR:$DS, 2, FALSE), 0)</f>
        <v>44</v>
      </c>
      <c r="CW94" t="str">
        <f>IFERROR(VLOOKUP($B94, duel!$DR:$DS, 2, FALSE), 0)</f>
        <v>44</v>
      </c>
      <c r="CX94" t="str">
        <f>IFERROR(VLOOKUP($B94, blitz!$DR:$DS, 2, FALSE), 0)</f>
        <v>44</v>
      </c>
      <c r="CY94" t="b">
        <f t="shared" si="51"/>
        <v>1</v>
      </c>
    </row>
    <row r="95" spans="1:103">
      <c r="A95" t="s">
        <v>1733</v>
      </c>
      <c r="B95" s="6" t="s">
        <v>176</v>
      </c>
      <c r="C95" s="5" t="b">
        <f t="shared" si="26"/>
        <v>0</v>
      </c>
      <c r="D95" t="str">
        <f>IFERROR(VLOOKUP($B95, aegis!$B:$C, 2, FALSE), 0)</f>
        <v>36</v>
      </c>
      <c r="E95" t="str">
        <f>IFERROR(VLOOKUP($B95, duel!$B:$C, 2, FALSE), 0)</f>
        <v>36</v>
      </c>
      <c r="F95" t="str">
        <f>IFERROR(VLOOKUP($B95, blitz!$B:$C, 2, FALSE), 0)</f>
        <v>36</v>
      </c>
      <c r="G95" t="b">
        <f t="shared" si="27"/>
        <v>1</v>
      </c>
      <c r="H95" t="str">
        <f>IFERROR(VLOOKUP($B95, aegis!$G:$H, 2, FALSE), 0)</f>
        <v>21</v>
      </c>
      <c r="I95" t="str">
        <f>IFERROR(VLOOKUP($B95, duel!$G:$H, 2, FALSE), 0)</f>
        <v>21</v>
      </c>
      <c r="J95" t="str">
        <f>IFERROR(VLOOKUP($B95, blitz!$G:$H, 2, FALSE), 0)</f>
        <v>21</v>
      </c>
      <c r="K95" t="b">
        <f t="shared" si="28"/>
        <v>1</v>
      </c>
      <c r="L95" t="str">
        <f>IFERROR(VLOOKUP($B95, aegis!$L:$M, 2, FALSE), 0)</f>
        <v>36</v>
      </c>
      <c r="M95" t="str">
        <f>IFERROR(VLOOKUP($B95, duel!$L:$M, 2, FALSE), 0)</f>
        <v>36</v>
      </c>
      <c r="N95" t="str">
        <f>IFERROR(VLOOKUP($B95, blitz!$L:$M, 2, FALSE), 0)</f>
        <v>36</v>
      </c>
      <c r="O95" t="b">
        <f t="shared" si="29"/>
        <v>1</v>
      </c>
      <c r="P95" t="str">
        <f>IFERROR(VLOOKUP($B95, aegis!$Q:$R, 2, FALSE), 0)</f>
        <v>21</v>
      </c>
      <c r="Q95" t="str">
        <f>IFERROR(VLOOKUP($B95, duel!$Q:$R, 2, FALSE), 0)</f>
        <v>21</v>
      </c>
      <c r="R95" t="str">
        <f>IFERROR(VLOOKUP($B95, blitz!$Q:$R, 2, FALSE), 0)</f>
        <v>21</v>
      </c>
      <c r="S95" t="b">
        <f t="shared" si="30"/>
        <v>1</v>
      </c>
      <c r="T95">
        <f>IFERROR(VLOOKUP($B95, aegis!$V:$W, 2, FALSE), 0)</f>
        <v>0</v>
      </c>
      <c r="U95">
        <f>IFERROR(VLOOKUP($B95, duel!$V:$W, 2, FALSE), 0)</f>
        <v>0</v>
      </c>
      <c r="V95">
        <f>IFERROR(VLOOKUP($B95, blitz!$V:$W, 2, FALSE), 0)</f>
        <v>0</v>
      </c>
      <c r="W95" t="b">
        <f t="shared" si="31"/>
        <v>1</v>
      </c>
      <c r="X95" t="str">
        <f>IFERROR(VLOOKUP($B95, aegis!$AA:$AB, 2, FALSE), 0)</f>
        <v>3</v>
      </c>
      <c r="Y95" t="str">
        <f>IFERROR(VLOOKUP($B95, duel!$AA:$AB, 2, FALSE), 0)</f>
        <v>3</v>
      </c>
      <c r="Z95" t="str">
        <f>IFERROR(VLOOKUP($B95, blitz!$AA:$AB, 2, FALSE), 0)</f>
        <v>3</v>
      </c>
      <c r="AA95" t="b">
        <f t="shared" si="32"/>
        <v>1</v>
      </c>
      <c r="AB95" t="str">
        <f>IFERROR(VLOOKUP($B95, aegis!$AF:$AG, 2, FALSE), 0)</f>
        <v>16</v>
      </c>
      <c r="AC95" t="str">
        <f>IFERROR(VLOOKUP($B95, duel!$AF:$AG, 2, FALSE), 0)</f>
        <v>16</v>
      </c>
      <c r="AD95" t="str">
        <f>IFERROR(VLOOKUP($B95, blitz!$AF:$AG, 2, FALSE), 0)</f>
        <v>16</v>
      </c>
      <c r="AE95" t="b">
        <f t="shared" si="33"/>
        <v>1</v>
      </c>
      <c r="AF95" t="str">
        <f>IFERROR(VLOOKUP($B95, aegis!$AK:$AL, 2, FALSE), 0)</f>
        <v>4</v>
      </c>
      <c r="AG95" t="str">
        <f>IFERROR(VLOOKUP($B95, duel!$AK:$AL, 2, FALSE), 0)</f>
        <v>1</v>
      </c>
      <c r="AH95" t="str">
        <f>IFERROR(VLOOKUP($B95, blitz!$AK:$AL, 2, FALSE), 0)</f>
        <v>1</v>
      </c>
      <c r="AI95" t="b">
        <f t="shared" si="34"/>
        <v>0</v>
      </c>
      <c r="AJ95" t="str">
        <f>IFERROR(VLOOKUP($B95, aegis!$AP:$AQ, 2, FALSE), 0)</f>
        <v>2</v>
      </c>
      <c r="AK95" t="str">
        <f>IFERROR(VLOOKUP($B95, duel!$AP:$AQ, 2, FALSE), 0)</f>
        <v>2</v>
      </c>
      <c r="AL95" t="str">
        <f>IFERROR(VLOOKUP($B95, blitz!$AP:$AQ, 2, FALSE), 0)</f>
        <v>2</v>
      </c>
      <c r="AM95" t="b">
        <f t="shared" si="35"/>
        <v>1</v>
      </c>
      <c r="AN95">
        <f>IFERROR(VLOOKUP($B95, aegis!$AU:$AV, 2, FALSE), 0)</f>
        <v>0</v>
      </c>
      <c r="AO95">
        <f>IFERROR(VLOOKUP($B95, duel!$AU:$AV, 2, FALSE), 0)</f>
        <v>0</v>
      </c>
      <c r="AP95">
        <f>IFERROR(VLOOKUP($B95, blitz!$AU:$AV, 2, FALSE), 0)</f>
        <v>0</v>
      </c>
      <c r="AQ95" t="b">
        <f t="shared" si="36"/>
        <v>1</v>
      </c>
      <c r="AR95" t="str">
        <f>IFERROR(VLOOKUP($B95, aegis!$AZ:$BA, 2, FALSE), 0)</f>
        <v>3</v>
      </c>
      <c r="AS95" t="str">
        <f>IFERROR(VLOOKUP($B95, duel!$AZ:$BA, 2, FALSE), 0)</f>
        <v>3</v>
      </c>
      <c r="AT95" t="str">
        <f>IFERROR(VLOOKUP($B95, blitz!$AZ:$BA, 2, FALSE), 0)</f>
        <v>3</v>
      </c>
      <c r="AU95" t="b">
        <f t="shared" si="37"/>
        <v>1</v>
      </c>
      <c r="AV95" t="str">
        <f>IFERROR(VLOOKUP($B95, aegis!$BE:$BF, 2, FALSE), 0)</f>
        <v>2</v>
      </c>
      <c r="AW95" t="str">
        <f>IFERROR(VLOOKUP($B95, duel!$BE:$BF, 2, FALSE), 0)</f>
        <v>2</v>
      </c>
      <c r="AX95" t="str">
        <f>IFERROR(VLOOKUP($B95, blitz!$BE:$BF, 2, FALSE), 0)</f>
        <v>2</v>
      </c>
      <c r="AY95" t="b">
        <f t="shared" si="38"/>
        <v>1</v>
      </c>
      <c r="AZ95" t="str">
        <f>IFERROR(VLOOKUP($B95, aegis!$BJ:$BK, 2, FALSE), 0)</f>
        <v>1</v>
      </c>
      <c r="BA95" t="str">
        <f>IFERROR(VLOOKUP($B95, duel!$BJ:$BK, 2, FALSE), 0)</f>
        <v>1</v>
      </c>
      <c r="BB95" t="str">
        <f>IFERROR(VLOOKUP($B95, blitz!$BJ:$BK, 2, FALSE), 0)</f>
        <v>1</v>
      </c>
      <c r="BC95" t="b">
        <f t="shared" si="39"/>
        <v>1</v>
      </c>
      <c r="BD95">
        <f>IFERROR(VLOOKUP($B95, aegis!$BO:$BP, 2, FALSE), 0)</f>
        <v>0</v>
      </c>
      <c r="BE95">
        <f>IFERROR(VLOOKUP($B95, duel!$BO:$BP, 2, FALSE), 0)</f>
        <v>0</v>
      </c>
      <c r="BF95">
        <f>IFERROR(VLOOKUP($B95, blitz!$BO:$BP, 2, FALSE), 0)</f>
        <v>0</v>
      </c>
      <c r="BG95" t="b">
        <f t="shared" si="40"/>
        <v>1</v>
      </c>
      <c r="BH95" t="str">
        <f>IFERROR(VLOOKUP($B95, aegis!$BT:$BU, 2, FALSE), 0)</f>
        <v>8</v>
      </c>
      <c r="BI95" t="str">
        <f>IFERROR(VLOOKUP($B95, duel!$BT:$BU, 2, FALSE), 0)</f>
        <v>8</v>
      </c>
      <c r="BJ95" t="str">
        <f>IFERROR(VLOOKUP($B95, blitz!$BT:$BU, 2, FALSE), 0)</f>
        <v>8</v>
      </c>
      <c r="BK95" t="b">
        <f t="shared" si="41"/>
        <v>1</v>
      </c>
      <c r="BL95" t="str">
        <f>IFERROR(VLOOKUP($B95, aegis!$BY:$BZ, 2, FALSE), 0)</f>
        <v>2</v>
      </c>
      <c r="BM95" t="str">
        <f>IFERROR(VLOOKUP($B95, duel!$BY:$BZ, 2, FALSE), 0)</f>
        <v>2</v>
      </c>
      <c r="BN95" t="str">
        <f>IFERROR(VLOOKUP($B95, blitz!$BY:$BZ, 2, FALSE), 0)</f>
        <v>2</v>
      </c>
      <c r="BO95" t="b">
        <f t="shared" si="42"/>
        <v>1</v>
      </c>
      <c r="BP95" t="str">
        <f>IFERROR(VLOOKUP($B95, aegis!$CD:$CE, 2, FALSE), 0)</f>
        <v>4</v>
      </c>
      <c r="BQ95" t="str">
        <f>IFERROR(VLOOKUP($B95, duel!$CD:$CE, 2, FALSE), 0)</f>
        <v>4</v>
      </c>
      <c r="BR95" t="str">
        <f>IFERROR(VLOOKUP($B95, blitz!$CD:$CE, 2, FALSE), 0)</f>
        <v>4</v>
      </c>
      <c r="BS95" t="b">
        <f t="shared" si="43"/>
        <v>1</v>
      </c>
      <c r="BT95" t="str">
        <f>IFERROR(VLOOKUP($B95, aegis!$CI:$CJ, 2, FALSE), 0)</f>
        <v>1</v>
      </c>
      <c r="BU95" t="str">
        <f>IFERROR(VLOOKUP($B95, duel!$CI:$CJ, 2, FALSE), 0)</f>
        <v>1</v>
      </c>
      <c r="BV95" t="str">
        <f>IFERROR(VLOOKUP($B95, blitz!$CI:$CJ, 2, FALSE), 0)</f>
        <v>1</v>
      </c>
      <c r="BW95" t="b">
        <f t="shared" si="44"/>
        <v>1</v>
      </c>
      <c r="BX95" t="str">
        <f>IFERROR(VLOOKUP($B95, aegis!$CN:$CO, 2, FALSE), 0)</f>
        <v>1</v>
      </c>
      <c r="BY95" t="str">
        <f>IFERROR(VLOOKUP($B95, duel!$CN:$CO, 2, FALSE), 0)</f>
        <v>1</v>
      </c>
      <c r="BZ95" t="str">
        <f>IFERROR(VLOOKUP($B95, blitz!$CN:$CO, 2, FALSE), 0)</f>
        <v>1</v>
      </c>
      <c r="CA95" t="b">
        <f t="shared" si="45"/>
        <v>1</v>
      </c>
      <c r="CB95" t="str">
        <f>IFERROR(VLOOKUP($B95, aegis!$CS:$CT, 2, FALSE), 0)</f>
        <v>4</v>
      </c>
      <c r="CC95" t="str">
        <f>IFERROR(VLOOKUP($B95, duel!$CS:$CT, 2, FALSE), 0)</f>
        <v>4</v>
      </c>
      <c r="CD95" t="str">
        <f>IFERROR(VLOOKUP($B95, blitz!$CS:$CT, 2, FALSE), 0)</f>
        <v>4</v>
      </c>
      <c r="CE95" t="b">
        <f t="shared" si="46"/>
        <v>1</v>
      </c>
      <c r="CF95" t="str">
        <f>IFERROR(VLOOKUP($B95, aegis!$CX:$CY, 2, FALSE), 0)</f>
        <v>1738</v>
      </c>
      <c r="CG95" t="str">
        <f>IFERROR(VLOOKUP($B95, duel!$CX:$CY, 2, FALSE), 0)</f>
        <v>1738</v>
      </c>
      <c r="CH95" t="str">
        <f>IFERROR(VLOOKUP($B95, blitz!$CX:$CY, 2, FALSE), 0)</f>
        <v>1302</v>
      </c>
      <c r="CI95" t="b">
        <f t="shared" si="47"/>
        <v>0</v>
      </c>
      <c r="CJ95" t="str">
        <f>IFERROR(VLOOKUP($B95, aegis!$DC:$DD, 2, FALSE), 0)</f>
        <v>1</v>
      </c>
      <c r="CK95" t="str">
        <f>IFERROR(VLOOKUP($B95, duel!$DC:$DD, 2, FALSE), 0)</f>
        <v>1</v>
      </c>
      <c r="CL95" t="str">
        <f>IFERROR(VLOOKUP($B95, blitz!$DC:$DD, 2, FALSE), 0)</f>
        <v>1</v>
      </c>
      <c r="CM95" t="b">
        <f t="shared" si="48"/>
        <v>1</v>
      </c>
      <c r="CN95" t="str">
        <f>IFERROR(VLOOKUP($B95, aegis!$DH:$DI, 2, FALSE), 0)</f>
        <v>2</v>
      </c>
      <c r="CO95" t="str">
        <f>IFERROR(VLOOKUP($B95, duel!$DH:$DI, 2, FALSE), 0)</f>
        <v>1</v>
      </c>
      <c r="CP95" s="13">
        <f>IFERROR(VLOOKUP($B95, blitz!$DH:$DI, 2, FALSE), 0)</f>
        <v>0</v>
      </c>
      <c r="CQ95" t="b">
        <f t="shared" si="49"/>
        <v>0</v>
      </c>
      <c r="CR95" t="str">
        <f>IFERROR(VLOOKUP($B95, aegis!$DM:$DN, 2, FALSE), 0)</f>
        <v>2</v>
      </c>
      <c r="CS95" t="str">
        <f>IFERROR(VLOOKUP($B95, duel!$DM:$DN, 2, FALSE), 0)</f>
        <v>1</v>
      </c>
      <c r="CT95" t="str">
        <f>IFERROR(VLOOKUP($B95, blitz!$DM:$DN, 2, FALSE), 0)</f>
        <v>2</v>
      </c>
      <c r="CU95" t="b">
        <f t="shared" si="50"/>
        <v>0</v>
      </c>
      <c r="CV95" t="str">
        <f>IFERROR(VLOOKUP($B95, aegis!$DR:$DS, 2, FALSE), 0)</f>
        <v>14</v>
      </c>
      <c r="CW95" t="str">
        <f>IFERROR(VLOOKUP($B95, duel!$DR:$DS, 2, FALSE), 0)</f>
        <v>14</v>
      </c>
      <c r="CX95" t="str">
        <f>IFERROR(VLOOKUP($B95, blitz!$DR:$DS, 2, FALSE), 0)</f>
        <v>14</v>
      </c>
      <c r="CY95" t="b">
        <f t="shared" si="51"/>
        <v>1</v>
      </c>
    </row>
    <row r="96" spans="1:103">
      <c r="A96" t="s">
        <v>1733</v>
      </c>
      <c r="B96" s="6" t="s">
        <v>178</v>
      </c>
      <c r="C96" s="5" t="b">
        <f t="shared" si="26"/>
        <v>0</v>
      </c>
      <c r="D96" t="str">
        <f>IFERROR(VLOOKUP($B96, aegis!$B:$C, 2, FALSE), 0)</f>
        <v>24</v>
      </c>
      <c r="E96" t="str">
        <f>IFERROR(VLOOKUP($B96, duel!$B:$C, 2, FALSE), 0)</f>
        <v>24</v>
      </c>
      <c r="F96" t="str">
        <f>IFERROR(VLOOKUP($B96, blitz!$B:$C, 2, FALSE), 0)</f>
        <v>24</v>
      </c>
      <c r="G96" t="b">
        <f t="shared" si="27"/>
        <v>1</v>
      </c>
      <c r="H96" t="str">
        <f>IFERROR(VLOOKUP($B96, aegis!$G:$H, 2, FALSE), 0)</f>
        <v>14</v>
      </c>
      <c r="I96" t="str">
        <f>IFERROR(VLOOKUP($B96, duel!$G:$H, 2, FALSE), 0)</f>
        <v>14</v>
      </c>
      <c r="J96" t="str">
        <f>IFERROR(VLOOKUP($B96, blitz!$G:$H, 2, FALSE), 0)</f>
        <v>14</v>
      </c>
      <c r="K96" t="b">
        <f t="shared" si="28"/>
        <v>1</v>
      </c>
      <c r="L96" t="str">
        <f>IFERROR(VLOOKUP($B96, aegis!$L:$M, 2, FALSE), 0)</f>
        <v>24</v>
      </c>
      <c r="M96" t="str">
        <f>IFERROR(VLOOKUP($B96, duel!$L:$M, 2, FALSE), 0)</f>
        <v>24</v>
      </c>
      <c r="N96" t="str">
        <f>IFERROR(VLOOKUP($B96, blitz!$L:$M, 2, FALSE), 0)</f>
        <v>24</v>
      </c>
      <c r="O96" t="b">
        <f t="shared" si="29"/>
        <v>1</v>
      </c>
      <c r="P96" t="str">
        <f>IFERROR(VLOOKUP($B96, aegis!$Q:$R, 2, FALSE), 0)</f>
        <v>14</v>
      </c>
      <c r="Q96" t="str">
        <f>IFERROR(VLOOKUP($B96, duel!$Q:$R, 2, FALSE), 0)</f>
        <v>14</v>
      </c>
      <c r="R96" t="str">
        <f>IFERROR(VLOOKUP($B96, blitz!$Q:$R, 2, FALSE), 0)</f>
        <v>14</v>
      </c>
      <c r="S96" t="b">
        <f t="shared" si="30"/>
        <v>1</v>
      </c>
      <c r="T96">
        <f>IFERROR(VLOOKUP($B96, aegis!$V:$W, 2, FALSE), 0)</f>
        <v>0</v>
      </c>
      <c r="U96">
        <f>IFERROR(VLOOKUP($B96, duel!$V:$W, 2, FALSE), 0)</f>
        <v>0</v>
      </c>
      <c r="V96">
        <f>IFERROR(VLOOKUP($B96, blitz!$V:$W, 2, FALSE), 0)</f>
        <v>0</v>
      </c>
      <c r="W96" t="b">
        <f t="shared" si="31"/>
        <v>1</v>
      </c>
      <c r="X96" t="str">
        <f>IFERROR(VLOOKUP($B96, aegis!$AA:$AB, 2, FALSE), 0)</f>
        <v>2</v>
      </c>
      <c r="Y96" t="str">
        <f>IFERROR(VLOOKUP($B96, duel!$AA:$AB, 2, FALSE), 0)</f>
        <v>2</v>
      </c>
      <c r="Z96" t="str">
        <f>IFERROR(VLOOKUP($B96, blitz!$AA:$AB, 2, FALSE), 0)</f>
        <v>2</v>
      </c>
      <c r="AA96" t="b">
        <f t="shared" si="32"/>
        <v>1</v>
      </c>
      <c r="AB96" t="str">
        <f>IFERROR(VLOOKUP($B96, aegis!$AF:$AG, 2, FALSE), 0)</f>
        <v>9</v>
      </c>
      <c r="AC96" t="str">
        <f>IFERROR(VLOOKUP($B96, duel!$AF:$AG, 2, FALSE), 0)</f>
        <v>9</v>
      </c>
      <c r="AD96" t="str">
        <f>IFERROR(VLOOKUP($B96, blitz!$AF:$AG, 2, FALSE), 0)</f>
        <v>9</v>
      </c>
      <c r="AE96" t="b">
        <f t="shared" si="33"/>
        <v>1</v>
      </c>
      <c r="AF96" t="str">
        <f>IFERROR(VLOOKUP($B96, aegis!$AK:$AL, 2, FALSE), 0)</f>
        <v>3</v>
      </c>
      <c r="AG96" t="str">
        <f>IFERROR(VLOOKUP($B96, duel!$AK:$AL, 2, FALSE), 0)</f>
        <v>1</v>
      </c>
      <c r="AH96" t="str">
        <f>IFERROR(VLOOKUP($B96, blitz!$AK:$AL, 2, FALSE), 0)</f>
        <v>1</v>
      </c>
      <c r="AI96" t="b">
        <f t="shared" si="34"/>
        <v>0</v>
      </c>
      <c r="AJ96" t="str">
        <f>IFERROR(VLOOKUP($B96, aegis!$AP:$AQ, 2, FALSE), 0)</f>
        <v>1</v>
      </c>
      <c r="AK96" t="str">
        <f>IFERROR(VLOOKUP($B96, duel!$AP:$AQ, 2, FALSE), 0)</f>
        <v>1</v>
      </c>
      <c r="AL96" t="str">
        <f>IFERROR(VLOOKUP($B96, blitz!$AP:$AQ, 2, FALSE), 0)</f>
        <v>1</v>
      </c>
      <c r="AM96" t="b">
        <f t="shared" si="35"/>
        <v>1</v>
      </c>
      <c r="AN96">
        <f>IFERROR(VLOOKUP($B96, aegis!$AU:$AV, 2, FALSE), 0)</f>
        <v>0</v>
      </c>
      <c r="AO96">
        <f>IFERROR(VLOOKUP($B96, duel!$AU:$AV, 2, FALSE), 0)</f>
        <v>0</v>
      </c>
      <c r="AP96">
        <f>IFERROR(VLOOKUP($B96, blitz!$AU:$AV, 2, FALSE), 0)</f>
        <v>0</v>
      </c>
      <c r="AQ96" t="b">
        <f t="shared" si="36"/>
        <v>1</v>
      </c>
      <c r="AR96" t="str">
        <f>IFERROR(VLOOKUP($B96, aegis!$AZ:$BA, 2, FALSE), 0)</f>
        <v>2</v>
      </c>
      <c r="AS96" t="str">
        <f>IFERROR(VLOOKUP($B96, duel!$AZ:$BA, 2, FALSE), 0)</f>
        <v>2</v>
      </c>
      <c r="AT96" t="str">
        <f>IFERROR(VLOOKUP($B96, blitz!$AZ:$BA, 2, FALSE), 0)</f>
        <v>2</v>
      </c>
      <c r="AU96" t="b">
        <f t="shared" si="37"/>
        <v>1</v>
      </c>
      <c r="AV96" t="str">
        <f>IFERROR(VLOOKUP($B96, aegis!$BE:$BF, 2, FALSE), 0)</f>
        <v>1</v>
      </c>
      <c r="AW96" t="str">
        <f>IFERROR(VLOOKUP($B96, duel!$BE:$BF, 2, FALSE), 0)</f>
        <v>1</v>
      </c>
      <c r="AX96" t="str">
        <f>IFERROR(VLOOKUP($B96, blitz!$BE:$BF, 2, FALSE), 0)</f>
        <v>1</v>
      </c>
      <c r="AY96" t="b">
        <f t="shared" si="38"/>
        <v>1</v>
      </c>
      <c r="AZ96" t="str">
        <f>IFERROR(VLOOKUP($B96, aegis!$BJ:$BK, 2, FALSE), 0)</f>
        <v>1</v>
      </c>
      <c r="BA96" t="str">
        <f>IFERROR(VLOOKUP($B96, duel!$BJ:$BK, 2, FALSE), 0)</f>
        <v>1</v>
      </c>
      <c r="BB96" t="str">
        <f>IFERROR(VLOOKUP($B96, blitz!$BJ:$BK, 2, FALSE), 0)</f>
        <v>1</v>
      </c>
      <c r="BC96" t="b">
        <f t="shared" si="39"/>
        <v>1</v>
      </c>
      <c r="BD96">
        <f>IFERROR(VLOOKUP($B96, aegis!$BO:$BP, 2, FALSE), 0)</f>
        <v>0</v>
      </c>
      <c r="BE96">
        <f>IFERROR(VLOOKUP($B96, duel!$BO:$BP, 2, FALSE), 0)</f>
        <v>0</v>
      </c>
      <c r="BF96">
        <f>IFERROR(VLOOKUP($B96, blitz!$BO:$BP, 2, FALSE), 0)</f>
        <v>0</v>
      </c>
      <c r="BG96" t="b">
        <f t="shared" si="40"/>
        <v>1</v>
      </c>
      <c r="BH96" t="str">
        <f>IFERROR(VLOOKUP($B96, aegis!$BT:$BU, 2, FALSE), 0)</f>
        <v>4</v>
      </c>
      <c r="BI96" t="str">
        <f>IFERROR(VLOOKUP($B96, duel!$BT:$BU, 2, FALSE), 0)</f>
        <v>4</v>
      </c>
      <c r="BJ96" t="str">
        <f>IFERROR(VLOOKUP($B96, blitz!$BT:$BU, 2, FALSE), 0)</f>
        <v>4</v>
      </c>
      <c r="BK96" t="b">
        <f t="shared" si="41"/>
        <v>1</v>
      </c>
      <c r="BL96" t="str">
        <f>IFERROR(VLOOKUP($B96, aegis!$BY:$BZ, 2, FALSE), 0)</f>
        <v>1</v>
      </c>
      <c r="BM96" t="str">
        <f>IFERROR(VLOOKUP($B96, duel!$BY:$BZ, 2, FALSE), 0)</f>
        <v>1</v>
      </c>
      <c r="BN96" t="str">
        <f>IFERROR(VLOOKUP($B96, blitz!$BY:$BZ, 2, FALSE), 0)</f>
        <v>1</v>
      </c>
      <c r="BO96" t="b">
        <f t="shared" si="42"/>
        <v>1</v>
      </c>
      <c r="BP96" t="str">
        <f>IFERROR(VLOOKUP($B96, aegis!$CD:$CE, 2, FALSE), 0)</f>
        <v>3</v>
      </c>
      <c r="BQ96" t="str">
        <f>IFERROR(VLOOKUP($B96, duel!$CD:$CE, 2, FALSE), 0)</f>
        <v>3</v>
      </c>
      <c r="BR96" t="str">
        <f>IFERROR(VLOOKUP($B96, blitz!$CD:$CE, 2, FALSE), 0)</f>
        <v>3</v>
      </c>
      <c r="BS96" t="b">
        <f t="shared" si="43"/>
        <v>1</v>
      </c>
      <c r="BT96">
        <f>IFERROR(VLOOKUP($B96, aegis!$CI:$CJ, 2, FALSE), 0)</f>
        <v>0</v>
      </c>
      <c r="BU96">
        <f>IFERROR(VLOOKUP($B96, duel!$CI:$CJ, 2, FALSE), 0)</f>
        <v>0</v>
      </c>
      <c r="BV96">
        <f>IFERROR(VLOOKUP($B96, blitz!$CI:$CJ, 2, FALSE), 0)</f>
        <v>0</v>
      </c>
      <c r="BW96" t="b">
        <f t="shared" si="44"/>
        <v>1</v>
      </c>
      <c r="BX96">
        <f>IFERROR(VLOOKUP($B96, aegis!$CN:$CO, 2, FALSE), 0)</f>
        <v>0</v>
      </c>
      <c r="BY96">
        <f>IFERROR(VLOOKUP($B96, duel!$CN:$CO, 2, FALSE), 0)</f>
        <v>0</v>
      </c>
      <c r="BZ96">
        <f>IFERROR(VLOOKUP($B96, blitz!$CN:$CO, 2, FALSE), 0)</f>
        <v>0</v>
      </c>
      <c r="CA96" t="b">
        <f t="shared" si="45"/>
        <v>1</v>
      </c>
      <c r="CB96">
        <f>IFERROR(VLOOKUP($B96, aegis!$CS:$CT, 2, FALSE), 0)</f>
        <v>0</v>
      </c>
      <c r="CC96">
        <f>IFERROR(VLOOKUP($B96, duel!$CS:$CT, 2, FALSE), 0)</f>
        <v>0</v>
      </c>
      <c r="CD96">
        <f>IFERROR(VLOOKUP($B96, blitz!$CS:$CT, 2, FALSE), 0)</f>
        <v>0</v>
      </c>
      <c r="CE96" t="b">
        <f t="shared" si="46"/>
        <v>1</v>
      </c>
      <c r="CF96" t="str">
        <f>IFERROR(VLOOKUP($B96, aegis!$CX:$CY, 2, FALSE), 0)</f>
        <v>631</v>
      </c>
      <c r="CG96" t="str">
        <f>IFERROR(VLOOKUP($B96, duel!$CX:$CY, 2, FALSE), 0)</f>
        <v>631</v>
      </c>
      <c r="CH96" t="str">
        <f>IFERROR(VLOOKUP($B96, blitz!$CX:$CY, 2, FALSE), 0)</f>
        <v>460</v>
      </c>
      <c r="CI96" t="b">
        <f t="shared" si="47"/>
        <v>0</v>
      </c>
      <c r="CJ96" t="str">
        <f>IFERROR(VLOOKUP($B96, aegis!$DC:$DD, 2, FALSE), 0)</f>
        <v>1</v>
      </c>
      <c r="CK96" t="str">
        <f>IFERROR(VLOOKUP($B96, duel!$DC:$DD, 2, FALSE), 0)</f>
        <v>1</v>
      </c>
      <c r="CL96" t="str">
        <f>IFERROR(VLOOKUP($B96, blitz!$DC:$DD, 2, FALSE), 0)</f>
        <v>1</v>
      </c>
      <c r="CM96" t="b">
        <f t="shared" si="48"/>
        <v>1</v>
      </c>
      <c r="CN96" t="str">
        <f>IFERROR(VLOOKUP($B96, aegis!$DH:$DI, 2, FALSE), 0)</f>
        <v>4</v>
      </c>
      <c r="CO96" t="str">
        <f>IFERROR(VLOOKUP($B96, duel!$DH:$DI, 2, FALSE), 0)</f>
        <v>4</v>
      </c>
      <c r="CP96" s="13">
        <f>IFERROR(VLOOKUP($B96, blitz!$DH:$DI, 2, FALSE), 0)</f>
        <v>0</v>
      </c>
      <c r="CQ96" t="b">
        <f t="shared" si="49"/>
        <v>1</v>
      </c>
      <c r="CR96" t="str">
        <f>IFERROR(VLOOKUP($B96, aegis!$DM:$DN, 2, FALSE), 0)</f>
        <v>1</v>
      </c>
      <c r="CS96">
        <f>IFERROR(VLOOKUP($B96, duel!$DM:$DN, 2, FALSE), 0)</f>
        <v>0</v>
      </c>
      <c r="CT96" t="str">
        <f>IFERROR(VLOOKUP($B96, blitz!$DM:$DN, 2, FALSE), 0)</f>
        <v>1</v>
      </c>
      <c r="CU96" t="b">
        <f t="shared" si="50"/>
        <v>0</v>
      </c>
      <c r="CV96" t="str">
        <f>IFERROR(VLOOKUP($B96, aegis!$DR:$DS, 2, FALSE), 0)</f>
        <v>7</v>
      </c>
      <c r="CW96" t="str">
        <f>IFERROR(VLOOKUP($B96, duel!$DR:$DS, 2, FALSE), 0)</f>
        <v>7</v>
      </c>
      <c r="CX96" t="str">
        <f>IFERROR(VLOOKUP($B96, blitz!$DR:$DS, 2, FALSE), 0)</f>
        <v>7</v>
      </c>
      <c r="CY96" t="b">
        <f t="shared" si="51"/>
        <v>1</v>
      </c>
    </row>
    <row r="97" spans="1:103">
      <c r="A97" t="s">
        <v>1733</v>
      </c>
      <c r="B97" s="6" t="s">
        <v>180</v>
      </c>
      <c r="C97" s="5" t="b">
        <f t="shared" si="26"/>
        <v>0</v>
      </c>
      <c r="D97" t="str">
        <f>IFERROR(VLOOKUP($B97, aegis!$B:$C, 2, FALSE), 0)</f>
        <v>36</v>
      </c>
      <c r="E97" t="str">
        <f>IFERROR(VLOOKUP($B97, duel!$B:$C, 2, FALSE), 0)</f>
        <v>36</v>
      </c>
      <c r="F97" t="str">
        <f>IFERROR(VLOOKUP($B97, blitz!$B:$C, 2, FALSE), 0)</f>
        <v>36</v>
      </c>
      <c r="G97" t="b">
        <f t="shared" si="27"/>
        <v>1</v>
      </c>
      <c r="H97" t="str">
        <f>IFERROR(VLOOKUP($B97, aegis!$G:$H, 2, FALSE), 0)</f>
        <v>21</v>
      </c>
      <c r="I97" t="str">
        <f>IFERROR(VLOOKUP($B97, duel!$G:$H, 2, FALSE), 0)</f>
        <v>21</v>
      </c>
      <c r="J97" t="str">
        <f>IFERROR(VLOOKUP($B97, blitz!$G:$H, 2, FALSE), 0)</f>
        <v>21</v>
      </c>
      <c r="K97" t="b">
        <f t="shared" si="28"/>
        <v>1</v>
      </c>
      <c r="L97" t="str">
        <f>IFERROR(VLOOKUP($B97, aegis!$L:$M, 2, FALSE), 0)</f>
        <v>36</v>
      </c>
      <c r="M97" t="str">
        <f>IFERROR(VLOOKUP($B97, duel!$L:$M, 2, FALSE), 0)</f>
        <v>36</v>
      </c>
      <c r="N97" t="str">
        <f>IFERROR(VLOOKUP($B97, blitz!$L:$M, 2, FALSE), 0)</f>
        <v>36</v>
      </c>
      <c r="O97" t="b">
        <f t="shared" si="29"/>
        <v>1</v>
      </c>
      <c r="P97" t="str">
        <f>IFERROR(VLOOKUP($B97, aegis!$Q:$R, 2, FALSE), 0)</f>
        <v>21</v>
      </c>
      <c r="Q97" t="str">
        <f>IFERROR(VLOOKUP($B97, duel!$Q:$R, 2, FALSE), 0)</f>
        <v>21</v>
      </c>
      <c r="R97" t="str">
        <f>IFERROR(VLOOKUP($B97, blitz!$Q:$R, 2, FALSE), 0)</f>
        <v>21</v>
      </c>
      <c r="S97" t="b">
        <f t="shared" si="30"/>
        <v>1</v>
      </c>
      <c r="T97">
        <f>IFERROR(VLOOKUP($B97, aegis!$V:$W, 2, FALSE), 0)</f>
        <v>0</v>
      </c>
      <c r="U97">
        <f>IFERROR(VLOOKUP($B97, duel!$V:$W, 2, FALSE), 0)</f>
        <v>0</v>
      </c>
      <c r="V97">
        <f>IFERROR(VLOOKUP($B97, blitz!$V:$W, 2, FALSE), 0)</f>
        <v>0</v>
      </c>
      <c r="W97" t="b">
        <f t="shared" si="31"/>
        <v>1</v>
      </c>
      <c r="X97" t="str">
        <f>IFERROR(VLOOKUP($B97, aegis!$AA:$AB, 2, FALSE), 0)</f>
        <v>3</v>
      </c>
      <c r="Y97" t="str">
        <f>IFERROR(VLOOKUP($B97, duel!$AA:$AB, 2, FALSE), 0)</f>
        <v>3</v>
      </c>
      <c r="Z97" t="str">
        <f>IFERROR(VLOOKUP($B97, blitz!$AA:$AB, 2, FALSE), 0)</f>
        <v>3</v>
      </c>
      <c r="AA97" t="b">
        <f t="shared" si="32"/>
        <v>1</v>
      </c>
      <c r="AB97">
        <f>IFERROR(VLOOKUP($B97, aegis!$AF:$AG, 2, FALSE), 0)</f>
        <v>0</v>
      </c>
      <c r="AC97">
        <f>IFERROR(VLOOKUP($B97, duel!$AF:$AG, 2, FALSE), 0)</f>
        <v>0</v>
      </c>
      <c r="AD97">
        <f>IFERROR(VLOOKUP($B97, blitz!$AF:$AG, 2, FALSE), 0)</f>
        <v>0</v>
      </c>
      <c r="AE97" t="b">
        <f t="shared" si="33"/>
        <v>1</v>
      </c>
      <c r="AF97" t="str">
        <f>IFERROR(VLOOKUP($B97, aegis!$AK:$AL, 2, FALSE), 0)</f>
        <v>4</v>
      </c>
      <c r="AG97" t="str">
        <f>IFERROR(VLOOKUP($B97, duel!$AK:$AL, 2, FALSE), 0)</f>
        <v>1</v>
      </c>
      <c r="AH97" t="str">
        <f>IFERROR(VLOOKUP($B97, blitz!$AK:$AL, 2, FALSE), 0)</f>
        <v>1</v>
      </c>
      <c r="AI97" t="b">
        <f t="shared" si="34"/>
        <v>0</v>
      </c>
      <c r="AJ97" t="str">
        <f>IFERROR(VLOOKUP($B97, aegis!$AP:$AQ, 2, FALSE), 0)</f>
        <v>2</v>
      </c>
      <c r="AK97" t="str">
        <f>IFERROR(VLOOKUP($B97, duel!$AP:$AQ, 2, FALSE), 0)</f>
        <v>2</v>
      </c>
      <c r="AL97" t="str">
        <f>IFERROR(VLOOKUP($B97, blitz!$AP:$AQ, 2, FALSE), 0)</f>
        <v>2</v>
      </c>
      <c r="AM97" t="b">
        <f t="shared" si="35"/>
        <v>1</v>
      </c>
      <c r="AN97">
        <f>IFERROR(VLOOKUP($B97, aegis!$AU:$AV, 2, FALSE), 0)</f>
        <v>0</v>
      </c>
      <c r="AO97">
        <f>IFERROR(VLOOKUP($B97, duel!$AU:$AV, 2, FALSE), 0)</f>
        <v>0</v>
      </c>
      <c r="AP97">
        <f>IFERROR(VLOOKUP($B97, blitz!$AU:$AV, 2, FALSE), 0)</f>
        <v>0</v>
      </c>
      <c r="AQ97" t="b">
        <f t="shared" si="36"/>
        <v>1</v>
      </c>
      <c r="AR97" t="str">
        <f>IFERROR(VLOOKUP($B97, aegis!$AZ:$BA, 2, FALSE), 0)</f>
        <v>3</v>
      </c>
      <c r="AS97" t="str">
        <f>IFERROR(VLOOKUP($B97, duel!$AZ:$BA, 2, FALSE), 0)</f>
        <v>3</v>
      </c>
      <c r="AT97" t="str">
        <f>IFERROR(VLOOKUP($B97, blitz!$AZ:$BA, 2, FALSE), 0)</f>
        <v>3</v>
      </c>
      <c r="AU97" t="b">
        <f t="shared" si="37"/>
        <v>1</v>
      </c>
      <c r="AV97" t="str">
        <f>IFERROR(VLOOKUP($B97, aegis!$BE:$BF, 2, FALSE), 0)</f>
        <v>2</v>
      </c>
      <c r="AW97" t="str">
        <f>IFERROR(VLOOKUP($B97, duel!$BE:$BF, 2, FALSE), 0)</f>
        <v>2</v>
      </c>
      <c r="AX97" t="str">
        <f>IFERROR(VLOOKUP($B97, blitz!$BE:$BF, 2, FALSE), 0)</f>
        <v>2</v>
      </c>
      <c r="AY97" t="b">
        <f t="shared" si="38"/>
        <v>1</v>
      </c>
      <c r="AZ97" t="str">
        <f>IFERROR(VLOOKUP($B97, aegis!$BJ:$BK, 2, FALSE), 0)</f>
        <v>1</v>
      </c>
      <c r="BA97" t="str">
        <f>IFERROR(VLOOKUP($B97, duel!$BJ:$BK, 2, FALSE), 0)</f>
        <v>1</v>
      </c>
      <c r="BB97" t="str">
        <f>IFERROR(VLOOKUP($B97, blitz!$BJ:$BK, 2, FALSE), 0)</f>
        <v>1</v>
      </c>
      <c r="BC97" t="b">
        <f t="shared" si="39"/>
        <v>1</v>
      </c>
      <c r="BD97">
        <f>IFERROR(VLOOKUP($B97, aegis!$BO:$BP, 2, FALSE), 0)</f>
        <v>0</v>
      </c>
      <c r="BE97">
        <f>IFERROR(VLOOKUP($B97, duel!$BO:$BP, 2, FALSE), 0)</f>
        <v>0</v>
      </c>
      <c r="BF97">
        <f>IFERROR(VLOOKUP($B97, blitz!$BO:$BP, 2, FALSE), 0)</f>
        <v>0</v>
      </c>
      <c r="BG97" t="b">
        <f t="shared" si="40"/>
        <v>1</v>
      </c>
      <c r="BH97">
        <f>IFERROR(VLOOKUP($B97, aegis!$BT:$BU, 2, FALSE), 0)</f>
        <v>0</v>
      </c>
      <c r="BI97">
        <f>IFERROR(VLOOKUP($B97, duel!$BT:$BU, 2, FALSE), 0)</f>
        <v>0</v>
      </c>
      <c r="BJ97">
        <f>IFERROR(VLOOKUP($B97, blitz!$BT:$BU, 2, FALSE), 0)</f>
        <v>0</v>
      </c>
      <c r="BK97" t="b">
        <f t="shared" si="41"/>
        <v>1</v>
      </c>
      <c r="BL97" t="str">
        <f>IFERROR(VLOOKUP($B97, aegis!$BY:$BZ, 2, FALSE), 0)</f>
        <v>2</v>
      </c>
      <c r="BM97" t="str">
        <f>IFERROR(VLOOKUP($B97, duel!$BY:$BZ, 2, FALSE), 0)</f>
        <v>2</v>
      </c>
      <c r="BN97" t="str">
        <f>IFERROR(VLOOKUP($B97, blitz!$BY:$BZ, 2, FALSE), 0)</f>
        <v>2</v>
      </c>
      <c r="BO97" t="b">
        <f t="shared" si="42"/>
        <v>1</v>
      </c>
      <c r="BP97" t="str">
        <f>IFERROR(VLOOKUP($B97, aegis!$CD:$CE, 2, FALSE), 0)</f>
        <v>2</v>
      </c>
      <c r="BQ97" t="str">
        <f>IFERROR(VLOOKUP($B97, duel!$CD:$CE, 2, FALSE), 0)</f>
        <v>2</v>
      </c>
      <c r="BR97" t="str">
        <f>IFERROR(VLOOKUP($B97, blitz!$CD:$CE, 2, FALSE), 0)</f>
        <v>2</v>
      </c>
      <c r="BS97" t="b">
        <f t="shared" si="43"/>
        <v>1</v>
      </c>
      <c r="BT97">
        <f>IFERROR(VLOOKUP($B97, aegis!$CI:$CJ, 2, FALSE), 0)</f>
        <v>0</v>
      </c>
      <c r="BU97">
        <f>IFERROR(VLOOKUP($B97, duel!$CI:$CJ, 2, FALSE), 0)</f>
        <v>0</v>
      </c>
      <c r="BV97">
        <f>IFERROR(VLOOKUP($B97, blitz!$CI:$CJ, 2, FALSE), 0)</f>
        <v>0</v>
      </c>
      <c r="BW97" t="b">
        <f t="shared" si="44"/>
        <v>1</v>
      </c>
      <c r="BX97">
        <f>IFERROR(VLOOKUP($B97, aegis!$CN:$CO, 2, FALSE), 0)</f>
        <v>0</v>
      </c>
      <c r="BY97">
        <f>IFERROR(VLOOKUP($B97, duel!$CN:$CO, 2, FALSE), 0)</f>
        <v>0</v>
      </c>
      <c r="BZ97">
        <f>IFERROR(VLOOKUP($B97, blitz!$CN:$CO, 2, FALSE), 0)</f>
        <v>0</v>
      </c>
      <c r="CA97" t="b">
        <f t="shared" si="45"/>
        <v>1</v>
      </c>
      <c r="CB97">
        <f>IFERROR(VLOOKUP($B97, aegis!$CS:$CT, 2, FALSE), 0)</f>
        <v>0</v>
      </c>
      <c r="CC97">
        <f>IFERROR(VLOOKUP($B97, duel!$CS:$CT, 2, FALSE), 0)</f>
        <v>0</v>
      </c>
      <c r="CD97">
        <f>IFERROR(VLOOKUP($B97, blitz!$CS:$CT, 2, FALSE), 0)</f>
        <v>0</v>
      </c>
      <c r="CE97" t="b">
        <f t="shared" si="46"/>
        <v>1</v>
      </c>
      <c r="CF97">
        <f>IFERROR(VLOOKUP($B97, aegis!$CX:$CY, 2, FALSE), 0)</f>
        <v>0</v>
      </c>
      <c r="CG97">
        <f>IFERROR(VLOOKUP($B97, duel!$CX:$CY, 2, FALSE), 0)</f>
        <v>0</v>
      </c>
      <c r="CH97">
        <f>IFERROR(VLOOKUP($B97, blitz!$CX:$CY, 2, FALSE), 0)</f>
        <v>0</v>
      </c>
      <c r="CI97" t="b">
        <f t="shared" si="47"/>
        <v>1</v>
      </c>
      <c r="CJ97" t="str">
        <f>IFERROR(VLOOKUP($B97, aegis!$DC:$DD, 2, FALSE), 0)</f>
        <v>1</v>
      </c>
      <c r="CK97" t="str">
        <f>IFERROR(VLOOKUP($B97, duel!$DC:$DD, 2, FALSE), 0)</f>
        <v>1</v>
      </c>
      <c r="CL97" t="str">
        <f>IFERROR(VLOOKUP($B97, blitz!$DC:$DD, 2, FALSE), 0)</f>
        <v>1</v>
      </c>
      <c r="CM97" t="b">
        <f t="shared" si="48"/>
        <v>1</v>
      </c>
      <c r="CN97" t="str">
        <f>IFERROR(VLOOKUP($B97, aegis!$DH:$DI, 2, FALSE), 0)</f>
        <v>2</v>
      </c>
      <c r="CO97">
        <f>IFERROR(VLOOKUP($B97, duel!$DH:$DI, 2, FALSE), 0)</f>
        <v>0</v>
      </c>
      <c r="CP97" s="13">
        <f>IFERROR(VLOOKUP($B97, blitz!$DH:$DI, 2, FALSE), 0)</f>
        <v>0</v>
      </c>
      <c r="CQ97" t="b">
        <f t="shared" si="49"/>
        <v>0</v>
      </c>
      <c r="CR97" t="str">
        <f>IFERROR(VLOOKUP($B97, aegis!$DM:$DN, 2, FALSE), 0)</f>
        <v>2</v>
      </c>
      <c r="CS97">
        <f>IFERROR(VLOOKUP($B97, duel!$DM:$DN, 2, FALSE), 0)</f>
        <v>0</v>
      </c>
      <c r="CT97" t="str">
        <f>IFERROR(VLOOKUP($B97, blitz!$DM:$DN, 2, FALSE), 0)</f>
        <v>2</v>
      </c>
      <c r="CU97" t="b">
        <f t="shared" si="50"/>
        <v>0</v>
      </c>
      <c r="CV97">
        <f>IFERROR(VLOOKUP($B97, aegis!$DR:$DS, 2, FALSE), 0)</f>
        <v>0</v>
      </c>
      <c r="CW97">
        <f>IFERROR(VLOOKUP($B97, duel!$DR:$DS, 2, FALSE), 0)</f>
        <v>0</v>
      </c>
      <c r="CX97">
        <f>IFERROR(VLOOKUP($B97, blitz!$DR:$DS, 2, FALSE), 0)</f>
        <v>0</v>
      </c>
      <c r="CY97" t="b">
        <f t="shared" si="51"/>
        <v>1</v>
      </c>
    </row>
    <row r="98" spans="1:103">
      <c r="A98" t="s">
        <v>1733</v>
      </c>
      <c r="B98" s="6" t="s">
        <v>182</v>
      </c>
      <c r="C98" s="5" t="b">
        <f t="shared" si="26"/>
        <v>0</v>
      </c>
      <c r="D98" t="str">
        <f>IFERROR(VLOOKUP($B98, aegis!$B:$C, 2, FALSE), 0)</f>
        <v>24</v>
      </c>
      <c r="E98" t="str">
        <f>IFERROR(VLOOKUP($B98, duel!$B:$C, 2, FALSE), 0)</f>
        <v>24</v>
      </c>
      <c r="F98" t="str">
        <f>IFERROR(VLOOKUP($B98, blitz!$B:$C, 2, FALSE), 0)</f>
        <v>24</v>
      </c>
      <c r="G98" t="b">
        <f t="shared" si="27"/>
        <v>1</v>
      </c>
      <c r="H98" t="str">
        <f>IFERROR(VLOOKUP($B98, aegis!$G:$H, 2, FALSE), 0)</f>
        <v>14</v>
      </c>
      <c r="I98" t="str">
        <f>IFERROR(VLOOKUP($B98, duel!$G:$H, 2, FALSE), 0)</f>
        <v>14</v>
      </c>
      <c r="J98" t="str">
        <f>IFERROR(VLOOKUP($B98, blitz!$G:$H, 2, FALSE), 0)</f>
        <v>14</v>
      </c>
      <c r="K98" t="b">
        <f t="shared" si="28"/>
        <v>1</v>
      </c>
      <c r="L98" t="str">
        <f>IFERROR(VLOOKUP($B98, aegis!$L:$M, 2, FALSE), 0)</f>
        <v>24</v>
      </c>
      <c r="M98" t="str">
        <f>IFERROR(VLOOKUP($B98, duel!$L:$M, 2, FALSE), 0)</f>
        <v>24</v>
      </c>
      <c r="N98" t="str">
        <f>IFERROR(VLOOKUP($B98, blitz!$L:$M, 2, FALSE), 0)</f>
        <v>24</v>
      </c>
      <c r="O98" t="b">
        <f t="shared" si="29"/>
        <v>1</v>
      </c>
      <c r="P98" t="str">
        <f>IFERROR(VLOOKUP($B98, aegis!$Q:$R, 2, FALSE), 0)</f>
        <v>14</v>
      </c>
      <c r="Q98" t="str">
        <f>IFERROR(VLOOKUP($B98, duel!$Q:$R, 2, FALSE), 0)</f>
        <v>14</v>
      </c>
      <c r="R98" t="str">
        <f>IFERROR(VLOOKUP($B98, blitz!$Q:$R, 2, FALSE), 0)</f>
        <v>14</v>
      </c>
      <c r="S98" t="b">
        <f t="shared" si="30"/>
        <v>1</v>
      </c>
      <c r="T98">
        <f>IFERROR(VLOOKUP($B98, aegis!$V:$W, 2, FALSE), 0)</f>
        <v>0</v>
      </c>
      <c r="U98">
        <f>IFERROR(VLOOKUP($B98, duel!$V:$W, 2, FALSE), 0)</f>
        <v>0</v>
      </c>
      <c r="V98">
        <f>IFERROR(VLOOKUP($B98, blitz!$V:$W, 2, FALSE), 0)</f>
        <v>0</v>
      </c>
      <c r="W98" t="b">
        <f t="shared" si="31"/>
        <v>1</v>
      </c>
      <c r="X98" t="str">
        <f>IFERROR(VLOOKUP($B98, aegis!$AA:$AB, 2, FALSE), 0)</f>
        <v>2</v>
      </c>
      <c r="Y98" t="str">
        <f>IFERROR(VLOOKUP($B98, duel!$AA:$AB, 2, FALSE), 0)</f>
        <v>2</v>
      </c>
      <c r="Z98" t="str">
        <f>IFERROR(VLOOKUP($B98, blitz!$AA:$AB, 2, FALSE), 0)</f>
        <v>2</v>
      </c>
      <c r="AA98" t="b">
        <f t="shared" si="32"/>
        <v>1</v>
      </c>
      <c r="AB98" t="str">
        <f>IFERROR(VLOOKUP($B98, aegis!$AF:$AG, 2, FALSE), 0)</f>
        <v>36</v>
      </c>
      <c r="AC98" t="str">
        <f>IFERROR(VLOOKUP($B98, duel!$AF:$AG, 2, FALSE), 0)</f>
        <v>36</v>
      </c>
      <c r="AD98" t="str">
        <f>IFERROR(VLOOKUP($B98, blitz!$AF:$AG, 2, FALSE), 0)</f>
        <v>36</v>
      </c>
      <c r="AE98" t="b">
        <f t="shared" si="33"/>
        <v>1</v>
      </c>
      <c r="AF98" t="str">
        <f>IFERROR(VLOOKUP($B98, aegis!$AK:$AL, 2, FALSE), 0)</f>
        <v>3</v>
      </c>
      <c r="AG98" t="str">
        <f>IFERROR(VLOOKUP($B98, duel!$AK:$AL, 2, FALSE), 0)</f>
        <v>1</v>
      </c>
      <c r="AH98" t="str">
        <f>IFERROR(VLOOKUP($B98, blitz!$AK:$AL, 2, FALSE), 0)</f>
        <v>1</v>
      </c>
      <c r="AI98" t="b">
        <f t="shared" si="34"/>
        <v>0</v>
      </c>
      <c r="AJ98" t="str">
        <f>IFERROR(VLOOKUP($B98, aegis!$AP:$AQ, 2, FALSE), 0)</f>
        <v>1</v>
      </c>
      <c r="AK98" t="str">
        <f>IFERROR(VLOOKUP($B98, duel!$AP:$AQ, 2, FALSE), 0)</f>
        <v>1</v>
      </c>
      <c r="AL98" t="str">
        <f>IFERROR(VLOOKUP($B98, blitz!$AP:$AQ, 2, FALSE), 0)</f>
        <v>1</v>
      </c>
      <c r="AM98" t="b">
        <f t="shared" si="35"/>
        <v>1</v>
      </c>
      <c r="AN98">
        <f>IFERROR(VLOOKUP($B98, aegis!$AU:$AV, 2, FALSE), 0)</f>
        <v>0</v>
      </c>
      <c r="AO98">
        <f>IFERROR(VLOOKUP($B98, duel!$AU:$AV, 2, FALSE), 0)</f>
        <v>0</v>
      </c>
      <c r="AP98">
        <f>IFERROR(VLOOKUP($B98, blitz!$AU:$AV, 2, FALSE), 0)</f>
        <v>0</v>
      </c>
      <c r="AQ98" t="b">
        <f t="shared" si="36"/>
        <v>1</v>
      </c>
      <c r="AR98" t="str">
        <f>IFERROR(VLOOKUP($B98, aegis!$AZ:$BA, 2, FALSE), 0)</f>
        <v>2</v>
      </c>
      <c r="AS98" t="str">
        <f>IFERROR(VLOOKUP($B98, duel!$AZ:$BA, 2, FALSE), 0)</f>
        <v>2</v>
      </c>
      <c r="AT98" t="str">
        <f>IFERROR(VLOOKUP($B98, blitz!$AZ:$BA, 2, FALSE), 0)</f>
        <v>2</v>
      </c>
      <c r="AU98" t="b">
        <f t="shared" si="37"/>
        <v>1</v>
      </c>
      <c r="AV98" t="str">
        <f>IFERROR(VLOOKUP($B98, aegis!$BE:$BF, 2, FALSE), 0)</f>
        <v>1</v>
      </c>
      <c r="AW98" t="str">
        <f>IFERROR(VLOOKUP($B98, duel!$BE:$BF, 2, FALSE), 0)</f>
        <v>1</v>
      </c>
      <c r="AX98" t="str">
        <f>IFERROR(VLOOKUP($B98, blitz!$BE:$BF, 2, FALSE), 0)</f>
        <v>1</v>
      </c>
      <c r="AY98" t="b">
        <f t="shared" si="38"/>
        <v>1</v>
      </c>
      <c r="AZ98" t="str">
        <f>IFERROR(VLOOKUP($B98, aegis!$BJ:$BK, 2, FALSE), 0)</f>
        <v>1</v>
      </c>
      <c r="BA98" t="str">
        <f>IFERROR(VLOOKUP($B98, duel!$BJ:$BK, 2, FALSE), 0)</f>
        <v>1</v>
      </c>
      <c r="BB98" t="str">
        <f>IFERROR(VLOOKUP($B98, blitz!$BJ:$BK, 2, FALSE), 0)</f>
        <v>1</v>
      </c>
      <c r="BC98" t="b">
        <f t="shared" si="39"/>
        <v>1</v>
      </c>
      <c r="BD98">
        <f>IFERROR(VLOOKUP($B98, aegis!$BO:$BP, 2, FALSE), 0)</f>
        <v>0</v>
      </c>
      <c r="BE98">
        <f>IFERROR(VLOOKUP($B98, duel!$BO:$BP, 2, FALSE), 0)</f>
        <v>0</v>
      </c>
      <c r="BF98">
        <f>IFERROR(VLOOKUP($B98, blitz!$BO:$BP, 2, FALSE), 0)</f>
        <v>0</v>
      </c>
      <c r="BG98" t="b">
        <f t="shared" si="40"/>
        <v>1</v>
      </c>
      <c r="BH98" t="str">
        <f>IFERROR(VLOOKUP($B98, aegis!$BT:$BU, 2, FALSE), 0)</f>
        <v>19</v>
      </c>
      <c r="BI98" t="str">
        <f>IFERROR(VLOOKUP($B98, duel!$BT:$BU, 2, FALSE), 0)</f>
        <v>19</v>
      </c>
      <c r="BJ98" t="str">
        <f>IFERROR(VLOOKUP($B98, blitz!$BT:$BU, 2, FALSE), 0)</f>
        <v>19</v>
      </c>
      <c r="BK98" t="b">
        <f t="shared" si="41"/>
        <v>1</v>
      </c>
      <c r="BL98" t="str">
        <f>IFERROR(VLOOKUP($B98, aegis!$BY:$BZ, 2, FALSE), 0)</f>
        <v>1</v>
      </c>
      <c r="BM98" t="str">
        <f>IFERROR(VLOOKUP($B98, duel!$BY:$BZ, 2, FALSE), 0)</f>
        <v>1</v>
      </c>
      <c r="BN98" t="str">
        <f>IFERROR(VLOOKUP($B98, blitz!$BY:$BZ, 2, FALSE), 0)</f>
        <v>1</v>
      </c>
      <c r="BO98" t="b">
        <f t="shared" si="42"/>
        <v>1</v>
      </c>
      <c r="BP98" t="str">
        <f>IFERROR(VLOOKUP($B98, aegis!$CD:$CE, 2, FALSE), 0)</f>
        <v>3</v>
      </c>
      <c r="BQ98" t="str">
        <f>IFERROR(VLOOKUP($B98, duel!$CD:$CE, 2, FALSE), 0)</f>
        <v>3</v>
      </c>
      <c r="BR98" t="str">
        <f>IFERROR(VLOOKUP($B98, blitz!$CD:$CE, 2, FALSE), 0)</f>
        <v>3</v>
      </c>
      <c r="BS98" t="b">
        <f t="shared" si="43"/>
        <v>1</v>
      </c>
      <c r="BT98" t="str">
        <f>IFERROR(VLOOKUP($B98, aegis!$CI:$CJ, 2, FALSE), 0)</f>
        <v>1</v>
      </c>
      <c r="BU98" t="str">
        <f>IFERROR(VLOOKUP($B98, duel!$CI:$CJ, 2, FALSE), 0)</f>
        <v>1</v>
      </c>
      <c r="BV98" t="str">
        <f>IFERROR(VLOOKUP($B98, blitz!$CI:$CJ, 2, FALSE), 0)</f>
        <v>1</v>
      </c>
      <c r="BW98" t="b">
        <f t="shared" si="44"/>
        <v>1</v>
      </c>
      <c r="BX98" t="str">
        <f>IFERROR(VLOOKUP($B98, aegis!$CN:$CO, 2, FALSE), 0)</f>
        <v>1</v>
      </c>
      <c r="BY98" t="str">
        <f>IFERROR(VLOOKUP($B98, duel!$CN:$CO, 2, FALSE), 0)</f>
        <v>1</v>
      </c>
      <c r="BZ98" t="str">
        <f>IFERROR(VLOOKUP($B98, blitz!$CN:$CO, 2, FALSE), 0)</f>
        <v>1</v>
      </c>
      <c r="CA98" t="b">
        <f t="shared" si="45"/>
        <v>1</v>
      </c>
      <c r="CB98" t="str">
        <f>IFERROR(VLOOKUP($B98, aegis!$CS:$CT, 2, FALSE), 0)</f>
        <v>5</v>
      </c>
      <c r="CC98" t="str">
        <f>IFERROR(VLOOKUP($B98, duel!$CS:$CT, 2, FALSE), 0)</f>
        <v>5</v>
      </c>
      <c r="CD98" t="str">
        <f>IFERROR(VLOOKUP($B98, blitz!$CS:$CT, 2, FALSE), 0)</f>
        <v>5</v>
      </c>
      <c r="CE98" t="b">
        <f t="shared" si="46"/>
        <v>1</v>
      </c>
      <c r="CF98" t="str">
        <f>IFERROR(VLOOKUP($B98, aegis!$CX:$CY, 2, FALSE), 0)</f>
        <v>3011</v>
      </c>
      <c r="CG98" t="str">
        <f>IFERROR(VLOOKUP($B98, duel!$CX:$CY, 2, FALSE), 0)</f>
        <v>3010</v>
      </c>
      <c r="CH98" t="str">
        <f>IFERROR(VLOOKUP($B98, blitz!$CX:$CY, 2, FALSE), 0)</f>
        <v>2810</v>
      </c>
      <c r="CI98" t="b">
        <f t="shared" si="47"/>
        <v>0</v>
      </c>
      <c r="CJ98" t="str">
        <f>IFERROR(VLOOKUP($B98, aegis!$DC:$DD, 2, FALSE), 0)</f>
        <v>1</v>
      </c>
      <c r="CK98" t="str">
        <f>IFERROR(VLOOKUP($B98, duel!$DC:$DD, 2, FALSE), 0)</f>
        <v>1</v>
      </c>
      <c r="CL98" t="str">
        <f>IFERROR(VLOOKUP($B98, blitz!$DC:$DD, 2, FALSE), 0)</f>
        <v>1</v>
      </c>
      <c r="CM98" t="b">
        <f t="shared" si="48"/>
        <v>1</v>
      </c>
      <c r="CN98" t="str">
        <f>IFERROR(VLOOKUP($B98, aegis!$DH:$DI, 2, FALSE), 0)</f>
        <v>3</v>
      </c>
      <c r="CO98" t="str">
        <f>IFERROR(VLOOKUP($B98, duel!$DH:$DI, 2, FALSE), 0)</f>
        <v>2</v>
      </c>
      <c r="CP98" s="13">
        <f>IFERROR(VLOOKUP($B98, blitz!$DH:$DI, 2, FALSE), 0)</f>
        <v>0</v>
      </c>
      <c r="CQ98" t="b">
        <f t="shared" si="49"/>
        <v>0</v>
      </c>
      <c r="CR98" t="str">
        <f>IFERROR(VLOOKUP($B98, aegis!$DM:$DN, 2, FALSE), 0)</f>
        <v>1</v>
      </c>
      <c r="CS98">
        <f>IFERROR(VLOOKUP($B98, duel!$DM:$DN, 2, FALSE), 0)</f>
        <v>0</v>
      </c>
      <c r="CT98" t="str">
        <f>IFERROR(VLOOKUP($B98, blitz!$DM:$DN, 2, FALSE), 0)</f>
        <v>1</v>
      </c>
      <c r="CU98" t="b">
        <f t="shared" si="50"/>
        <v>0</v>
      </c>
      <c r="CV98" t="str">
        <f>IFERROR(VLOOKUP($B98, aegis!$DR:$DS, 2, FALSE), 0)</f>
        <v>31</v>
      </c>
      <c r="CW98" t="str">
        <f>IFERROR(VLOOKUP($B98, duel!$DR:$DS, 2, FALSE), 0)</f>
        <v>31</v>
      </c>
      <c r="CX98" t="str">
        <f>IFERROR(VLOOKUP($B98, blitz!$DR:$DS, 2, FALSE), 0)</f>
        <v>31</v>
      </c>
      <c r="CY98" t="b">
        <f t="shared" si="51"/>
        <v>1</v>
      </c>
    </row>
    <row r="99" spans="1:103">
      <c r="A99" t="s">
        <v>1733</v>
      </c>
      <c r="B99" s="6" t="s">
        <v>184</v>
      </c>
      <c r="C99" s="5" t="b">
        <f t="shared" si="26"/>
        <v>0</v>
      </c>
      <c r="D99" t="str">
        <f>IFERROR(VLOOKUP($B99, aegis!$B:$C, 2, FALSE), 0)</f>
        <v>24</v>
      </c>
      <c r="E99" t="str">
        <f>IFERROR(VLOOKUP($B99, duel!$B:$C, 2, FALSE), 0)</f>
        <v>24</v>
      </c>
      <c r="F99" t="str">
        <f>IFERROR(VLOOKUP($B99, blitz!$B:$C, 2, FALSE), 0)</f>
        <v>24</v>
      </c>
      <c r="G99" t="b">
        <f t="shared" si="27"/>
        <v>1</v>
      </c>
      <c r="H99" t="str">
        <f>IFERROR(VLOOKUP($B99, aegis!$G:$H, 2, FALSE), 0)</f>
        <v>14</v>
      </c>
      <c r="I99" t="str">
        <f>IFERROR(VLOOKUP($B99, duel!$G:$H, 2, FALSE), 0)</f>
        <v>14</v>
      </c>
      <c r="J99" t="str">
        <f>IFERROR(VLOOKUP($B99, blitz!$G:$H, 2, FALSE), 0)</f>
        <v>14</v>
      </c>
      <c r="K99" t="b">
        <f t="shared" si="28"/>
        <v>1</v>
      </c>
      <c r="L99" t="str">
        <f>IFERROR(VLOOKUP($B99, aegis!$L:$M, 2, FALSE), 0)</f>
        <v>24</v>
      </c>
      <c r="M99" t="str">
        <f>IFERROR(VLOOKUP($B99, duel!$L:$M, 2, FALSE), 0)</f>
        <v>24</v>
      </c>
      <c r="N99" t="str">
        <f>IFERROR(VLOOKUP($B99, blitz!$L:$M, 2, FALSE), 0)</f>
        <v>24</v>
      </c>
      <c r="O99" t="b">
        <f t="shared" si="29"/>
        <v>1</v>
      </c>
      <c r="P99" t="str">
        <f>IFERROR(VLOOKUP($B99, aegis!$Q:$R, 2, FALSE), 0)</f>
        <v>14</v>
      </c>
      <c r="Q99" t="str">
        <f>IFERROR(VLOOKUP($B99, duel!$Q:$R, 2, FALSE), 0)</f>
        <v>14</v>
      </c>
      <c r="R99" t="str">
        <f>IFERROR(VLOOKUP($B99, blitz!$Q:$R, 2, FALSE), 0)</f>
        <v>14</v>
      </c>
      <c r="S99" t="b">
        <f t="shared" si="30"/>
        <v>1</v>
      </c>
      <c r="T99">
        <f>IFERROR(VLOOKUP($B99, aegis!$V:$W, 2, FALSE), 0)</f>
        <v>0</v>
      </c>
      <c r="U99">
        <f>IFERROR(VLOOKUP($B99, duel!$V:$W, 2, FALSE), 0)</f>
        <v>0</v>
      </c>
      <c r="V99">
        <f>IFERROR(VLOOKUP($B99, blitz!$V:$W, 2, FALSE), 0)</f>
        <v>0</v>
      </c>
      <c r="W99" t="b">
        <f t="shared" si="31"/>
        <v>1</v>
      </c>
      <c r="X99" t="str">
        <f>IFERROR(VLOOKUP($B99, aegis!$AA:$AB, 2, FALSE), 0)</f>
        <v>2</v>
      </c>
      <c r="Y99" t="str">
        <f>IFERROR(VLOOKUP($B99, duel!$AA:$AB, 2, FALSE), 0)</f>
        <v>2</v>
      </c>
      <c r="Z99" t="str">
        <f>IFERROR(VLOOKUP($B99, blitz!$AA:$AB, 2, FALSE), 0)</f>
        <v>2</v>
      </c>
      <c r="AA99" t="b">
        <f t="shared" si="32"/>
        <v>1</v>
      </c>
      <c r="AB99" t="str">
        <f>IFERROR(VLOOKUP($B99, aegis!$AF:$AG, 2, FALSE), 0)</f>
        <v>49</v>
      </c>
      <c r="AC99" t="str">
        <f>IFERROR(VLOOKUP($B99, duel!$AF:$AG, 2, FALSE), 0)</f>
        <v>49</v>
      </c>
      <c r="AD99" t="str">
        <f>IFERROR(VLOOKUP($B99, blitz!$AF:$AG, 2, FALSE), 0)</f>
        <v>49</v>
      </c>
      <c r="AE99" t="b">
        <f t="shared" si="33"/>
        <v>1</v>
      </c>
      <c r="AF99" t="str">
        <f>IFERROR(VLOOKUP($B99, aegis!$AK:$AL, 2, FALSE), 0)</f>
        <v>3</v>
      </c>
      <c r="AG99" t="str">
        <f>IFERROR(VLOOKUP($B99, duel!$AK:$AL, 2, FALSE), 0)</f>
        <v>1</v>
      </c>
      <c r="AH99" t="str">
        <f>IFERROR(VLOOKUP($B99, blitz!$AK:$AL, 2, FALSE), 0)</f>
        <v>1</v>
      </c>
      <c r="AI99" t="b">
        <f t="shared" si="34"/>
        <v>0</v>
      </c>
      <c r="AJ99" t="str">
        <f>IFERROR(VLOOKUP($B99, aegis!$AP:$AQ, 2, FALSE), 0)</f>
        <v>1</v>
      </c>
      <c r="AK99" t="str">
        <f>IFERROR(VLOOKUP($B99, duel!$AP:$AQ, 2, FALSE), 0)</f>
        <v>1</v>
      </c>
      <c r="AL99" t="str">
        <f>IFERROR(VLOOKUP($B99, blitz!$AP:$AQ, 2, FALSE), 0)</f>
        <v>1</v>
      </c>
      <c r="AM99" t="b">
        <f t="shared" si="35"/>
        <v>1</v>
      </c>
      <c r="AN99">
        <f>IFERROR(VLOOKUP($B99, aegis!$AU:$AV, 2, FALSE), 0)</f>
        <v>0</v>
      </c>
      <c r="AO99">
        <f>IFERROR(VLOOKUP($B99, duel!$AU:$AV, 2, FALSE), 0)</f>
        <v>0</v>
      </c>
      <c r="AP99">
        <f>IFERROR(VLOOKUP($B99, blitz!$AU:$AV, 2, FALSE), 0)</f>
        <v>0</v>
      </c>
      <c r="AQ99" t="b">
        <f t="shared" si="36"/>
        <v>1</v>
      </c>
      <c r="AR99" t="str">
        <f>IFERROR(VLOOKUP($B99, aegis!$AZ:$BA, 2, FALSE), 0)</f>
        <v>2</v>
      </c>
      <c r="AS99" t="str">
        <f>IFERROR(VLOOKUP($B99, duel!$AZ:$BA, 2, FALSE), 0)</f>
        <v>2</v>
      </c>
      <c r="AT99" t="str">
        <f>IFERROR(VLOOKUP($B99, blitz!$AZ:$BA, 2, FALSE), 0)</f>
        <v>2</v>
      </c>
      <c r="AU99" t="b">
        <f t="shared" si="37"/>
        <v>1</v>
      </c>
      <c r="AV99" t="str">
        <f>IFERROR(VLOOKUP($B99, aegis!$BE:$BF, 2, FALSE), 0)</f>
        <v>1</v>
      </c>
      <c r="AW99" t="str">
        <f>IFERROR(VLOOKUP($B99, duel!$BE:$BF, 2, FALSE), 0)</f>
        <v>1</v>
      </c>
      <c r="AX99" t="str">
        <f>IFERROR(VLOOKUP($B99, blitz!$BE:$BF, 2, FALSE), 0)</f>
        <v>1</v>
      </c>
      <c r="AY99" t="b">
        <f t="shared" si="38"/>
        <v>1</v>
      </c>
      <c r="AZ99" t="str">
        <f>IFERROR(VLOOKUP($B99, aegis!$BJ:$BK, 2, FALSE), 0)</f>
        <v>1</v>
      </c>
      <c r="BA99" t="str">
        <f>IFERROR(VLOOKUP($B99, duel!$BJ:$BK, 2, FALSE), 0)</f>
        <v>1</v>
      </c>
      <c r="BB99" t="str">
        <f>IFERROR(VLOOKUP($B99, blitz!$BJ:$BK, 2, FALSE), 0)</f>
        <v>1</v>
      </c>
      <c r="BC99" t="b">
        <f t="shared" si="39"/>
        <v>1</v>
      </c>
      <c r="BD99">
        <f>IFERROR(VLOOKUP($B99, aegis!$BO:$BP, 2, FALSE), 0)</f>
        <v>0</v>
      </c>
      <c r="BE99">
        <f>IFERROR(VLOOKUP($B99, duel!$BO:$BP, 2, FALSE), 0)</f>
        <v>0</v>
      </c>
      <c r="BF99">
        <f>IFERROR(VLOOKUP($B99, blitz!$BO:$BP, 2, FALSE), 0)</f>
        <v>0</v>
      </c>
      <c r="BG99" t="b">
        <f t="shared" si="40"/>
        <v>1</v>
      </c>
      <c r="BH99" t="str">
        <f>IFERROR(VLOOKUP($B99, aegis!$BT:$BU, 2, FALSE), 0)</f>
        <v>18</v>
      </c>
      <c r="BI99" t="str">
        <f>IFERROR(VLOOKUP($B99, duel!$BT:$BU, 2, FALSE), 0)</f>
        <v>18</v>
      </c>
      <c r="BJ99" t="str">
        <f>IFERROR(VLOOKUP($B99, blitz!$BT:$BU, 2, FALSE), 0)</f>
        <v>18</v>
      </c>
      <c r="BK99" t="b">
        <f t="shared" si="41"/>
        <v>1</v>
      </c>
      <c r="BL99" t="str">
        <f>IFERROR(VLOOKUP($B99, aegis!$BY:$BZ, 2, FALSE), 0)</f>
        <v>1</v>
      </c>
      <c r="BM99" t="str">
        <f>IFERROR(VLOOKUP($B99, duel!$BY:$BZ, 2, FALSE), 0)</f>
        <v>1</v>
      </c>
      <c r="BN99" t="str">
        <f>IFERROR(VLOOKUP($B99, blitz!$BY:$BZ, 2, FALSE), 0)</f>
        <v>1</v>
      </c>
      <c r="BO99" t="b">
        <f t="shared" si="42"/>
        <v>1</v>
      </c>
      <c r="BP99" t="str">
        <f>IFERROR(VLOOKUP($B99, aegis!$CD:$CE, 2, FALSE), 0)</f>
        <v>5</v>
      </c>
      <c r="BQ99" t="str">
        <f>IFERROR(VLOOKUP($B99, duel!$CD:$CE, 2, FALSE), 0)</f>
        <v>5</v>
      </c>
      <c r="BR99" t="str">
        <f>IFERROR(VLOOKUP($B99, blitz!$CD:$CE, 2, FALSE), 0)</f>
        <v>5</v>
      </c>
      <c r="BS99" t="b">
        <f t="shared" si="43"/>
        <v>1</v>
      </c>
      <c r="BT99">
        <f>IFERROR(VLOOKUP($B99, aegis!$CI:$CJ, 2, FALSE), 0)</f>
        <v>0</v>
      </c>
      <c r="BU99">
        <f>IFERROR(VLOOKUP($B99, duel!$CI:$CJ, 2, FALSE), 0)</f>
        <v>0</v>
      </c>
      <c r="BV99">
        <f>IFERROR(VLOOKUP($B99, blitz!$CI:$CJ, 2, FALSE), 0)</f>
        <v>0</v>
      </c>
      <c r="BW99" t="b">
        <f t="shared" si="44"/>
        <v>1</v>
      </c>
      <c r="BX99">
        <f>IFERROR(VLOOKUP($B99, aegis!$CN:$CO, 2, FALSE), 0)</f>
        <v>0</v>
      </c>
      <c r="BY99">
        <f>IFERROR(VLOOKUP($B99, duel!$CN:$CO, 2, FALSE), 0)</f>
        <v>0</v>
      </c>
      <c r="BZ99">
        <f>IFERROR(VLOOKUP($B99, blitz!$CN:$CO, 2, FALSE), 0)</f>
        <v>0</v>
      </c>
      <c r="CA99" t="b">
        <f t="shared" si="45"/>
        <v>1</v>
      </c>
      <c r="CB99">
        <f>IFERROR(VLOOKUP($B99, aegis!$CS:$CT, 2, FALSE), 0)</f>
        <v>0</v>
      </c>
      <c r="CC99">
        <f>IFERROR(VLOOKUP($B99, duel!$CS:$CT, 2, FALSE), 0)</f>
        <v>0</v>
      </c>
      <c r="CD99">
        <f>IFERROR(VLOOKUP($B99, blitz!$CS:$CT, 2, FALSE), 0)</f>
        <v>0</v>
      </c>
      <c r="CE99" t="b">
        <f t="shared" si="46"/>
        <v>1</v>
      </c>
      <c r="CF99" t="str">
        <f>IFERROR(VLOOKUP($B99, aegis!$CX:$CY, 2, FALSE), 0)</f>
        <v>2395</v>
      </c>
      <c r="CG99" t="str">
        <f>IFERROR(VLOOKUP($B99, duel!$CX:$CY, 2, FALSE), 0)</f>
        <v>2395</v>
      </c>
      <c r="CH99" t="str">
        <f>IFERROR(VLOOKUP($B99, blitz!$CX:$CY, 2, FALSE), 0)</f>
        <v>2114</v>
      </c>
      <c r="CI99" t="b">
        <f t="shared" si="47"/>
        <v>0</v>
      </c>
      <c r="CJ99" t="str">
        <f>IFERROR(VLOOKUP($B99, aegis!$DC:$DD, 2, FALSE), 0)</f>
        <v>1</v>
      </c>
      <c r="CK99" t="str">
        <f>IFERROR(VLOOKUP($B99, duel!$DC:$DD, 2, FALSE), 0)</f>
        <v>1</v>
      </c>
      <c r="CL99" t="str">
        <f>IFERROR(VLOOKUP($B99, blitz!$DC:$DD, 2, FALSE), 0)</f>
        <v>1</v>
      </c>
      <c r="CM99" t="b">
        <f t="shared" si="48"/>
        <v>1</v>
      </c>
      <c r="CN99" t="str">
        <f>IFERROR(VLOOKUP($B99, aegis!$DH:$DI, 2, FALSE), 0)</f>
        <v>4</v>
      </c>
      <c r="CO99" t="str">
        <f>IFERROR(VLOOKUP($B99, duel!$DH:$DI, 2, FALSE), 0)</f>
        <v>3</v>
      </c>
      <c r="CP99" s="13">
        <f>IFERROR(VLOOKUP($B99, blitz!$DH:$DI, 2, FALSE), 0)</f>
        <v>0</v>
      </c>
      <c r="CQ99" t="b">
        <f t="shared" si="49"/>
        <v>0</v>
      </c>
      <c r="CR99" t="str">
        <f>IFERROR(VLOOKUP($B99, aegis!$DM:$DN, 2, FALSE), 0)</f>
        <v>1</v>
      </c>
      <c r="CS99">
        <f>IFERROR(VLOOKUP($B99, duel!$DM:$DN, 2, FALSE), 0)</f>
        <v>0</v>
      </c>
      <c r="CT99" t="str">
        <f>IFERROR(VLOOKUP($B99, blitz!$DM:$DN, 2, FALSE), 0)</f>
        <v>1</v>
      </c>
      <c r="CU99" t="b">
        <f t="shared" si="50"/>
        <v>0</v>
      </c>
      <c r="CV99" t="str">
        <f>IFERROR(VLOOKUP($B99, aegis!$DR:$DS, 2, FALSE), 0)</f>
        <v>49</v>
      </c>
      <c r="CW99" t="str">
        <f>IFERROR(VLOOKUP($B99, duel!$DR:$DS, 2, FALSE), 0)</f>
        <v>49</v>
      </c>
      <c r="CX99" t="str">
        <f>IFERROR(VLOOKUP($B99, blitz!$DR:$DS, 2, FALSE), 0)</f>
        <v>49</v>
      </c>
      <c r="CY99" t="b">
        <f t="shared" si="51"/>
        <v>1</v>
      </c>
    </row>
    <row r="100" spans="1:103">
      <c r="A100" t="s">
        <v>1733</v>
      </c>
      <c r="B100" s="6" t="s">
        <v>186</v>
      </c>
      <c r="C100" s="5" t="b">
        <f t="shared" si="26"/>
        <v>0</v>
      </c>
      <c r="D100" t="str">
        <f>IFERROR(VLOOKUP($B100, aegis!$B:$C, 2, FALSE), 0)</f>
        <v>24</v>
      </c>
      <c r="E100" t="str">
        <f>IFERROR(VLOOKUP($B100, duel!$B:$C, 2, FALSE), 0)</f>
        <v>24</v>
      </c>
      <c r="F100" t="str">
        <f>IFERROR(VLOOKUP($B100, blitz!$B:$C, 2, FALSE), 0)</f>
        <v>24</v>
      </c>
      <c r="G100" t="b">
        <f t="shared" si="27"/>
        <v>1</v>
      </c>
      <c r="H100" t="str">
        <f>IFERROR(VLOOKUP($B100, aegis!$G:$H, 2, FALSE), 0)</f>
        <v>14</v>
      </c>
      <c r="I100" t="str">
        <f>IFERROR(VLOOKUP($B100, duel!$G:$H, 2, FALSE), 0)</f>
        <v>14</v>
      </c>
      <c r="J100" t="str">
        <f>IFERROR(VLOOKUP($B100, blitz!$G:$H, 2, FALSE), 0)</f>
        <v>14</v>
      </c>
      <c r="K100" t="b">
        <f t="shared" si="28"/>
        <v>1</v>
      </c>
      <c r="L100" t="str">
        <f>IFERROR(VLOOKUP($B100, aegis!$L:$M, 2, FALSE), 0)</f>
        <v>24</v>
      </c>
      <c r="M100" t="str">
        <f>IFERROR(VLOOKUP($B100, duel!$L:$M, 2, FALSE), 0)</f>
        <v>24</v>
      </c>
      <c r="N100" t="str">
        <f>IFERROR(VLOOKUP($B100, blitz!$L:$M, 2, FALSE), 0)</f>
        <v>24</v>
      </c>
      <c r="O100" t="b">
        <f t="shared" si="29"/>
        <v>1</v>
      </c>
      <c r="P100" t="str">
        <f>IFERROR(VLOOKUP($B100, aegis!$Q:$R, 2, FALSE), 0)</f>
        <v>14</v>
      </c>
      <c r="Q100" t="str">
        <f>IFERROR(VLOOKUP($B100, duel!$Q:$R, 2, FALSE), 0)</f>
        <v>14</v>
      </c>
      <c r="R100" t="str">
        <f>IFERROR(VLOOKUP($B100, blitz!$Q:$R, 2, FALSE), 0)</f>
        <v>14</v>
      </c>
      <c r="S100" t="b">
        <f t="shared" si="30"/>
        <v>1</v>
      </c>
      <c r="T100">
        <f>IFERROR(VLOOKUP($B100, aegis!$V:$W, 2, FALSE), 0)</f>
        <v>0</v>
      </c>
      <c r="U100">
        <f>IFERROR(VLOOKUP($B100, duel!$V:$W, 2, FALSE), 0)</f>
        <v>0</v>
      </c>
      <c r="V100">
        <f>IFERROR(VLOOKUP($B100, blitz!$V:$W, 2, FALSE), 0)</f>
        <v>0</v>
      </c>
      <c r="W100" t="b">
        <f t="shared" si="31"/>
        <v>1</v>
      </c>
      <c r="X100" t="str">
        <f>IFERROR(VLOOKUP($B100, aegis!$AA:$AB, 2, FALSE), 0)</f>
        <v>2</v>
      </c>
      <c r="Y100" t="str">
        <f>IFERROR(VLOOKUP($B100, duel!$AA:$AB, 2, FALSE), 0)</f>
        <v>2</v>
      </c>
      <c r="Z100" t="str">
        <f>IFERROR(VLOOKUP($B100, blitz!$AA:$AB, 2, FALSE), 0)</f>
        <v>2</v>
      </c>
      <c r="AA100" t="b">
        <f t="shared" si="32"/>
        <v>1</v>
      </c>
      <c r="AB100" t="str">
        <f>IFERROR(VLOOKUP($B100, aegis!$AF:$AG, 2, FALSE), 0)</f>
        <v>18</v>
      </c>
      <c r="AC100" t="str">
        <f>IFERROR(VLOOKUP($B100, duel!$AF:$AG, 2, FALSE), 0)</f>
        <v>18</v>
      </c>
      <c r="AD100" t="str">
        <f>IFERROR(VLOOKUP($B100, blitz!$AF:$AG, 2, FALSE), 0)</f>
        <v>18</v>
      </c>
      <c r="AE100" t="b">
        <f t="shared" si="33"/>
        <v>1</v>
      </c>
      <c r="AF100" t="str">
        <f>IFERROR(VLOOKUP($B100, aegis!$AK:$AL, 2, FALSE), 0)</f>
        <v>3</v>
      </c>
      <c r="AG100" t="str">
        <f>IFERROR(VLOOKUP($B100, duel!$AK:$AL, 2, FALSE), 0)</f>
        <v>1</v>
      </c>
      <c r="AH100" t="str">
        <f>IFERROR(VLOOKUP($B100, blitz!$AK:$AL, 2, FALSE), 0)</f>
        <v>1</v>
      </c>
      <c r="AI100" t="b">
        <f t="shared" si="34"/>
        <v>0</v>
      </c>
      <c r="AJ100" t="str">
        <f>IFERROR(VLOOKUP($B100, aegis!$AP:$AQ, 2, FALSE), 0)</f>
        <v>1</v>
      </c>
      <c r="AK100" t="str">
        <f>IFERROR(VLOOKUP($B100, duel!$AP:$AQ, 2, FALSE), 0)</f>
        <v>1</v>
      </c>
      <c r="AL100" t="str">
        <f>IFERROR(VLOOKUP($B100, blitz!$AP:$AQ, 2, FALSE), 0)</f>
        <v>1</v>
      </c>
      <c r="AM100" t="b">
        <f t="shared" si="35"/>
        <v>1</v>
      </c>
      <c r="AN100">
        <f>IFERROR(VLOOKUP($B100, aegis!$AU:$AV, 2, FALSE), 0)</f>
        <v>0</v>
      </c>
      <c r="AO100">
        <f>IFERROR(VLOOKUP($B100, duel!$AU:$AV, 2, FALSE), 0)</f>
        <v>0</v>
      </c>
      <c r="AP100">
        <f>IFERROR(VLOOKUP($B100, blitz!$AU:$AV, 2, FALSE), 0)</f>
        <v>0</v>
      </c>
      <c r="AQ100" t="b">
        <f t="shared" si="36"/>
        <v>1</v>
      </c>
      <c r="AR100" t="str">
        <f>IFERROR(VLOOKUP($B100, aegis!$AZ:$BA, 2, FALSE), 0)</f>
        <v>2</v>
      </c>
      <c r="AS100" t="str">
        <f>IFERROR(VLOOKUP($B100, duel!$AZ:$BA, 2, FALSE), 0)</f>
        <v>2</v>
      </c>
      <c r="AT100" t="str">
        <f>IFERROR(VLOOKUP($B100, blitz!$AZ:$BA, 2, FALSE), 0)</f>
        <v>2</v>
      </c>
      <c r="AU100" t="b">
        <f t="shared" si="37"/>
        <v>1</v>
      </c>
      <c r="AV100" t="str">
        <f>IFERROR(VLOOKUP($B100, aegis!$BE:$BF, 2, FALSE), 0)</f>
        <v>2</v>
      </c>
      <c r="AW100" t="str">
        <f>IFERROR(VLOOKUP($B100, duel!$BE:$BF, 2, FALSE), 0)</f>
        <v>2</v>
      </c>
      <c r="AX100" t="str">
        <f>IFERROR(VLOOKUP($B100, blitz!$BE:$BF, 2, FALSE), 0)</f>
        <v>2</v>
      </c>
      <c r="AY100" t="b">
        <f t="shared" si="38"/>
        <v>1</v>
      </c>
      <c r="AZ100" t="str">
        <f>IFERROR(VLOOKUP($B100, aegis!$BJ:$BK, 2, FALSE), 0)</f>
        <v>1</v>
      </c>
      <c r="BA100" t="str">
        <f>IFERROR(VLOOKUP($B100, duel!$BJ:$BK, 2, FALSE), 0)</f>
        <v>1</v>
      </c>
      <c r="BB100" t="str">
        <f>IFERROR(VLOOKUP($B100, blitz!$BJ:$BK, 2, FALSE), 0)</f>
        <v>1</v>
      </c>
      <c r="BC100" t="b">
        <f t="shared" si="39"/>
        <v>1</v>
      </c>
      <c r="BD100">
        <f>IFERROR(VLOOKUP($B100, aegis!$BO:$BP, 2, FALSE), 0)</f>
        <v>0</v>
      </c>
      <c r="BE100">
        <f>IFERROR(VLOOKUP($B100, duel!$BO:$BP, 2, FALSE), 0)</f>
        <v>0</v>
      </c>
      <c r="BF100">
        <f>IFERROR(VLOOKUP($B100, blitz!$BO:$BP, 2, FALSE), 0)</f>
        <v>0</v>
      </c>
      <c r="BG100" t="b">
        <f t="shared" si="40"/>
        <v>1</v>
      </c>
      <c r="BH100" t="str">
        <f>IFERROR(VLOOKUP($B100, aegis!$BT:$BU, 2, FALSE), 0)</f>
        <v>5</v>
      </c>
      <c r="BI100" t="str">
        <f>IFERROR(VLOOKUP($B100, duel!$BT:$BU, 2, FALSE), 0)</f>
        <v>5</v>
      </c>
      <c r="BJ100" t="str">
        <f>IFERROR(VLOOKUP($B100, blitz!$BT:$BU, 2, FALSE), 0)</f>
        <v>5</v>
      </c>
      <c r="BK100" t="b">
        <f t="shared" si="41"/>
        <v>1</v>
      </c>
      <c r="BL100" t="str">
        <f>IFERROR(VLOOKUP($B100, aegis!$BY:$BZ, 2, FALSE), 0)</f>
        <v>2</v>
      </c>
      <c r="BM100" t="str">
        <f>IFERROR(VLOOKUP($B100, duel!$BY:$BZ, 2, FALSE), 0)</f>
        <v>2</v>
      </c>
      <c r="BN100" t="str">
        <f>IFERROR(VLOOKUP($B100, blitz!$BY:$BZ, 2, FALSE), 0)</f>
        <v>2</v>
      </c>
      <c r="BO100" t="b">
        <f t="shared" si="42"/>
        <v>1</v>
      </c>
      <c r="BP100" t="str">
        <f>IFERROR(VLOOKUP($B100, aegis!$CD:$CE, 2, FALSE), 0)</f>
        <v>5</v>
      </c>
      <c r="BQ100" t="str">
        <f>IFERROR(VLOOKUP($B100, duel!$CD:$CE, 2, FALSE), 0)</f>
        <v>5</v>
      </c>
      <c r="BR100" t="str">
        <f>IFERROR(VLOOKUP($B100, blitz!$CD:$CE, 2, FALSE), 0)</f>
        <v>5</v>
      </c>
      <c r="BS100" t="b">
        <f t="shared" si="43"/>
        <v>1</v>
      </c>
      <c r="BT100">
        <f>IFERROR(VLOOKUP($B100, aegis!$CI:$CJ, 2, FALSE), 0)</f>
        <v>0</v>
      </c>
      <c r="BU100">
        <f>IFERROR(VLOOKUP($B100, duel!$CI:$CJ, 2, FALSE), 0)</f>
        <v>0</v>
      </c>
      <c r="BV100">
        <f>IFERROR(VLOOKUP($B100, blitz!$CI:$CJ, 2, FALSE), 0)</f>
        <v>0</v>
      </c>
      <c r="BW100" t="b">
        <f t="shared" si="44"/>
        <v>1</v>
      </c>
      <c r="BX100">
        <f>IFERROR(VLOOKUP($B100, aegis!$CN:$CO, 2, FALSE), 0)</f>
        <v>0</v>
      </c>
      <c r="BY100">
        <f>IFERROR(VLOOKUP($B100, duel!$CN:$CO, 2, FALSE), 0)</f>
        <v>0</v>
      </c>
      <c r="BZ100">
        <f>IFERROR(VLOOKUP($B100, blitz!$CN:$CO, 2, FALSE), 0)</f>
        <v>0</v>
      </c>
      <c r="CA100" t="b">
        <f t="shared" si="45"/>
        <v>1</v>
      </c>
      <c r="CB100">
        <f>IFERROR(VLOOKUP($B100, aegis!$CS:$CT, 2, FALSE), 0)</f>
        <v>0</v>
      </c>
      <c r="CC100">
        <f>IFERROR(VLOOKUP($B100, duel!$CS:$CT, 2, FALSE), 0)</f>
        <v>0</v>
      </c>
      <c r="CD100">
        <f>IFERROR(VLOOKUP($B100, blitz!$CS:$CT, 2, FALSE), 0)</f>
        <v>0</v>
      </c>
      <c r="CE100" t="b">
        <f t="shared" si="46"/>
        <v>1</v>
      </c>
      <c r="CF100">
        <f>IFERROR(VLOOKUP($B100, aegis!$CX:$CY, 2, FALSE), 0)</f>
        <v>0</v>
      </c>
      <c r="CG100">
        <f>IFERROR(VLOOKUP($B100, duel!$CX:$CY, 2, FALSE), 0)</f>
        <v>0</v>
      </c>
      <c r="CH100">
        <f>IFERROR(VLOOKUP($B100, blitz!$CX:$CY, 2, FALSE), 0)</f>
        <v>0</v>
      </c>
      <c r="CI100" t="b">
        <f t="shared" si="47"/>
        <v>1</v>
      </c>
      <c r="CJ100" t="str">
        <f>IFERROR(VLOOKUP($B100, aegis!$DC:$DD, 2, FALSE), 0)</f>
        <v>1</v>
      </c>
      <c r="CK100" t="str">
        <f>IFERROR(VLOOKUP($B100, duel!$DC:$DD, 2, FALSE), 0)</f>
        <v>1</v>
      </c>
      <c r="CL100" t="str">
        <f>IFERROR(VLOOKUP($B100, blitz!$DC:$DD, 2, FALSE), 0)</f>
        <v>1</v>
      </c>
      <c r="CM100" t="b">
        <f t="shared" si="48"/>
        <v>1</v>
      </c>
      <c r="CN100" t="str">
        <f>IFERROR(VLOOKUP($B100, aegis!$DH:$DI, 2, FALSE), 0)</f>
        <v>3</v>
      </c>
      <c r="CO100" t="str">
        <f>IFERROR(VLOOKUP($B100, duel!$DH:$DI, 2, FALSE), 0)</f>
        <v>2</v>
      </c>
      <c r="CP100" s="13">
        <f>IFERROR(VLOOKUP($B100, blitz!$DH:$DI, 2, FALSE), 0)</f>
        <v>0</v>
      </c>
      <c r="CQ100" t="b">
        <f t="shared" si="49"/>
        <v>0</v>
      </c>
      <c r="CR100" t="str">
        <f>IFERROR(VLOOKUP($B100, aegis!$DM:$DN, 2, FALSE), 0)</f>
        <v>2</v>
      </c>
      <c r="CS100" t="str">
        <f>IFERROR(VLOOKUP($B100, duel!$DM:$DN, 2, FALSE), 0)</f>
        <v>1</v>
      </c>
      <c r="CT100" t="str">
        <f>IFERROR(VLOOKUP($B100, blitz!$DM:$DN, 2, FALSE), 0)</f>
        <v>2</v>
      </c>
      <c r="CU100" t="b">
        <f t="shared" si="50"/>
        <v>0</v>
      </c>
      <c r="CV100" t="str">
        <f>IFERROR(VLOOKUP($B100, aegis!$DR:$DS, 2, FALSE), 0)</f>
        <v>17</v>
      </c>
      <c r="CW100" t="str">
        <f>IFERROR(VLOOKUP($B100, duel!$DR:$DS, 2, FALSE), 0)</f>
        <v>17</v>
      </c>
      <c r="CX100" t="str">
        <f>IFERROR(VLOOKUP($B100, blitz!$DR:$DS, 2, FALSE), 0)</f>
        <v>17</v>
      </c>
      <c r="CY100" t="b">
        <f t="shared" si="51"/>
        <v>1</v>
      </c>
    </row>
    <row r="101" spans="1:103">
      <c r="A101" t="s">
        <v>1733</v>
      </c>
      <c r="B101" s="6" t="s">
        <v>188</v>
      </c>
      <c r="C101" s="5" t="b">
        <f t="shared" si="26"/>
        <v>0</v>
      </c>
      <c r="D101" t="str">
        <f>IFERROR(VLOOKUP($B101, aegis!$B:$C, 2, FALSE), 0)</f>
        <v>24</v>
      </c>
      <c r="E101" t="str">
        <f>IFERROR(VLOOKUP($B101, duel!$B:$C, 2, FALSE), 0)</f>
        <v>24</v>
      </c>
      <c r="F101" t="str">
        <f>IFERROR(VLOOKUP($B101, blitz!$B:$C, 2, FALSE), 0)</f>
        <v>24</v>
      </c>
      <c r="G101" t="b">
        <f t="shared" si="27"/>
        <v>1</v>
      </c>
      <c r="H101" t="str">
        <f>IFERROR(VLOOKUP($B101, aegis!$G:$H, 2, FALSE), 0)</f>
        <v>14</v>
      </c>
      <c r="I101" t="str">
        <f>IFERROR(VLOOKUP($B101, duel!$G:$H, 2, FALSE), 0)</f>
        <v>14</v>
      </c>
      <c r="J101" t="str">
        <f>IFERROR(VLOOKUP($B101, blitz!$G:$H, 2, FALSE), 0)</f>
        <v>14</v>
      </c>
      <c r="K101" t="b">
        <f t="shared" si="28"/>
        <v>1</v>
      </c>
      <c r="L101" t="str">
        <f>IFERROR(VLOOKUP($B101, aegis!$L:$M, 2, FALSE), 0)</f>
        <v>24</v>
      </c>
      <c r="M101" t="str">
        <f>IFERROR(VLOOKUP($B101, duel!$L:$M, 2, FALSE), 0)</f>
        <v>24</v>
      </c>
      <c r="N101" t="str">
        <f>IFERROR(VLOOKUP($B101, blitz!$L:$M, 2, FALSE), 0)</f>
        <v>24</v>
      </c>
      <c r="O101" t="b">
        <f t="shared" si="29"/>
        <v>1</v>
      </c>
      <c r="P101" t="str">
        <f>IFERROR(VLOOKUP($B101, aegis!$Q:$R, 2, FALSE), 0)</f>
        <v>14</v>
      </c>
      <c r="Q101" t="str">
        <f>IFERROR(VLOOKUP($B101, duel!$Q:$R, 2, FALSE), 0)</f>
        <v>14</v>
      </c>
      <c r="R101" t="str">
        <f>IFERROR(VLOOKUP($B101, blitz!$Q:$R, 2, FALSE), 0)</f>
        <v>14</v>
      </c>
      <c r="S101" t="b">
        <f t="shared" si="30"/>
        <v>1</v>
      </c>
      <c r="T101">
        <f>IFERROR(VLOOKUP($B101, aegis!$V:$W, 2, FALSE), 0)</f>
        <v>0</v>
      </c>
      <c r="U101">
        <f>IFERROR(VLOOKUP($B101, duel!$V:$W, 2, FALSE), 0)</f>
        <v>0</v>
      </c>
      <c r="V101">
        <f>IFERROR(VLOOKUP($B101, blitz!$V:$W, 2, FALSE), 0)</f>
        <v>0</v>
      </c>
      <c r="W101" t="b">
        <f t="shared" si="31"/>
        <v>1</v>
      </c>
      <c r="X101" t="str">
        <f>IFERROR(VLOOKUP($B101, aegis!$AA:$AB, 2, FALSE), 0)</f>
        <v>2</v>
      </c>
      <c r="Y101" t="str">
        <f>IFERROR(VLOOKUP($B101, duel!$AA:$AB, 2, FALSE), 0)</f>
        <v>2</v>
      </c>
      <c r="Z101" t="str">
        <f>IFERROR(VLOOKUP($B101, blitz!$AA:$AB, 2, FALSE), 0)</f>
        <v>2</v>
      </c>
      <c r="AA101" t="b">
        <f t="shared" si="32"/>
        <v>1</v>
      </c>
      <c r="AB101" t="str">
        <f>IFERROR(VLOOKUP($B101, aegis!$AF:$AG, 2, FALSE), 0)</f>
        <v>54</v>
      </c>
      <c r="AC101" t="str">
        <f>IFERROR(VLOOKUP($B101, duel!$AF:$AG, 2, FALSE), 0)</f>
        <v>54</v>
      </c>
      <c r="AD101" t="str">
        <f>IFERROR(VLOOKUP($B101, blitz!$AF:$AG, 2, FALSE), 0)</f>
        <v>54</v>
      </c>
      <c r="AE101" t="b">
        <f t="shared" si="33"/>
        <v>1</v>
      </c>
      <c r="AF101" t="str">
        <f>IFERROR(VLOOKUP($B101, aegis!$AK:$AL, 2, FALSE), 0)</f>
        <v>3</v>
      </c>
      <c r="AG101" t="str">
        <f>IFERROR(VLOOKUP($B101, duel!$AK:$AL, 2, FALSE), 0)</f>
        <v>1</v>
      </c>
      <c r="AH101" t="str">
        <f>IFERROR(VLOOKUP($B101, blitz!$AK:$AL, 2, FALSE), 0)</f>
        <v>1</v>
      </c>
      <c r="AI101" t="b">
        <f t="shared" si="34"/>
        <v>0</v>
      </c>
      <c r="AJ101" t="str">
        <f>IFERROR(VLOOKUP($B101, aegis!$AP:$AQ, 2, FALSE), 0)</f>
        <v>1</v>
      </c>
      <c r="AK101" t="str">
        <f>IFERROR(VLOOKUP($B101, duel!$AP:$AQ, 2, FALSE), 0)</f>
        <v>1</v>
      </c>
      <c r="AL101" t="str">
        <f>IFERROR(VLOOKUP($B101, blitz!$AP:$AQ, 2, FALSE), 0)</f>
        <v>1</v>
      </c>
      <c r="AM101" t="b">
        <f t="shared" si="35"/>
        <v>1</v>
      </c>
      <c r="AN101">
        <f>IFERROR(VLOOKUP($B101, aegis!$AU:$AV, 2, FALSE), 0)</f>
        <v>0</v>
      </c>
      <c r="AO101">
        <f>IFERROR(VLOOKUP($B101, duel!$AU:$AV, 2, FALSE), 0)</f>
        <v>0</v>
      </c>
      <c r="AP101">
        <f>IFERROR(VLOOKUP($B101, blitz!$AU:$AV, 2, FALSE), 0)</f>
        <v>0</v>
      </c>
      <c r="AQ101" t="b">
        <f t="shared" si="36"/>
        <v>1</v>
      </c>
      <c r="AR101" t="str">
        <f>IFERROR(VLOOKUP($B101, aegis!$AZ:$BA, 2, FALSE), 0)</f>
        <v>2</v>
      </c>
      <c r="AS101" t="str">
        <f>IFERROR(VLOOKUP($B101, duel!$AZ:$BA, 2, FALSE), 0)</f>
        <v>2</v>
      </c>
      <c r="AT101" t="str">
        <f>IFERROR(VLOOKUP($B101, blitz!$AZ:$BA, 2, FALSE), 0)</f>
        <v>2</v>
      </c>
      <c r="AU101" t="b">
        <f t="shared" si="37"/>
        <v>1</v>
      </c>
      <c r="AV101" t="str">
        <f>IFERROR(VLOOKUP($B101, aegis!$BE:$BF, 2, FALSE), 0)</f>
        <v>1</v>
      </c>
      <c r="AW101" t="str">
        <f>IFERROR(VLOOKUP($B101, duel!$BE:$BF, 2, FALSE), 0)</f>
        <v>1</v>
      </c>
      <c r="AX101" t="str">
        <f>IFERROR(VLOOKUP($B101, blitz!$BE:$BF, 2, FALSE), 0)</f>
        <v>1</v>
      </c>
      <c r="AY101" t="b">
        <f t="shared" si="38"/>
        <v>1</v>
      </c>
      <c r="AZ101" t="str">
        <f>IFERROR(VLOOKUP($B101, aegis!$BJ:$BK, 2, FALSE), 0)</f>
        <v>1</v>
      </c>
      <c r="BA101" t="str">
        <f>IFERROR(VLOOKUP($B101, duel!$BJ:$BK, 2, FALSE), 0)</f>
        <v>1</v>
      </c>
      <c r="BB101" t="str">
        <f>IFERROR(VLOOKUP($B101, blitz!$BJ:$BK, 2, FALSE), 0)</f>
        <v>1</v>
      </c>
      <c r="BC101" t="b">
        <f t="shared" si="39"/>
        <v>1</v>
      </c>
      <c r="BD101">
        <f>IFERROR(VLOOKUP($B101, aegis!$BO:$BP, 2, FALSE), 0)</f>
        <v>0</v>
      </c>
      <c r="BE101">
        <f>IFERROR(VLOOKUP($B101, duel!$BO:$BP, 2, FALSE), 0)</f>
        <v>0</v>
      </c>
      <c r="BF101">
        <f>IFERROR(VLOOKUP($B101, blitz!$BO:$BP, 2, FALSE), 0)</f>
        <v>0</v>
      </c>
      <c r="BG101" t="b">
        <f t="shared" si="40"/>
        <v>1</v>
      </c>
      <c r="BH101" t="str">
        <f>IFERROR(VLOOKUP($B101, aegis!$BT:$BU, 2, FALSE), 0)</f>
        <v>21</v>
      </c>
      <c r="BI101" t="str">
        <f>IFERROR(VLOOKUP($B101, duel!$BT:$BU, 2, FALSE), 0)</f>
        <v>21</v>
      </c>
      <c r="BJ101" t="str">
        <f>IFERROR(VLOOKUP($B101, blitz!$BT:$BU, 2, FALSE), 0)</f>
        <v>21</v>
      </c>
      <c r="BK101" t="b">
        <f t="shared" si="41"/>
        <v>1</v>
      </c>
      <c r="BL101" t="str">
        <f>IFERROR(VLOOKUP($B101, aegis!$BY:$BZ, 2, FALSE), 0)</f>
        <v>1</v>
      </c>
      <c r="BM101" t="str">
        <f>IFERROR(VLOOKUP($B101, duel!$BY:$BZ, 2, FALSE), 0)</f>
        <v>1</v>
      </c>
      <c r="BN101" t="str">
        <f>IFERROR(VLOOKUP($B101, blitz!$BY:$BZ, 2, FALSE), 0)</f>
        <v>1</v>
      </c>
      <c r="BO101" t="b">
        <f t="shared" si="42"/>
        <v>1</v>
      </c>
      <c r="BP101" t="str">
        <f>IFERROR(VLOOKUP($B101, aegis!$CD:$CE, 2, FALSE), 0)</f>
        <v>3</v>
      </c>
      <c r="BQ101" t="str">
        <f>IFERROR(VLOOKUP($B101, duel!$CD:$CE, 2, FALSE), 0)</f>
        <v>3</v>
      </c>
      <c r="BR101" t="str">
        <f>IFERROR(VLOOKUP($B101, blitz!$CD:$CE, 2, FALSE), 0)</f>
        <v>3</v>
      </c>
      <c r="BS101" t="b">
        <f t="shared" si="43"/>
        <v>1</v>
      </c>
      <c r="BT101" t="str">
        <f>IFERROR(VLOOKUP($B101, aegis!$CI:$CJ, 2, FALSE), 0)</f>
        <v>198</v>
      </c>
      <c r="BU101" t="str">
        <f>IFERROR(VLOOKUP($B101, duel!$CI:$CJ, 2, FALSE), 0)</f>
        <v>198</v>
      </c>
      <c r="BV101" t="str">
        <f>IFERROR(VLOOKUP($B101, blitz!$CI:$CJ, 2, FALSE), 0)</f>
        <v>198</v>
      </c>
      <c r="BW101" t="b">
        <f t="shared" si="44"/>
        <v>1</v>
      </c>
      <c r="BX101" t="str">
        <f>IFERROR(VLOOKUP($B101, aegis!$CN:$CO, 2, FALSE), 0)</f>
        <v>198</v>
      </c>
      <c r="BY101" t="str">
        <f>IFERROR(VLOOKUP($B101, duel!$CN:$CO, 2, FALSE), 0)</f>
        <v>198</v>
      </c>
      <c r="BZ101" t="str">
        <f>IFERROR(VLOOKUP($B101, blitz!$CN:$CO, 2, FALSE), 0)</f>
        <v>198</v>
      </c>
      <c r="CA101" t="b">
        <f t="shared" si="45"/>
        <v>1</v>
      </c>
      <c r="CB101" t="str">
        <f>IFERROR(VLOOKUP($B101, aegis!$CS:$CT, 2, FALSE), 0)</f>
        <v>891</v>
      </c>
      <c r="CC101" t="str">
        <f>IFERROR(VLOOKUP($B101, duel!$CS:$CT, 2, FALSE), 0)</f>
        <v>891</v>
      </c>
      <c r="CD101" t="str">
        <f>IFERROR(VLOOKUP($B101, blitz!$CS:$CT, 2, FALSE), 0)</f>
        <v>891</v>
      </c>
      <c r="CE101" t="b">
        <f t="shared" si="46"/>
        <v>1</v>
      </c>
      <c r="CF101" t="str">
        <f>IFERROR(VLOOKUP($B101, aegis!$CX:$CY, 2, FALSE), 0)</f>
        <v>2902</v>
      </c>
      <c r="CG101" t="str">
        <f>IFERROR(VLOOKUP($B101, duel!$CX:$CY, 2, FALSE), 0)</f>
        <v>2902</v>
      </c>
      <c r="CH101" t="str">
        <f>IFERROR(VLOOKUP($B101, blitz!$CX:$CY, 2, FALSE), 0)</f>
        <v>2887</v>
      </c>
      <c r="CI101" t="b">
        <f t="shared" si="47"/>
        <v>0</v>
      </c>
      <c r="CJ101" t="str">
        <f>IFERROR(VLOOKUP($B101, aegis!$DC:$DD, 2, FALSE), 0)</f>
        <v>1</v>
      </c>
      <c r="CK101" t="str">
        <f>IFERROR(VLOOKUP($B101, duel!$DC:$DD, 2, FALSE), 0)</f>
        <v>1</v>
      </c>
      <c r="CL101" t="str">
        <f>IFERROR(VLOOKUP($B101, blitz!$DC:$DD, 2, FALSE), 0)</f>
        <v>1</v>
      </c>
      <c r="CM101" t="b">
        <f t="shared" si="48"/>
        <v>1</v>
      </c>
      <c r="CN101" t="str">
        <f>IFERROR(VLOOKUP($B101, aegis!$DH:$DI, 2, FALSE), 0)</f>
        <v>3</v>
      </c>
      <c r="CO101" t="str">
        <f>IFERROR(VLOOKUP($B101, duel!$DH:$DI, 2, FALSE), 0)</f>
        <v>2</v>
      </c>
      <c r="CP101" s="13">
        <f>IFERROR(VLOOKUP($B101, blitz!$DH:$DI, 2, FALSE), 0)</f>
        <v>0</v>
      </c>
      <c r="CQ101" t="b">
        <f t="shared" si="49"/>
        <v>0</v>
      </c>
      <c r="CR101" t="str">
        <f>IFERROR(VLOOKUP($B101, aegis!$DM:$DN, 2, FALSE), 0)</f>
        <v>1</v>
      </c>
      <c r="CS101">
        <f>IFERROR(VLOOKUP($B101, duel!$DM:$DN, 2, FALSE), 0)</f>
        <v>0</v>
      </c>
      <c r="CT101" t="str">
        <f>IFERROR(VLOOKUP($B101, blitz!$DM:$DN, 2, FALSE), 0)</f>
        <v>1</v>
      </c>
      <c r="CU101" t="b">
        <f t="shared" si="50"/>
        <v>0</v>
      </c>
      <c r="CV101" t="str">
        <f>IFERROR(VLOOKUP($B101, aegis!$DR:$DS, 2, FALSE), 0)</f>
        <v>54</v>
      </c>
      <c r="CW101" t="str">
        <f>IFERROR(VLOOKUP($B101, duel!$DR:$DS, 2, FALSE), 0)</f>
        <v>54</v>
      </c>
      <c r="CX101" t="str">
        <f>IFERROR(VLOOKUP($B101, blitz!$DR:$DS, 2, FALSE), 0)</f>
        <v>54</v>
      </c>
      <c r="CY101" t="b">
        <f t="shared" si="51"/>
        <v>1</v>
      </c>
    </row>
    <row r="102" spans="1:103">
      <c r="A102" t="s">
        <v>1733</v>
      </c>
      <c r="B102" s="6" t="s">
        <v>190</v>
      </c>
      <c r="C102" s="5" t="b">
        <f t="shared" si="26"/>
        <v>0</v>
      </c>
      <c r="D102" t="str">
        <f>IFERROR(VLOOKUP($B102, aegis!$B:$C, 2, FALSE), 0)</f>
        <v>24</v>
      </c>
      <c r="E102" t="str">
        <f>IFERROR(VLOOKUP($B102, duel!$B:$C, 2, FALSE), 0)</f>
        <v>24</v>
      </c>
      <c r="F102" t="str">
        <f>IFERROR(VLOOKUP($B102, blitz!$B:$C, 2, FALSE), 0)</f>
        <v>24</v>
      </c>
      <c r="G102" t="b">
        <f t="shared" si="27"/>
        <v>1</v>
      </c>
      <c r="H102" t="str">
        <f>IFERROR(VLOOKUP($B102, aegis!$G:$H, 2, FALSE), 0)</f>
        <v>14</v>
      </c>
      <c r="I102" t="str">
        <f>IFERROR(VLOOKUP($B102, duel!$G:$H, 2, FALSE), 0)</f>
        <v>14</v>
      </c>
      <c r="J102" t="str">
        <f>IFERROR(VLOOKUP($B102, blitz!$G:$H, 2, FALSE), 0)</f>
        <v>14</v>
      </c>
      <c r="K102" t="b">
        <f t="shared" si="28"/>
        <v>1</v>
      </c>
      <c r="L102" t="str">
        <f>IFERROR(VLOOKUP($B102, aegis!$L:$M, 2, FALSE), 0)</f>
        <v>24</v>
      </c>
      <c r="M102" t="str">
        <f>IFERROR(VLOOKUP($B102, duel!$L:$M, 2, FALSE), 0)</f>
        <v>24</v>
      </c>
      <c r="N102" t="str">
        <f>IFERROR(VLOOKUP($B102, blitz!$L:$M, 2, FALSE), 0)</f>
        <v>24</v>
      </c>
      <c r="O102" t="b">
        <f t="shared" si="29"/>
        <v>1</v>
      </c>
      <c r="P102" t="str">
        <f>IFERROR(VLOOKUP($B102, aegis!$Q:$R, 2, FALSE), 0)</f>
        <v>14</v>
      </c>
      <c r="Q102" t="str">
        <f>IFERROR(VLOOKUP($B102, duel!$Q:$R, 2, FALSE), 0)</f>
        <v>14</v>
      </c>
      <c r="R102" t="str">
        <f>IFERROR(VLOOKUP($B102, blitz!$Q:$R, 2, FALSE), 0)</f>
        <v>14</v>
      </c>
      <c r="S102" t="b">
        <f t="shared" si="30"/>
        <v>1</v>
      </c>
      <c r="T102">
        <f>IFERROR(VLOOKUP($B102, aegis!$V:$W, 2, FALSE), 0)</f>
        <v>0</v>
      </c>
      <c r="U102">
        <f>IFERROR(VLOOKUP($B102, duel!$V:$W, 2, FALSE), 0)</f>
        <v>0</v>
      </c>
      <c r="V102">
        <f>IFERROR(VLOOKUP($B102, blitz!$V:$W, 2, FALSE), 0)</f>
        <v>0</v>
      </c>
      <c r="W102" t="b">
        <f t="shared" si="31"/>
        <v>1</v>
      </c>
      <c r="X102" t="str">
        <f>IFERROR(VLOOKUP($B102, aegis!$AA:$AB, 2, FALSE), 0)</f>
        <v>2</v>
      </c>
      <c r="Y102" t="str">
        <f>IFERROR(VLOOKUP($B102, duel!$AA:$AB, 2, FALSE), 0)</f>
        <v>2</v>
      </c>
      <c r="Z102" t="str">
        <f>IFERROR(VLOOKUP($B102, blitz!$AA:$AB, 2, FALSE), 0)</f>
        <v>2</v>
      </c>
      <c r="AA102" t="b">
        <f t="shared" si="32"/>
        <v>1</v>
      </c>
      <c r="AB102" t="str">
        <f>IFERROR(VLOOKUP($B102, aegis!$AF:$AG, 2, FALSE), 0)</f>
        <v>1</v>
      </c>
      <c r="AC102" t="str">
        <f>IFERROR(VLOOKUP($B102, duel!$AF:$AG, 2, FALSE), 0)</f>
        <v>1</v>
      </c>
      <c r="AD102" t="str">
        <f>IFERROR(VLOOKUP($B102, blitz!$AF:$AG, 2, FALSE), 0)</f>
        <v>1</v>
      </c>
      <c r="AE102" t="b">
        <f t="shared" si="33"/>
        <v>1</v>
      </c>
      <c r="AF102" t="str">
        <f>IFERROR(VLOOKUP($B102, aegis!$AK:$AL, 2, FALSE), 0)</f>
        <v>3</v>
      </c>
      <c r="AG102" t="str">
        <f>IFERROR(VLOOKUP($B102, duel!$AK:$AL, 2, FALSE), 0)</f>
        <v>1</v>
      </c>
      <c r="AH102" t="str">
        <f>IFERROR(VLOOKUP($B102, blitz!$AK:$AL, 2, FALSE), 0)</f>
        <v>1</v>
      </c>
      <c r="AI102" t="b">
        <f t="shared" si="34"/>
        <v>0</v>
      </c>
      <c r="AJ102" t="str">
        <f>IFERROR(VLOOKUP($B102, aegis!$AP:$AQ, 2, FALSE), 0)</f>
        <v>1</v>
      </c>
      <c r="AK102" t="str">
        <f>IFERROR(VLOOKUP($B102, duel!$AP:$AQ, 2, FALSE), 0)</f>
        <v>1</v>
      </c>
      <c r="AL102" t="str">
        <f>IFERROR(VLOOKUP($B102, blitz!$AP:$AQ, 2, FALSE), 0)</f>
        <v>1</v>
      </c>
      <c r="AM102" t="b">
        <f t="shared" si="35"/>
        <v>1</v>
      </c>
      <c r="AN102">
        <f>IFERROR(VLOOKUP($B102, aegis!$AU:$AV, 2, FALSE), 0)</f>
        <v>0</v>
      </c>
      <c r="AO102">
        <f>IFERROR(VLOOKUP($B102, duel!$AU:$AV, 2, FALSE), 0)</f>
        <v>0</v>
      </c>
      <c r="AP102">
        <f>IFERROR(VLOOKUP($B102, blitz!$AU:$AV, 2, FALSE), 0)</f>
        <v>0</v>
      </c>
      <c r="AQ102" t="b">
        <f t="shared" si="36"/>
        <v>1</v>
      </c>
      <c r="AR102" t="str">
        <f>IFERROR(VLOOKUP($B102, aegis!$AZ:$BA, 2, FALSE), 0)</f>
        <v>2</v>
      </c>
      <c r="AS102" t="str">
        <f>IFERROR(VLOOKUP($B102, duel!$AZ:$BA, 2, FALSE), 0)</f>
        <v>2</v>
      </c>
      <c r="AT102" t="str">
        <f>IFERROR(VLOOKUP($B102, blitz!$AZ:$BA, 2, FALSE), 0)</f>
        <v>2</v>
      </c>
      <c r="AU102" t="b">
        <f t="shared" si="37"/>
        <v>1</v>
      </c>
      <c r="AV102" t="str">
        <f>IFERROR(VLOOKUP($B102, aegis!$BE:$BF, 2, FALSE), 0)</f>
        <v>1</v>
      </c>
      <c r="AW102" t="str">
        <f>IFERROR(VLOOKUP($B102, duel!$BE:$BF, 2, FALSE), 0)</f>
        <v>1</v>
      </c>
      <c r="AX102" t="str">
        <f>IFERROR(VLOOKUP($B102, blitz!$BE:$BF, 2, FALSE), 0)</f>
        <v>1</v>
      </c>
      <c r="AY102" t="b">
        <f t="shared" si="38"/>
        <v>1</v>
      </c>
      <c r="AZ102" t="str">
        <f>IFERROR(VLOOKUP($B102, aegis!$BJ:$BK, 2, FALSE), 0)</f>
        <v>1</v>
      </c>
      <c r="BA102" t="str">
        <f>IFERROR(VLOOKUP($B102, duel!$BJ:$BK, 2, FALSE), 0)</f>
        <v>1</v>
      </c>
      <c r="BB102" t="str">
        <f>IFERROR(VLOOKUP($B102, blitz!$BJ:$BK, 2, FALSE), 0)</f>
        <v>1</v>
      </c>
      <c r="BC102" t="b">
        <f t="shared" si="39"/>
        <v>1</v>
      </c>
      <c r="BD102">
        <f>IFERROR(VLOOKUP($B102, aegis!$BO:$BP, 2, FALSE), 0)</f>
        <v>0</v>
      </c>
      <c r="BE102">
        <f>IFERROR(VLOOKUP($B102, duel!$BO:$BP, 2, FALSE), 0)</f>
        <v>0</v>
      </c>
      <c r="BF102">
        <f>IFERROR(VLOOKUP($B102, blitz!$BO:$BP, 2, FALSE), 0)</f>
        <v>0</v>
      </c>
      <c r="BG102" t="b">
        <f t="shared" si="40"/>
        <v>1</v>
      </c>
      <c r="BH102" t="str">
        <f>IFERROR(VLOOKUP($B102, aegis!$BT:$BU, 2, FALSE), 0)</f>
        <v>1</v>
      </c>
      <c r="BI102" t="str">
        <f>IFERROR(VLOOKUP($B102, duel!$BT:$BU, 2, FALSE), 0)</f>
        <v>1</v>
      </c>
      <c r="BJ102" t="str">
        <f>IFERROR(VLOOKUP($B102, blitz!$BT:$BU, 2, FALSE), 0)</f>
        <v>1</v>
      </c>
      <c r="BK102" t="b">
        <f t="shared" si="41"/>
        <v>1</v>
      </c>
      <c r="BL102" t="str">
        <f>IFERROR(VLOOKUP($B102, aegis!$BY:$BZ, 2, FALSE), 0)</f>
        <v>1</v>
      </c>
      <c r="BM102" t="str">
        <f>IFERROR(VLOOKUP($B102, duel!$BY:$BZ, 2, FALSE), 0)</f>
        <v>1</v>
      </c>
      <c r="BN102" t="str">
        <f>IFERROR(VLOOKUP($B102, blitz!$BY:$BZ, 2, FALSE), 0)</f>
        <v>1</v>
      </c>
      <c r="BO102" t="b">
        <f t="shared" si="42"/>
        <v>1</v>
      </c>
      <c r="BP102" t="str">
        <f>IFERROR(VLOOKUP($B102, aegis!$CD:$CE, 2, FALSE), 0)</f>
        <v>3</v>
      </c>
      <c r="BQ102" t="str">
        <f>IFERROR(VLOOKUP($B102, duel!$CD:$CE, 2, FALSE), 0)</f>
        <v>3</v>
      </c>
      <c r="BR102" t="str">
        <f>IFERROR(VLOOKUP($B102, blitz!$CD:$CE, 2, FALSE), 0)</f>
        <v>3</v>
      </c>
      <c r="BS102" t="b">
        <f t="shared" si="43"/>
        <v>1</v>
      </c>
      <c r="BT102">
        <f>IFERROR(VLOOKUP($B102, aegis!$CI:$CJ, 2, FALSE), 0)</f>
        <v>0</v>
      </c>
      <c r="BU102">
        <f>IFERROR(VLOOKUP($B102, duel!$CI:$CJ, 2, FALSE), 0)</f>
        <v>0</v>
      </c>
      <c r="BV102">
        <f>IFERROR(VLOOKUP($B102, blitz!$CI:$CJ, 2, FALSE), 0)</f>
        <v>0</v>
      </c>
      <c r="BW102" t="b">
        <f t="shared" si="44"/>
        <v>1</v>
      </c>
      <c r="BX102">
        <f>IFERROR(VLOOKUP($B102, aegis!$CN:$CO, 2, FALSE), 0)</f>
        <v>0</v>
      </c>
      <c r="BY102">
        <f>IFERROR(VLOOKUP($B102, duel!$CN:$CO, 2, FALSE), 0)</f>
        <v>0</v>
      </c>
      <c r="BZ102">
        <f>IFERROR(VLOOKUP($B102, blitz!$CN:$CO, 2, FALSE), 0)</f>
        <v>0</v>
      </c>
      <c r="CA102" t="b">
        <f t="shared" si="45"/>
        <v>1</v>
      </c>
      <c r="CB102">
        <f>IFERROR(VLOOKUP($B102, aegis!$CS:$CT, 2, FALSE), 0)</f>
        <v>0</v>
      </c>
      <c r="CC102">
        <f>IFERROR(VLOOKUP($B102, duel!$CS:$CT, 2, FALSE), 0)</f>
        <v>0</v>
      </c>
      <c r="CD102">
        <f>IFERROR(VLOOKUP($B102, blitz!$CS:$CT, 2, FALSE), 0)</f>
        <v>0</v>
      </c>
      <c r="CE102" t="b">
        <f t="shared" si="46"/>
        <v>1</v>
      </c>
      <c r="CF102" t="str">
        <f>IFERROR(VLOOKUP($B102, aegis!$CX:$CY, 2, FALSE), 0)</f>
        <v>202</v>
      </c>
      <c r="CG102" t="str">
        <f>IFERROR(VLOOKUP($B102, duel!$CX:$CY, 2, FALSE), 0)</f>
        <v>202</v>
      </c>
      <c r="CH102" t="str">
        <f>IFERROR(VLOOKUP($B102, blitz!$CX:$CY, 2, FALSE), 0)</f>
        <v>202</v>
      </c>
      <c r="CI102" t="b">
        <f t="shared" si="47"/>
        <v>1</v>
      </c>
      <c r="CJ102" t="str">
        <f>IFERROR(VLOOKUP($B102, aegis!$DC:$DD, 2, FALSE), 0)</f>
        <v>1</v>
      </c>
      <c r="CK102" t="str">
        <f>IFERROR(VLOOKUP($B102, duel!$DC:$DD, 2, FALSE), 0)</f>
        <v>1</v>
      </c>
      <c r="CL102" t="str">
        <f>IFERROR(VLOOKUP($B102, blitz!$DC:$DD, 2, FALSE), 0)</f>
        <v>1</v>
      </c>
      <c r="CM102" t="b">
        <f t="shared" si="48"/>
        <v>1</v>
      </c>
      <c r="CN102" t="str">
        <f>IFERROR(VLOOKUP($B102, aegis!$DH:$DI, 2, FALSE), 0)</f>
        <v>1</v>
      </c>
      <c r="CO102">
        <f>IFERROR(VLOOKUP($B102, duel!$DH:$DI, 2, FALSE), 0)</f>
        <v>0</v>
      </c>
      <c r="CP102" s="13">
        <f>IFERROR(VLOOKUP($B102, blitz!$DH:$DI, 2, FALSE), 0)</f>
        <v>0</v>
      </c>
      <c r="CQ102" t="b">
        <f t="shared" si="49"/>
        <v>0</v>
      </c>
      <c r="CR102" t="str">
        <f>IFERROR(VLOOKUP($B102, aegis!$DM:$DN, 2, FALSE), 0)</f>
        <v>1</v>
      </c>
      <c r="CS102">
        <f>IFERROR(VLOOKUP($B102, duel!$DM:$DN, 2, FALSE), 0)</f>
        <v>0</v>
      </c>
      <c r="CT102" t="str">
        <f>IFERROR(VLOOKUP($B102, blitz!$DM:$DN, 2, FALSE), 0)</f>
        <v>1</v>
      </c>
      <c r="CU102" t="b">
        <f t="shared" si="50"/>
        <v>0</v>
      </c>
      <c r="CV102" t="str">
        <f>IFERROR(VLOOKUP($B102, aegis!$DR:$DS, 2, FALSE), 0)</f>
        <v>1</v>
      </c>
      <c r="CW102" t="str">
        <f>IFERROR(VLOOKUP($B102, duel!$DR:$DS, 2, FALSE), 0)</f>
        <v>1</v>
      </c>
      <c r="CX102" t="str">
        <f>IFERROR(VLOOKUP($B102, blitz!$DR:$DS, 2, FALSE), 0)</f>
        <v>1</v>
      </c>
      <c r="CY102" t="b">
        <f t="shared" si="51"/>
        <v>1</v>
      </c>
    </row>
    <row r="103" spans="1:103">
      <c r="A103" t="s">
        <v>1733</v>
      </c>
      <c r="B103" s="6" t="s">
        <v>192</v>
      </c>
      <c r="C103" s="5" t="b">
        <f t="shared" si="26"/>
        <v>0</v>
      </c>
      <c r="D103" t="str">
        <f>IFERROR(VLOOKUP($B103, aegis!$B:$C, 2, FALSE), 0)</f>
        <v>24</v>
      </c>
      <c r="E103" t="str">
        <f>IFERROR(VLOOKUP($B103, duel!$B:$C, 2, FALSE), 0)</f>
        <v>24</v>
      </c>
      <c r="F103" t="str">
        <f>IFERROR(VLOOKUP($B103, blitz!$B:$C, 2, FALSE), 0)</f>
        <v>24</v>
      </c>
      <c r="G103" t="b">
        <f t="shared" si="27"/>
        <v>1</v>
      </c>
      <c r="H103" t="str">
        <f>IFERROR(VLOOKUP($B103, aegis!$G:$H, 2, FALSE), 0)</f>
        <v>14</v>
      </c>
      <c r="I103" t="str">
        <f>IFERROR(VLOOKUP($B103, duel!$G:$H, 2, FALSE), 0)</f>
        <v>14</v>
      </c>
      <c r="J103" t="str">
        <f>IFERROR(VLOOKUP($B103, blitz!$G:$H, 2, FALSE), 0)</f>
        <v>14</v>
      </c>
      <c r="K103" t="b">
        <f t="shared" si="28"/>
        <v>1</v>
      </c>
      <c r="L103" t="str">
        <f>IFERROR(VLOOKUP($B103, aegis!$L:$M, 2, FALSE), 0)</f>
        <v>24</v>
      </c>
      <c r="M103" t="str">
        <f>IFERROR(VLOOKUP($B103, duel!$L:$M, 2, FALSE), 0)</f>
        <v>24</v>
      </c>
      <c r="N103" t="str">
        <f>IFERROR(VLOOKUP($B103, blitz!$L:$M, 2, FALSE), 0)</f>
        <v>24</v>
      </c>
      <c r="O103" t="b">
        <f t="shared" si="29"/>
        <v>1</v>
      </c>
      <c r="P103" t="str">
        <f>IFERROR(VLOOKUP($B103, aegis!$Q:$R, 2, FALSE), 0)</f>
        <v>14</v>
      </c>
      <c r="Q103" t="str">
        <f>IFERROR(VLOOKUP($B103, duel!$Q:$R, 2, FALSE), 0)</f>
        <v>14</v>
      </c>
      <c r="R103" t="str">
        <f>IFERROR(VLOOKUP($B103, blitz!$Q:$R, 2, FALSE), 0)</f>
        <v>14</v>
      </c>
      <c r="S103" t="b">
        <f t="shared" si="30"/>
        <v>1</v>
      </c>
      <c r="T103">
        <f>IFERROR(VLOOKUP($B103, aegis!$V:$W, 2, FALSE), 0)</f>
        <v>0</v>
      </c>
      <c r="U103">
        <f>IFERROR(VLOOKUP($B103, duel!$V:$W, 2, FALSE), 0)</f>
        <v>0</v>
      </c>
      <c r="V103">
        <f>IFERROR(VLOOKUP($B103, blitz!$V:$W, 2, FALSE), 0)</f>
        <v>0</v>
      </c>
      <c r="W103" t="b">
        <f t="shared" si="31"/>
        <v>1</v>
      </c>
      <c r="X103" t="str">
        <f>IFERROR(VLOOKUP($B103, aegis!$AA:$AB, 2, FALSE), 0)</f>
        <v>2</v>
      </c>
      <c r="Y103" t="str">
        <f>IFERROR(VLOOKUP($B103, duel!$AA:$AB, 2, FALSE), 0)</f>
        <v>2</v>
      </c>
      <c r="Z103" t="str">
        <f>IFERROR(VLOOKUP($B103, blitz!$AA:$AB, 2, FALSE), 0)</f>
        <v>2</v>
      </c>
      <c r="AA103" t="b">
        <f t="shared" si="32"/>
        <v>1</v>
      </c>
      <c r="AB103">
        <f>IFERROR(VLOOKUP($B103, aegis!$AF:$AG, 2, FALSE), 0)</f>
        <v>0</v>
      </c>
      <c r="AC103">
        <f>IFERROR(VLOOKUP($B103, duel!$AF:$AG, 2, FALSE), 0)</f>
        <v>0</v>
      </c>
      <c r="AD103">
        <f>IFERROR(VLOOKUP($B103, blitz!$AF:$AG, 2, FALSE), 0)</f>
        <v>0</v>
      </c>
      <c r="AE103" t="b">
        <f t="shared" si="33"/>
        <v>1</v>
      </c>
      <c r="AF103" t="str">
        <f>IFERROR(VLOOKUP($B103, aegis!$AK:$AL, 2, FALSE), 0)</f>
        <v>3</v>
      </c>
      <c r="AG103" t="str">
        <f>IFERROR(VLOOKUP($B103, duel!$AK:$AL, 2, FALSE), 0)</f>
        <v>1</v>
      </c>
      <c r="AH103" t="str">
        <f>IFERROR(VLOOKUP($B103, blitz!$AK:$AL, 2, FALSE), 0)</f>
        <v>1</v>
      </c>
      <c r="AI103" t="b">
        <f t="shared" si="34"/>
        <v>0</v>
      </c>
      <c r="AJ103" t="str">
        <f>IFERROR(VLOOKUP($B103, aegis!$AP:$AQ, 2, FALSE), 0)</f>
        <v>1</v>
      </c>
      <c r="AK103" t="str">
        <f>IFERROR(VLOOKUP($B103, duel!$AP:$AQ, 2, FALSE), 0)</f>
        <v>1</v>
      </c>
      <c r="AL103" t="str">
        <f>IFERROR(VLOOKUP($B103, blitz!$AP:$AQ, 2, FALSE), 0)</f>
        <v>1</v>
      </c>
      <c r="AM103" t="b">
        <f t="shared" si="35"/>
        <v>1</v>
      </c>
      <c r="AN103">
        <f>IFERROR(VLOOKUP($B103, aegis!$AU:$AV, 2, FALSE), 0)</f>
        <v>0</v>
      </c>
      <c r="AO103">
        <f>IFERROR(VLOOKUP($B103, duel!$AU:$AV, 2, FALSE), 0)</f>
        <v>0</v>
      </c>
      <c r="AP103">
        <f>IFERROR(VLOOKUP($B103, blitz!$AU:$AV, 2, FALSE), 0)</f>
        <v>0</v>
      </c>
      <c r="AQ103" t="b">
        <f t="shared" si="36"/>
        <v>1</v>
      </c>
      <c r="AR103" t="str">
        <f>IFERROR(VLOOKUP($B103, aegis!$AZ:$BA, 2, FALSE), 0)</f>
        <v>2</v>
      </c>
      <c r="AS103" t="str">
        <f>IFERROR(VLOOKUP($B103, duel!$AZ:$BA, 2, FALSE), 0)</f>
        <v>2</v>
      </c>
      <c r="AT103" t="str">
        <f>IFERROR(VLOOKUP($B103, blitz!$AZ:$BA, 2, FALSE), 0)</f>
        <v>2</v>
      </c>
      <c r="AU103" t="b">
        <f t="shared" si="37"/>
        <v>1</v>
      </c>
      <c r="AV103" t="str">
        <f>IFERROR(VLOOKUP($B103, aegis!$BE:$BF, 2, FALSE), 0)</f>
        <v>1</v>
      </c>
      <c r="AW103" t="str">
        <f>IFERROR(VLOOKUP($B103, duel!$BE:$BF, 2, FALSE), 0)</f>
        <v>1</v>
      </c>
      <c r="AX103" t="str">
        <f>IFERROR(VLOOKUP($B103, blitz!$BE:$BF, 2, FALSE), 0)</f>
        <v>1</v>
      </c>
      <c r="AY103" t="b">
        <f t="shared" si="38"/>
        <v>1</v>
      </c>
      <c r="AZ103" t="str">
        <f>IFERROR(VLOOKUP($B103, aegis!$BJ:$BK, 2, FALSE), 0)</f>
        <v>1</v>
      </c>
      <c r="BA103" t="str">
        <f>IFERROR(VLOOKUP($B103, duel!$BJ:$BK, 2, FALSE), 0)</f>
        <v>1</v>
      </c>
      <c r="BB103" t="str">
        <f>IFERROR(VLOOKUP($B103, blitz!$BJ:$BK, 2, FALSE), 0)</f>
        <v>1</v>
      </c>
      <c r="BC103" t="b">
        <f t="shared" si="39"/>
        <v>1</v>
      </c>
      <c r="BD103">
        <f>IFERROR(VLOOKUP($B103, aegis!$BO:$BP, 2, FALSE), 0)</f>
        <v>0</v>
      </c>
      <c r="BE103">
        <f>IFERROR(VLOOKUP($B103, duel!$BO:$BP, 2, FALSE), 0)</f>
        <v>0</v>
      </c>
      <c r="BF103">
        <f>IFERROR(VLOOKUP($B103, blitz!$BO:$BP, 2, FALSE), 0)</f>
        <v>0</v>
      </c>
      <c r="BG103" t="b">
        <f t="shared" si="40"/>
        <v>1</v>
      </c>
      <c r="BH103">
        <f>IFERROR(VLOOKUP($B103, aegis!$BT:$BU, 2, FALSE), 0)</f>
        <v>0</v>
      </c>
      <c r="BI103">
        <f>IFERROR(VLOOKUP($B103, duel!$BT:$BU, 2, FALSE), 0)</f>
        <v>0</v>
      </c>
      <c r="BJ103">
        <f>IFERROR(VLOOKUP($B103, blitz!$BT:$BU, 2, FALSE), 0)</f>
        <v>0</v>
      </c>
      <c r="BK103" t="b">
        <f t="shared" si="41"/>
        <v>1</v>
      </c>
      <c r="BL103" t="str">
        <f>IFERROR(VLOOKUP($B103, aegis!$BY:$BZ, 2, FALSE), 0)</f>
        <v>1</v>
      </c>
      <c r="BM103" t="str">
        <f>IFERROR(VLOOKUP($B103, duel!$BY:$BZ, 2, FALSE), 0)</f>
        <v>1</v>
      </c>
      <c r="BN103" t="str">
        <f>IFERROR(VLOOKUP($B103, blitz!$BY:$BZ, 2, FALSE), 0)</f>
        <v>1</v>
      </c>
      <c r="BO103" t="b">
        <f t="shared" si="42"/>
        <v>1</v>
      </c>
      <c r="BP103" t="str">
        <f>IFERROR(VLOOKUP($B103, aegis!$CD:$CE, 2, FALSE), 0)</f>
        <v>1</v>
      </c>
      <c r="BQ103" t="str">
        <f>IFERROR(VLOOKUP($B103, duel!$CD:$CE, 2, FALSE), 0)</f>
        <v>1</v>
      </c>
      <c r="BR103" t="str">
        <f>IFERROR(VLOOKUP($B103, blitz!$CD:$CE, 2, FALSE), 0)</f>
        <v>1</v>
      </c>
      <c r="BS103" t="b">
        <f t="shared" si="43"/>
        <v>1</v>
      </c>
      <c r="BT103">
        <f>IFERROR(VLOOKUP($B103, aegis!$CI:$CJ, 2, FALSE), 0)</f>
        <v>0</v>
      </c>
      <c r="BU103">
        <f>IFERROR(VLOOKUP($B103, duel!$CI:$CJ, 2, FALSE), 0)</f>
        <v>0</v>
      </c>
      <c r="BV103">
        <f>IFERROR(VLOOKUP($B103, blitz!$CI:$CJ, 2, FALSE), 0)</f>
        <v>0</v>
      </c>
      <c r="BW103" t="b">
        <f t="shared" si="44"/>
        <v>1</v>
      </c>
      <c r="BX103">
        <f>IFERROR(VLOOKUP($B103, aegis!$CN:$CO, 2, FALSE), 0)</f>
        <v>0</v>
      </c>
      <c r="BY103">
        <f>IFERROR(VLOOKUP($B103, duel!$CN:$CO, 2, FALSE), 0)</f>
        <v>0</v>
      </c>
      <c r="BZ103">
        <f>IFERROR(VLOOKUP($B103, blitz!$CN:$CO, 2, FALSE), 0)</f>
        <v>0</v>
      </c>
      <c r="CA103" t="b">
        <f t="shared" si="45"/>
        <v>1</v>
      </c>
      <c r="CB103">
        <f>IFERROR(VLOOKUP($B103, aegis!$CS:$CT, 2, FALSE), 0)</f>
        <v>0</v>
      </c>
      <c r="CC103">
        <f>IFERROR(VLOOKUP($B103, duel!$CS:$CT, 2, FALSE), 0)</f>
        <v>0</v>
      </c>
      <c r="CD103">
        <f>IFERROR(VLOOKUP($B103, blitz!$CS:$CT, 2, FALSE), 0)</f>
        <v>0</v>
      </c>
      <c r="CE103" t="b">
        <f t="shared" si="46"/>
        <v>1</v>
      </c>
      <c r="CF103">
        <f>IFERROR(VLOOKUP($B103, aegis!$CX:$CY, 2, FALSE), 0)</f>
        <v>0</v>
      </c>
      <c r="CG103">
        <f>IFERROR(VLOOKUP($B103, duel!$CX:$CY, 2, FALSE), 0)</f>
        <v>0</v>
      </c>
      <c r="CH103">
        <f>IFERROR(VLOOKUP($B103, blitz!$CX:$CY, 2, FALSE), 0)</f>
        <v>0</v>
      </c>
      <c r="CI103" t="b">
        <f t="shared" si="47"/>
        <v>1</v>
      </c>
      <c r="CJ103" t="str">
        <f>IFERROR(VLOOKUP($B103, aegis!$DC:$DD, 2, FALSE), 0)</f>
        <v>1</v>
      </c>
      <c r="CK103" t="str">
        <f>IFERROR(VLOOKUP($B103, duel!$DC:$DD, 2, FALSE), 0)</f>
        <v>1</v>
      </c>
      <c r="CL103" t="str">
        <f>IFERROR(VLOOKUP($B103, blitz!$DC:$DD, 2, FALSE), 0)</f>
        <v>1</v>
      </c>
      <c r="CM103" t="b">
        <f t="shared" si="48"/>
        <v>1</v>
      </c>
      <c r="CN103" t="str">
        <f>IFERROR(VLOOKUP($B103, aegis!$DH:$DI, 2, FALSE), 0)</f>
        <v>1</v>
      </c>
      <c r="CO103">
        <f>IFERROR(VLOOKUP($B103, duel!$DH:$DI, 2, FALSE), 0)</f>
        <v>0</v>
      </c>
      <c r="CP103" s="13">
        <f>IFERROR(VLOOKUP($B103, blitz!$DH:$DI, 2, FALSE), 0)</f>
        <v>0</v>
      </c>
      <c r="CQ103" t="b">
        <f t="shared" si="49"/>
        <v>0</v>
      </c>
      <c r="CR103" t="str">
        <f>IFERROR(VLOOKUP($B103, aegis!$DM:$DN, 2, FALSE), 0)</f>
        <v>1</v>
      </c>
      <c r="CS103">
        <f>IFERROR(VLOOKUP($B103, duel!$DM:$DN, 2, FALSE), 0)</f>
        <v>0</v>
      </c>
      <c r="CT103" t="str">
        <f>IFERROR(VLOOKUP($B103, blitz!$DM:$DN, 2, FALSE), 0)</f>
        <v>1</v>
      </c>
      <c r="CU103" t="b">
        <f t="shared" si="50"/>
        <v>0</v>
      </c>
      <c r="CV103">
        <f>IFERROR(VLOOKUP($B103, aegis!$DR:$DS, 2, FALSE), 0)</f>
        <v>0</v>
      </c>
      <c r="CW103">
        <f>IFERROR(VLOOKUP($B103, duel!$DR:$DS, 2, FALSE), 0)</f>
        <v>0</v>
      </c>
      <c r="CX103">
        <f>IFERROR(VLOOKUP($B103, blitz!$DR:$DS, 2, FALSE), 0)</f>
        <v>0</v>
      </c>
      <c r="CY103" t="b">
        <f t="shared" si="51"/>
        <v>1</v>
      </c>
    </row>
    <row r="104" spans="1:103">
      <c r="B104" s="6" t="s">
        <v>194</v>
      </c>
      <c r="C104" s="5" t="b">
        <f t="shared" si="26"/>
        <v>0</v>
      </c>
      <c r="D104" t="str">
        <f>IFERROR(VLOOKUP($B104, aegis!$B:$C, 2, FALSE), 0)</f>
        <v>24</v>
      </c>
      <c r="E104" t="str">
        <f>IFERROR(VLOOKUP($B104, duel!$B:$C, 2, FALSE), 0)</f>
        <v>24</v>
      </c>
      <c r="F104" t="str">
        <f>IFERROR(VLOOKUP($B104, blitz!$B:$C, 2, FALSE), 0)</f>
        <v>24</v>
      </c>
      <c r="G104" t="b">
        <f t="shared" si="27"/>
        <v>1</v>
      </c>
      <c r="H104" t="str">
        <f>IFERROR(VLOOKUP($B104, aegis!$G:$H, 2, FALSE), 0)</f>
        <v>14</v>
      </c>
      <c r="I104" t="str">
        <f>IFERROR(VLOOKUP($B104, duel!$G:$H, 2, FALSE), 0)</f>
        <v>14</v>
      </c>
      <c r="J104" t="str">
        <f>IFERROR(VLOOKUP($B104, blitz!$G:$H, 2, FALSE), 0)</f>
        <v>14</v>
      </c>
      <c r="K104" t="b">
        <f t="shared" si="28"/>
        <v>1</v>
      </c>
      <c r="L104" t="str">
        <f>IFERROR(VLOOKUP($B104, aegis!$L:$M, 2, FALSE), 0)</f>
        <v>24</v>
      </c>
      <c r="M104" t="str">
        <f>IFERROR(VLOOKUP($B104, duel!$L:$M, 2, FALSE), 0)</f>
        <v>24</v>
      </c>
      <c r="N104" t="str">
        <f>IFERROR(VLOOKUP($B104, blitz!$L:$M, 2, FALSE), 0)</f>
        <v>24</v>
      </c>
      <c r="O104" t="b">
        <f t="shared" si="29"/>
        <v>1</v>
      </c>
      <c r="P104" t="str">
        <f>IFERROR(VLOOKUP($B104, aegis!$Q:$R, 2, FALSE), 0)</f>
        <v>14</v>
      </c>
      <c r="Q104" t="str">
        <f>IFERROR(VLOOKUP($B104, duel!$Q:$R, 2, FALSE), 0)</f>
        <v>14</v>
      </c>
      <c r="R104" t="str">
        <f>IFERROR(VLOOKUP($B104, blitz!$Q:$R, 2, FALSE), 0)</f>
        <v>14</v>
      </c>
      <c r="S104" t="b">
        <f t="shared" si="30"/>
        <v>1</v>
      </c>
      <c r="T104">
        <f>IFERROR(VLOOKUP($B104, aegis!$V:$W, 2, FALSE), 0)</f>
        <v>0</v>
      </c>
      <c r="U104">
        <f>IFERROR(VLOOKUP($B104, duel!$V:$W, 2, FALSE), 0)</f>
        <v>0</v>
      </c>
      <c r="V104">
        <f>IFERROR(VLOOKUP($B104, blitz!$V:$W, 2, FALSE), 0)</f>
        <v>0</v>
      </c>
      <c r="W104" t="b">
        <f t="shared" si="31"/>
        <v>1</v>
      </c>
      <c r="X104" t="str">
        <f>IFERROR(VLOOKUP($B104, aegis!$AA:$AB, 2, FALSE), 0)</f>
        <v>2</v>
      </c>
      <c r="Y104" t="str">
        <f>IFERROR(VLOOKUP($B104, duel!$AA:$AB, 2, FALSE), 0)</f>
        <v>2</v>
      </c>
      <c r="Z104" t="str">
        <f>IFERROR(VLOOKUP($B104, blitz!$AA:$AB, 2, FALSE), 0)</f>
        <v>2</v>
      </c>
      <c r="AA104" t="b">
        <f t="shared" si="32"/>
        <v>1</v>
      </c>
      <c r="AB104">
        <f>IFERROR(VLOOKUP($B104, aegis!$AF:$AG, 2, FALSE), 0)</f>
        <v>0</v>
      </c>
      <c r="AC104">
        <f>IFERROR(VLOOKUP($B104, duel!$AF:$AG, 2, FALSE), 0)</f>
        <v>0</v>
      </c>
      <c r="AD104">
        <f>IFERROR(VLOOKUP($B104, blitz!$AF:$AG, 2, FALSE), 0)</f>
        <v>0</v>
      </c>
      <c r="AE104" t="b">
        <f t="shared" si="33"/>
        <v>1</v>
      </c>
      <c r="AF104" t="str">
        <f>IFERROR(VLOOKUP($B104, aegis!$AK:$AL, 2, FALSE), 0)</f>
        <v>3</v>
      </c>
      <c r="AG104" t="str">
        <f>IFERROR(VLOOKUP($B104, duel!$AK:$AL, 2, FALSE), 0)</f>
        <v>1</v>
      </c>
      <c r="AH104" t="str">
        <f>IFERROR(VLOOKUP($B104, blitz!$AK:$AL, 2, FALSE), 0)</f>
        <v>1</v>
      </c>
      <c r="AI104" t="b">
        <f t="shared" si="34"/>
        <v>0</v>
      </c>
      <c r="AJ104" t="str">
        <f>IFERROR(VLOOKUP($B104, aegis!$AP:$AQ, 2, FALSE), 0)</f>
        <v>1</v>
      </c>
      <c r="AK104" t="str">
        <f>IFERROR(VLOOKUP($B104, duel!$AP:$AQ, 2, FALSE), 0)</f>
        <v>1</v>
      </c>
      <c r="AL104" t="str">
        <f>IFERROR(VLOOKUP($B104, blitz!$AP:$AQ, 2, FALSE), 0)</f>
        <v>1</v>
      </c>
      <c r="AM104" t="b">
        <f t="shared" si="35"/>
        <v>1</v>
      </c>
      <c r="AN104">
        <f>IFERROR(VLOOKUP($B104, aegis!$AU:$AV, 2, FALSE), 0)</f>
        <v>0</v>
      </c>
      <c r="AO104">
        <f>IFERROR(VLOOKUP($B104, duel!$AU:$AV, 2, FALSE), 0)</f>
        <v>0</v>
      </c>
      <c r="AP104">
        <f>IFERROR(VLOOKUP($B104, blitz!$AU:$AV, 2, FALSE), 0)</f>
        <v>0</v>
      </c>
      <c r="AQ104" t="b">
        <f t="shared" si="36"/>
        <v>1</v>
      </c>
      <c r="AR104" t="str">
        <f>IFERROR(VLOOKUP($B104, aegis!$AZ:$BA, 2, FALSE), 0)</f>
        <v>2</v>
      </c>
      <c r="AS104" t="str">
        <f>IFERROR(VLOOKUP($B104, duel!$AZ:$BA, 2, FALSE), 0)</f>
        <v>2</v>
      </c>
      <c r="AT104" t="str">
        <f>IFERROR(VLOOKUP($B104, blitz!$AZ:$BA, 2, FALSE), 0)</f>
        <v>2</v>
      </c>
      <c r="AU104" t="b">
        <f t="shared" si="37"/>
        <v>1</v>
      </c>
      <c r="AV104" t="str">
        <f>IFERROR(VLOOKUP($B104, aegis!$BE:$BF, 2, FALSE), 0)</f>
        <v>1</v>
      </c>
      <c r="AW104" t="str">
        <f>IFERROR(VLOOKUP($B104, duel!$BE:$BF, 2, FALSE), 0)</f>
        <v>1</v>
      </c>
      <c r="AX104" t="str">
        <f>IFERROR(VLOOKUP($B104, blitz!$BE:$BF, 2, FALSE), 0)</f>
        <v>1</v>
      </c>
      <c r="AY104" t="b">
        <f t="shared" si="38"/>
        <v>1</v>
      </c>
      <c r="AZ104" t="str">
        <f>IFERROR(VLOOKUP($B104, aegis!$BJ:$BK, 2, FALSE), 0)</f>
        <v>1</v>
      </c>
      <c r="BA104" t="str">
        <f>IFERROR(VLOOKUP($B104, duel!$BJ:$BK, 2, FALSE), 0)</f>
        <v>1</v>
      </c>
      <c r="BB104" t="str">
        <f>IFERROR(VLOOKUP($B104, blitz!$BJ:$BK, 2, FALSE), 0)</f>
        <v>1</v>
      </c>
      <c r="BC104" t="b">
        <f t="shared" si="39"/>
        <v>1</v>
      </c>
      <c r="BD104">
        <f>IFERROR(VLOOKUP($B104, aegis!$BO:$BP, 2, FALSE), 0)</f>
        <v>0</v>
      </c>
      <c r="BE104">
        <f>IFERROR(VLOOKUP($B104, duel!$BO:$BP, 2, FALSE), 0)</f>
        <v>0</v>
      </c>
      <c r="BF104">
        <f>IFERROR(VLOOKUP($B104, blitz!$BO:$BP, 2, FALSE), 0)</f>
        <v>0</v>
      </c>
      <c r="BG104" t="b">
        <f t="shared" si="40"/>
        <v>1</v>
      </c>
      <c r="BH104">
        <f>IFERROR(VLOOKUP($B104, aegis!$BT:$BU, 2, FALSE), 0)</f>
        <v>0</v>
      </c>
      <c r="BI104">
        <f>IFERROR(VLOOKUP($B104, duel!$BT:$BU, 2, FALSE), 0)</f>
        <v>0</v>
      </c>
      <c r="BJ104">
        <f>IFERROR(VLOOKUP($B104, blitz!$BT:$BU, 2, FALSE), 0)</f>
        <v>0</v>
      </c>
      <c r="BK104" t="b">
        <f t="shared" si="41"/>
        <v>1</v>
      </c>
      <c r="BL104" t="str">
        <f>IFERROR(VLOOKUP($B104, aegis!$BY:$BZ, 2, FALSE), 0)</f>
        <v>1</v>
      </c>
      <c r="BM104" t="str">
        <f>IFERROR(VLOOKUP($B104, duel!$BY:$BZ, 2, FALSE), 0)</f>
        <v>1</v>
      </c>
      <c r="BN104" t="str">
        <f>IFERROR(VLOOKUP($B104, blitz!$BY:$BZ, 2, FALSE), 0)</f>
        <v>1</v>
      </c>
      <c r="BO104" t="b">
        <f t="shared" si="42"/>
        <v>1</v>
      </c>
      <c r="BP104" t="str">
        <f>IFERROR(VLOOKUP($B104, aegis!$CD:$CE, 2, FALSE), 0)</f>
        <v>2</v>
      </c>
      <c r="BQ104" t="str">
        <f>IFERROR(VLOOKUP($B104, duel!$CD:$CE, 2, FALSE), 0)</f>
        <v>2</v>
      </c>
      <c r="BR104" t="str">
        <f>IFERROR(VLOOKUP($B104, blitz!$CD:$CE, 2, FALSE), 0)</f>
        <v>2</v>
      </c>
      <c r="BS104" t="b">
        <f t="shared" si="43"/>
        <v>1</v>
      </c>
      <c r="BT104">
        <f>IFERROR(VLOOKUP($B104, aegis!$CI:$CJ, 2, FALSE), 0)</f>
        <v>0</v>
      </c>
      <c r="BU104">
        <f>IFERROR(VLOOKUP($B104, duel!$CI:$CJ, 2, FALSE), 0)</f>
        <v>0</v>
      </c>
      <c r="BV104">
        <f>IFERROR(VLOOKUP($B104, blitz!$CI:$CJ, 2, FALSE), 0)</f>
        <v>0</v>
      </c>
      <c r="BW104" t="b">
        <f t="shared" si="44"/>
        <v>1</v>
      </c>
      <c r="BX104">
        <f>IFERROR(VLOOKUP($B104, aegis!$CN:$CO, 2, FALSE), 0)</f>
        <v>0</v>
      </c>
      <c r="BY104">
        <f>IFERROR(VLOOKUP($B104, duel!$CN:$CO, 2, FALSE), 0)</f>
        <v>0</v>
      </c>
      <c r="BZ104">
        <f>IFERROR(VLOOKUP($B104, blitz!$CN:$CO, 2, FALSE), 0)</f>
        <v>0</v>
      </c>
      <c r="CA104" t="b">
        <f t="shared" si="45"/>
        <v>1</v>
      </c>
      <c r="CB104">
        <f>IFERROR(VLOOKUP($B104, aegis!$CS:$CT, 2, FALSE), 0)</f>
        <v>0</v>
      </c>
      <c r="CC104">
        <f>IFERROR(VLOOKUP($B104, duel!$CS:$CT, 2, FALSE), 0)</f>
        <v>0</v>
      </c>
      <c r="CD104">
        <f>IFERROR(VLOOKUP($B104, blitz!$CS:$CT, 2, FALSE), 0)</f>
        <v>0</v>
      </c>
      <c r="CE104" t="b">
        <f t="shared" si="46"/>
        <v>1</v>
      </c>
      <c r="CF104">
        <f>IFERROR(VLOOKUP($B104, aegis!$CX:$CY, 2, FALSE), 0)</f>
        <v>0</v>
      </c>
      <c r="CG104">
        <f>IFERROR(VLOOKUP($B104, duel!$CX:$CY, 2, FALSE), 0)</f>
        <v>0</v>
      </c>
      <c r="CH104">
        <f>IFERROR(VLOOKUP($B104, blitz!$CX:$CY, 2, FALSE), 0)</f>
        <v>0</v>
      </c>
      <c r="CI104" t="b">
        <f t="shared" si="47"/>
        <v>1</v>
      </c>
      <c r="CJ104" t="str">
        <f>IFERROR(VLOOKUP($B104, aegis!$DC:$DD, 2, FALSE), 0)</f>
        <v>1</v>
      </c>
      <c r="CK104" t="str">
        <f>IFERROR(VLOOKUP($B104, duel!$DC:$DD, 2, FALSE), 0)</f>
        <v>1</v>
      </c>
      <c r="CL104" t="str">
        <f>IFERROR(VLOOKUP($B104, blitz!$DC:$DD, 2, FALSE), 0)</f>
        <v>1</v>
      </c>
      <c r="CM104" t="b">
        <f t="shared" si="48"/>
        <v>1</v>
      </c>
      <c r="CN104" t="str">
        <f>IFERROR(VLOOKUP($B104, aegis!$DH:$DI, 2, FALSE), 0)</f>
        <v>1</v>
      </c>
      <c r="CO104" t="str">
        <f>IFERROR(VLOOKUP($B104, duel!$DH:$DI, 2, FALSE), 0)</f>
        <v>1</v>
      </c>
      <c r="CP104" s="13">
        <f>IFERROR(VLOOKUP($B104, blitz!$DH:$DI, 2, FALSE), 0)</f>
        <v>0</v>
      </c>
      <c r="CQ104" t="b">
        <f t="shared" si="49"/>
        <v>1</v>
      </c>
      <c r="CR104" t="str">
        <f>IFERROR(VLOOKUP($B104, aegis!$DM:$DN, 2, FALSE), 0)</f>
        <v>1</v>
      </c>
      <c r="CS104" t="str">
        <f>IFERROR(VLOOKUP($B104, duel!$DM:$DN, 2, FALSE), 0)</f>
        <v>1</v>
      </c>
      <c r="CT104" t="str">
        <f>IFERROR(VLOOKUP($B104, blitz!$DM:$DN, 2, FALSE), 0)</f>
        <v>1</v>
      </c>
      <c r="CU104" t="b">
        <f t="shared" si="50"/>
        <v>1</v>
      </c>
      <c r="CV104">
        <f>IFERROR(VLOOKUP($B104, aegis!$DR:$DS, 2, FALSE), 0)</f>
        <v>0</v>
      </c>
      <c r="CW104">
        <f>IFERROR(VLOOKUP($B104, duel!$DR:$DS, 2, FALSE), 0)</f>
        <v>0</v>
      </c>
      <c r="CX104">
        <f>IFERROR(VLOOKUP($B104, blitz!$DR:$DS, 2, FALSE), 0)</f>
        <v>0</v>
      </c>
      <c r="CY104" t="b">
        <f t="shared" si="51"/>
        <v>1</v>
      </c>
    </row>
    <row r="105" spans="1:103">
      <c r="B105" s="6" t="s">
        <v>196</v>
      </c>
      <c r="C105" s="5" t="b">
        <f t="shared" si="26"/>
        <v>0</v>
      </c>
      <c r="D105" t="str">
        <f>IFERROR(VLOOKUP($B105, aegis!$B:$C, 2, FALSE), 0)</f>
        <v>24</v>
      </c>
      <c r="E105" t="str">
        <f>IFERROR(VLOOKUP($B105, duel!$B:$C, 2, FALSE), 0)</f>
        <v>24</v>
      </c>
      <c r="F105" t="str">
        <f>IFERROR(VLOOKUP($B105, blitz!$B:$C, 2, FALSE), 0)</f>
        <v>24</v>
      </c>
      <c r="G105" t="b">
        <f t="shared" si="27"/>
        <v>1</v>
      </c>
      <c r="H105" t="str">
        <f>IFERROR(VLOOKUP($B105, aegis!$G:$H, 2, FALSE), 0)</f>
        <v>14</v>
      </c>
      <c r="I105" t="str">
        <f>IFERROR(VLOOKUP($B105, duel!$G:$H, 2, FALSE), 0)</f>
        <v>14</v>
      </c>
      <c r="J105" t="str">
        <f>IFERROR(VLOOKUP($B105, blitz!$G:$H, 2, FALSE), 0)</f>
        <v>14</v>
      </c>
      <c r="K105" t="b">
        <f t="shared" si="28"/>
        <v>1</v>
      </c>
      <c r="L105" t="str">
        <f>IFERROR(VLOOKUP($B105, aegis!$L:$M, 2, FALSE), 0)</f>
        <v>24</v>
      </c>
      <c r="M105" t="str">
        <f>IFERROR(VLOOKUP($B105, duel!$L:$M, 2, FALSE), 0)</f>
        <v>24</v>
      </c>
      <c r="N105" t="str">
        <f>IFERROR(VLOOKUP($B105, blitz!$L:$M, 2, FALSE), 0)</f>
        <v>24</v>
      </c>
      <c r="O105" t="b">
        <f t="shared" si="29"/>
        <v>1</v>
      </c>
      <c r="P105" t="str">
        <f>IFERROR(VLOOKUP($B105, aegis!$Q:$R, 2, FALSE), 0)</f>
        <v>14</v>
      </c>
      <c r="Q105" t="str">
        <f>IFERROR(VLOOKUP($B105, duel!$Q:$R, 2, FALSE), 0)</f>
        <v>14</v>
      </c>
      <c r="R105" t="str">
        <f>IFERROR(VLOOKUP($B105, blitz!$Q:$R, 2, FALSE), 0)</f>
        <v>14</v>
      </c>
      <c r="S105" t="b">
        <f t="shared" si="30"/>
        <v>1</v>
      </c>
      <c r="T105">
        <f>IFERROR(VLOOKUP($B105, aegis!$V:$W, 2, FALSE), 0)</f>
        <v>0</v>
      </c>
      <c r="U105">
        <f>IFERROR(VLOOKUP($B105, duel!$V:$W, 2, FALSE), 0)</f>
        <v>0</v>
      </c>
      <c r="V105">
        <f>IFERROR(VLOOKUP($B105, blitz!$V:$W, 2, FALSE), 0)</f>
        <v>0</v>
      </c>
      <c r="W105" t="b">
        <f t="shared" si="31"/>
        <v>1</v>
      </c>
      <c r="X105" t="str">
        <f>IFERROR(VLOOKUP($B105, aegis!$AA:$AB, 2, FALSE), 0)</f>
        <v>2</v>
      </c>
      <c r="Y105" t="str">
        <f>IFERROR(VLOOKUP($B105, duel!$AA:$AB, 2, FALSE), 0)</f>
        <v>2</v>
      </c>
      <c r="Z105" t="str">
        <f>IFERROR(VLOOKUP($B105, blitz!$AA:$AB, 2, FALSE), 0)</f>
        <v>2</v>
      </c>
      <c r="AA105" t="b">
        <f t="shared" si="32"/>
        <v>1</v>
      </c>
      <c r="AB105" t="str">
        <f>IFERROR(VLOOKUP($B105, aegis!$AF:$AG, 2, FALSE), 0)</f>
        <v>16</v>
      </c>
      <c r="AC105" t="str">
        <f>IFERROR(VLOOKUP($B105, duel!$AF:$AG, 2, FALSE), 0)</f>
        <v>16</v>
      </c>
      <c r="AD105" t="str">
        <f>IFERROR(VLOOKUP($B105, blitz!$AF:$AG, 2, FALSE), 0)</f>
        <v>16</v>
      </c>
      <c r="AE105" t="b">
        <f t="shared" si="33"/>
        <v>1</v>
      </c>
      <c r="AF105" t="str">
        <f>IFERROR(VLOOKUP($B105, aegis!$AK:$AL, 2, FALSE), 0)</f>
        <v>3</v>
      </c>
      <c r="AG105" t="str">
        <f>IFERROR(VLOOKUP($B105, duel!$AK:$AL, 2, FALSE), 0)</f>
        <v>1</v>
      </c>
      <c r="AH105" t="str">
        <f>IFERROR(VLOOKUP($B105, blitz!$AK:$AL, 2, FALSE), 0)</f>
        <v>1</v>
      </c>
      <c r="AI105" t="b">
        <f t="shared" si="34"/>
        <v>0</v>
      </c>
      <c r="AJ105" t="str">
        <f>IFERROR(VLOOKUP($B105, aegis!$AP:$AQ, 2, FALSE), 0)</f>
        <v>1</v>
      </c>
      <c r="AK105" t="str">
        <f>IFERROR(VLOOKUP($B105, duel!$AP:$AQ, 2, FALSE), 0)</f>
        <v>1</v>
      </c>
      <c r="AL105" t="str">
        <f>IFERROR(VLOOKUP($B105, blitz!$AP:$AQ, 2, FALSE), 0)</f>
        <v>1</v>
      </c>
      <c r="AM105" t="b">
        <f t="shared" si="35"/>
        <v>1</v>
      </c>
      <c r="AN105">
        <f>IFERROR(VLOOKUP($B105, aegis!$AU:$AV, 2, FALSE), 0)</f>
        <v>0</v>
      </c>
      <c r="AO105">
        <f>IFERROR(VLOOKUP($B105, duel!$AU:$AV, 2, FALSE), 0)</f>
        <v>0</v>
      </c>
      <c r="AP105">
        <f>IFERROR(VLOOKUP($B105, blitz!$AU:$AV, 2, FALSE), 0)</f>
        <v>0</v>
      </c>
      <c r="AQ105" t="b">
        <f t="shared" si="36"/>
        <v>1</v>
      </c>
      <c r="AR105" t="str">
        <f>IFERROR(VLOOKUP($B105, aegis!$AZ:$BA, 2, FALSE), 0)</f>
        <v>2</v>
      </c>
      <c r="AS105" t="str">
        <f>IFERROR(VLOOKUP($B105, duel!$AZ:$BA, 2, FALSE), 0)</f>
        <v>2</v>
      </c>
      <c r="AT105" t="str">
        <f>IFERROR(VLOOKUP($B105, blitz!$AZ:$BA, 2, FALSE), 0)</f>
        <v>2</v>
      </c>
      <c r="AU105" t="b">
        <f t="shared" si="37"/>
        <v>1</v>
      </c>
      <c r="AV105" t="str">
        <f>IFERROR(VLOOKUP($B105, aegis!$BE:$BF, 2, FALSE), 0)</f>
        <v>1</v>
      </c>
      <c r="AW105" t="str">
        <f>IFERROR(VLOOKUP($B105, duel!$BE:$BF, 2, FALSE), 0)</f>
        <v>1</v>
      </c>
      <c r="AX105" t="str">
        <f>IFERROR(VLOOKUP($B105, blitz!$BE:$BF, 2, FALSE), 0)</f>
        <v>1</v>
      </c>
      <c r="AY105" t="b">
        <f t="shared" si="38"/>
        <v>1</v>
      </c>
      <c r="AZ105" t="str">
        <f>IFERROR(VLOOKUP($B105, aegis!$BJ:$BK, 2, FALSE), 0)</f>
        <v>1</v>
      </c>
      <c r="BA105" t="str">
        <f>IFERROR(VLOOKUP($B105, duel!$BJ:$BK, 2, FALSE), 0)</f>
        <v>1</v>
      </c>
      <c r="BB105" t="str">
        <f>IFERROR(VLOOKUP($B105, blitz!$BJ:$BK, 2, FALSE), 0)</f>
        <v>1</v>
      </c>
      <c r="BC105" t="b">
        <f t="shared" si="39"/>
        <v>1</v>
      </c>
      <c r="BD105">
        <f>IFERROR(VLOOKUP($B105, aegis!$BO:$BP, 2, FALSE), 0)</f>
        <v>0</v>
      </c>
      <c r="BE105">
        <f>IFERROR(VLOOKUP($B105, duel!$BO:$BP, 2, FALSE), 0)</f>
        <v>0</v>
      </c>
      <c r="BF105">
        <f>IFERROR(VLOOKUP($B105, blitz!$BO:$BP, 2, FALSE), 0)</f>
        <v>0</v>
      </c>
      <c r="BG105" t="b">
        <f t="shared" si="40"/>
        <v>1</v>
      </c>
      <c r="BH105" t="str">
        <f>IFERROR(VLOOKUP($B105, aegis!$BT:$BU, 2, FALSE), 0)</f>
        <v>7</v>
      </c>
      <c r="BI105" t="str">
        <f>IFERROR(VLOOKUP($B105, duel!$BT:$BU, 2, FALSE), 0)</f>
        <v>7</v>
      </c>
      <c r="BJ105" t="str">
        <f>IFERROR(VLOOKUP($B105, blitz!$BT:$BU, 2, FALSE), 0)</f>
        <v>7</v>
      </c>
      <c r="BK105" t="b">
        <f t="shared" si="41"/>
        <v>1</v>
      </c>
      <c r="BL105" t="str">
        <f>IFERROR(VLOOKUP($B105, aegis!$BY:$BZ, 2, FALSE), 0)</f>
        <v>1</v>
      </c>
      <c r="BM105" t="str">
        <f>IFERROR(VLOOKUP($B105, duel!$BY:$BZ, 2, FALSE), 0)</f>
        <v>1</v>
      </c>
      <c r="BN105" t="str">
        <f>IFERROR(VLOOKUP($B105, blitz!$BY:$BZ, 2, FALSE), 0)</f>
        <v>1</v>
      </c>
      <c r="BO105" t="b">
        <f t="shared" si="42"/>
        <v>1</v>
      </c>
      <c r="BP105" t="str">
        <f>IFERROR(VLOOKUP($B105, aegis!$CD:$CE, 2, FALSE), 0)</f>
        <v>3</v>
      </c>
      <c r="BQ105" t="str">
        <f>IFERROR(VLOOKUP($B105, duel!$CD:$CE, 2, FALSE), 0)</f>
        <v>3</v>
      </c>
      <c r="BR105" t="str">
        <f>IFERROR(VLOOKUP($B105, blitz!$CD:$CE, 2, FALSE), 0)</f>
        <v>3</v>
      </c>
      <c r="BS105" t="b">
        <f t="shared" si="43"/>
        <v>1</v>
      </c>
      <c r="BT105">
        <f>IFERROR(VLOOKUP($B105, aegis!$CI:$CJ, 2, FALSE), 0)</f>
        <v>0</v>
      </c>
      <c r="BU105">
        <f>IFERROR(VLOOKUP($B105, duel!$CI:$CJ, 2, FALSE), 0)</f>
        <v>0</v>
      </c>
      <c r="BV105">
        <f>IFERROR(VLOOKUP($B105, blitz!$CI:$CJ, 2, FALSE), 0)</f>
        <v>0</v>
      </c>
      <c r="BW105" t="b">
        <f t="shared" si="44"/>
        <v>1</v>
      </c>
      <c r="BX105">
        <f>IFERROR(VLOOKUP($B105, aegis!$CN:$CO, 2, FALSE), 0)</f>
        <v>0</v>
      </c>
      <c r="BY105">
        <f>IFERROR(VLOOKUP($B105, duel!$CN:$CO, 2, FALSE), 0)</f>
        <v>0</v>
      </c>
      <c r="BZ105">
        <f>IFERROR(VLOOKUP($B105, blitz!$CN:$CO, 2, FALSE), 0)</f>
        <v>0</v>
      </c>
      <c r="CA105" t="b">
        <f t="shared" si="45"/>
        <v>1</v>
      </c>
      <c r="CB105">
        <f>IFERROR(VLOOKUP($B105, aegis!$CS:$CT, 2, FALSE), 0)</f>
        <v>0</v>
      </c>
      <c r="CC105">
        <f>IFERROR(VLOOKUP($B105, duel!$CS:$CT, 2, FALSE), 0)</f>
        <v>0</v>
      </c>
      <c r="CD105">
        <f>IFERROR(VLOOKUP($B105, blitz!$CS:$CT, 2, FALSE), 0)</f>
        <v>0</v>
      </c>
      <c r="CE105" t="b">
        <f t="shared" si="46"/>
        <v>1</v>
      </c>
      <c r="CF105" t="str">
        <f>IFERROR(VLOOKUP($B105, aegis!$CX:$CY, 2, FALSE), 0)</f>
        <v>1332</v>
      </c>
      <c r="CG105" t="str">
        <f>IFERROR(VLOOKUP($B105, duel!$CX:$CY, 2, FALSE), 0)</f>
        <v>1332</v>
      </c>
      <c r="CH105" t="str">
        <f>IFERROR(VLOOKUP($B105, blitz!$CX:$CY, 2, FALSE), 0)</f>
        <v>1332</v>
      </c>
      <c r="CI105" t="b">
        <f t="shared" si="47"/>
        <v>1</v>
      </c>
      <c r="CJ105" t="str">
        <f>IFERROR(VLOOKUP($B105, aegis!$DC:$DD, 2, FALSE), 0)</f>
        <v>1</v>
      </c>
      <c r="CK105" t="str">
        <f>IFERROR(VLOOKUP($B105, duel!$DC:$DD, 2, FALSE), 0)</f>
        <v>1</v>
      </c>
      <c r="CL105" t="str">
        <f>IFERROR(VLOOKUP($B105, blitz!$DC:$DD, 2, FALSE), 0)</f>
        <v>1</v>
      </c>
      <c r="CM105" t="b">
        <f t="shared" si="48"/>
        <v>1</v>
      </c>
      <c r="CN105" t="str">
        <f>IFERROR(VLOOKUP($B105, aegis!$DH:$DI, 2, FALSE), 0)</f>
        <v>1</v>
      </c>
      <c r="CO105" t="str">
        <f>IFERROR(VLOOKUP($B105, duel!$DH:$DI, 2, FALSE), 0)</f>
        <v>1</v>
      </c>
      <c r="CP105" s="13">
        <f>IFERROR(VLOOKUP($B105, blitz!$DH:$DI, 2, FALSE), 0)</f>
        <v>0</v>
      </c>
      <c r="CQ105" t="b">
        <f t="shared" si="49"/>
        <v>1</v>
      </c>
      <c r="CR105" t="str">
        <f>IFERROR(VLOOKUP($B105, aegis!$DM:$DN, 2, FALSE), 0)</f>
        <v>1</v>
      </c>
      <c r="CS105" t="str">
        <f>IFERROR(VLOOKUP($B105, duel!$DM:$DN, 2, FALSE), 0)</f>
        <v>1</v>
      </c>
      <c r="CT105" t="str">
        <f>IFERROR(VLOOKUP($B105, blitz!$DM:$DN, 2, FALSE), 0)</f>
        <v>1</v>
      </c>
      <c r="CU105" t="b">
        <f t="shared" si="50"/>
        <v>1</v>
      </c>
      <c r="CV105" t="str">
        <f>IFERROR(VLOOKUP($B105, aegis!$DR:$DS, 2, FALSE), 0)</f>
        <v>16</v>
      </c>
      <c r="CW105" t="str">
        <f>IFERROR(VLOOKUP($B105, duel!$DR:$DS, 2, FALSE), 0)</f>
        <v>16</v>
      </c>
      <c r="CX105" t="str">
        <f>IFERROR(VLOOKUP($B105, blitz!$DR:$DS, 2, FALSE), 0)</f>
        <v>16</v>
      </c>
      <c r="CY105" t="b">
        <f t="shared" si="51"/>
        <v>1</v>
      </c>
    </row>
    <row r="106" spans="1:103">
      <c r="B106" s="6" t="s">
        <v>198</v>
      </c>
      <c r="C106" s="5" t="b">
        <f t="shared" si="26"/>
        <v>0</v>
      </c>
      <c r="D106" t="str">
        <f>IFERROR(VLOOKUP($B106, aegis!$B:$C, 2, FALSE), 0)</f>
        <v>24</v>
      </c>
      <c r="E106" t="str">
        <f>IFERROR(VLOOKUP($B106, duel!$B:$C, 2, FALSE), 0)</f>
        <v>24</v>
      </c>
      <c r="F106" t="str">
        <f>IFERROR(VLOOKUP($B106, blitz!$B:$C, 2, FALSE), 0)</f>
        <v>24</v>
      </c>
      <c r="G106" t="b">
        <f t="shared" si="27"/>
        <v>1</v>
      </c>
      <c r="H106" t="str">
        <f>IFERROR(VLOOKUP($B106, aegis!$G:$H, 2, FALSE), 0)</f>
        <v>14</v>
      </c>
      <c r="I106" t="str">
        <f>IFERROR(VLOOKUP($B106, duel!$G:$H, 2, FALSE), 0)</f>
        <v>14</v>
      </c>
      <c r="J106" t="str">
        <f>IFERROR(VLOOKUP($B106, blitz!$G:$H, 2, FALSE), 0)</f>
        <v>14</v>
      </c>
      <c r="K106" t="b">
        <f t="shared" si="28"/>
        <v>1</v>
      </c>
      <c r="L106" t="str">
        <f>IFERROR(VLOOKUP($B106, aegis!$L:$M, 2, FALSE), 0)</f>
        <v>24</v>
      </c>
      <c r="M106" t="str">
        <f>IFERROR(VLOOKUP($B106, duel!$L:$M, 2, FALSE), 0)</f>
        <v>24</v>
      </c>
      <c r="N106" t="str">
        <f>IFERROR(VLOOKUP($B106, blitz!$L:$M, 2, FALSE), 0)</f>
        <v>24</v>
      </c>
      <c r="O106" t="b">
        <f t="shared" si="29"/>
        <v>1</v>
      </c>
      <c r="P106" t="str">
        <f>IFERROR(VLOOKUP($B106, aegis!$Q:$R, 2, FALSE), 0)</f>
        <v>14</v>
      </c>
      <c r="Q106" t="str">
        <f>IFERROR(VLOOKUP($B106, duel!$Q:$R, 2, FALSE), 0)</f>
        <v>14</v>
      </c>
      <c r="R106" t="str">
        <f>IFERROR(VLOOKUP($B106, blitz!$Q:$R, 2, FALSE), 0)</f>
        <v>14</v>
      </c>
      <c r="S106" t="b">
        <f t="shared" si="30"/>
        <v>1</v>
      </c>
      <c r="T106">
        <f>IFERROR(VLOOKUP($B106, aegis!$V:$W, 2, FALSE), 0)</f>
        <v>0</v>
      </c>
      <c r="U106">
        <f>IFERROR(VLOOKUP($B106, duel!$V:$W, 2, FALSE), 0)</f>
        <v>0</v>
      </c>
      <c r="V106">
        <f>IFERROR(VLOOKUP($B106, blitz!$V:$W, 2, FALSE), 0)</f>
        <v>0</v>
      </c>
      <c r="W106" t="b">
        <f t="shared" si="31"/>
        <v>1</v>
      </c>
      <c r="X106" t="str">
        <f>IFERROR(VLOOKUP($B106, aegis!$AA:$AB, 2, FALSE), 0)</f>
        <v>2</v>
      </c>
      <c r="Y106" t="str">
        <f>IFERROR(VLOOKUP($B106, duel!$AA:$AB, 2, FALSE), 0)</f>
        <v>2</v>
      </c>
      <c r="Z106" t="str">
        <f>IFERROR(VLOOKUP($B106, blitz!$AA:$AB, 2, FALSE), 0)</f>
        <v>2</v>
      </c>
      <c r="AA106" t="b">
        <f t="shared" si="32"/>
        <v>1</v>
      </c>
      <c r="AB106" t="str">
        <f>IFERROR(VLOOKUP($B106, aegis!$AF:$AG, 2, FALSE), 0)</f>
        <v>41</v>
      </c>
      <c r="AC106" t="str">
        <f>IFERROR(VLOOKUP($B106, duel!$AF:$AG, 2, FALSE), 0)</f>
        <v>41</v>
      </c>
      <c r="AD106" t="str">
        <f>IFERROR(VLOOKUP($B106, blitz!$AF:$AG, 2, FALSE), 0)</f>
        <v>41</v>
      </c>
      <c r="AE106" t="b">
        <f t="shared" si="33"/>
        <v>1</v>
      </c>
      <c r="AF106" t="str">
        <f>IFERROR(VLOOKUP($B106, aegis!$AK:$AL, 2, FALSE), 0)</f>
        <v>3</v>
      </c>
      <c r="AG106" t="str">
        <f>IFERROR(VLOOKUP($B106, duel!$AK:$AL, 2, FALSE), 0)</f>
        <v>1</v>
      </c>
      <c r="AH106" t="str">
        <f>IFERROR(VLOOKUP($B106, blitz!$AK:$AL, 2, FALSE), 0)</f>
        <v>1</v>
      </c>
      <c r="AI106" t="b">
        <f t="shared" si="34"/>
        <v>0</v>
      </c>
      <c r="AJ106" t="str">
        <f>IFERROR(VLOOKUP($B106, aegis!$AP:$AQ, 2, FALSE), 0)</f>
        <v>1</v>
      </c>
      <c r="AK106" t="str">
        <f>IFERROR(VLOOKUP($B106, duel!$AP:$AQ, 2, FALSE), 0)</f>
        <v>1</v>
      </c>
      <c r="AL106" t="str">
        <f>IFERROR(VLOOKUP($B106, blitz!$AP:$AQ, 2, FALSE), 0)</f>
        <v>1</v>
      </c>
      <c r="AM106" t="b">
        <f t="shared" si="35"/>
        <v>1</v>
      </c>
      <c r="AN106">
        <f>IFERROR(VLOOKUP($B106, aegis!$AU:$AV, 2, FALSE), 0)</f>
        <v>0</v>
      </c>
      <c r="AO106">
        <f>IFERROR(VLOOKUP($B106, duel!$AU:$AV, 2, FALSE), 0)</f>
        <v>0</v>
      </c>
      <c r="AP106">
        <f>IFERROR(VLOOKUP($B106, blitz!$AU:$AV, 2, FALSE), 0)</f>
        <v>0</v>
      </c>
      <c r="AQ106" t="b">
        <f t="shared" si="36"/>
        <v>1</v>
      </c>
      <c r="AR106" t="str">
        <f>IFERROR(VLOOKUP($B106, aegis!$AZ:$BA, 2, FALSE), 0)</f>
        <v>2</v>
      </c>
      <c r="AS106" t="str">
        <f>IFERROR(VLOOKUP($B106, duel!$AZ:$BA, 2, FALSE), 0)</f>
        <v>2</v>
      </c>
      <c r="AT106" t="str">
        <f>IFERROR(VLOOKUP($B106, blitz!$AZ:$BA, 2, FALSE), 0)</f>
        <v>2</v>
      </c>
      <c r="AU106" t="b">
        <f t="shared" si="37"/>
        <v>1</v>
      </c>
      <c r="AV106" t="str">
        <f>IFERROR(VLOOKUP($B106, aegis!$BE:$BF, 2, FALSE), 0)</f>
        <v>1</v>
      </c>
      <c r="AW106" t="str">
        <f>IFERROR(VLOOKUP($B106, duel!$BE:$BF, 2, FALSE), 0)</f>
        <v>1</v>
      </c>
      <c r="AX106" t="str">
        <f>IFERROR(VLOOKUP($B106, blitz!$BE:$BF, 2, FALSE), 0)</f>
        <v>1</v>
      </c>
      <c r="AY106" t="b">
        <f t="shared" si="38"/>
        <v>1</v>
      </c>
      <c r="AZ106" t="str">
        <f>IFERROR(VLOOKUP($B106, aegis!$BJ:$BK, 2, FALSE), 0)</f>
        <v>1</v>
      </c>
      <c r="BA106" t="str">
        <f>IFERROR(VLOOKUP($B106, duel!$BJ:$BK, 2, FALSE), 0)</f>
        <v>1</v>
      </c>
      <c r="BB106" t="str">
        <f>IFERROR(VLOOKUP($B106, blitz!$BJ:$BK, 2, FALSE), 0)</f>
        <v>1</v>
      </c>
      <c r="BC106" t="b">
        <f t="shared" si="39"/>
        <v>1</v>
      </c>
      <c r="BD106">
        <f>IFERROR(VLOOKUP($B106, aegis!$BO:$BP, 2, FALSE), 0)</f>
        <v>0</v>
      </c>
      <c r="BE106">
        <f>IFERROR(VLOOKUP($B106, duel!$BO:$BP, 2, FALSE), 0)</f>
        <v>0</v>
      </c>
      <c r="BF106">
        <f>IFERROR(VLOOKUP($B106, blitz!$BO:$BP, 2, FALSE), 0)</f>
        <v>0</v>
      </c>
      <c r="BG106" t="b">
        <f t="shared" si="40"/>
        <v>1</v>
      </c>
      <c r="BH106" t="str">
        <f>IFERROR(VLOOKUP($B106, aegis!$BT:$BU, 2, FALSE), 0)</f>
        <v>23</v>
      </c>
      <c r="BI106" t="str">
        <f>IFERROR(VLOOKUP($B106, duel!$BT:$BU, 2, FALSE), 0)</f>
        <v>23</v>
      </c>
      <c r="BJ106" t="str">
        <f>IFERROR(VLOOKUP($B106, blitz!$BT:$BU, 2, FALSE), 0)</f>
        <v>23</v>
      </c>
      <c r="BK106" t="b">
        <f t="shared" si="41"/>
        <v>1</v>
      </c>
      <c r="BL106" t="str">
        <f>IFERROR(VLOOKUP($B106, aegis!$BY:$BZ, 2, FALSE), 0)</f>
        <v>1</v>
      </c>
      <c r="BM106" t="str">
        <f>IFERROR(VLOOKUP($B106, duel!$BY:$BZ, 2, FALSE), 0)</f>
        <v>1</v>
      </c>
      <c r="BN106" t="str">
        <f>IFERROR(VLOOKUP($B106, blitz!$BY:$BZ, 2, FALSE), 0)</f>
        <v>1</v>
      </c>
      <c r="BO106" t="b">
        <f t="shared" si="42"/>
        <v>1</v>
      </c>
      <c r="BP106" t="str">
        <f>IFERROR(VLOOKUP($B106, aegis!$CD:$CE, 2, FALSE), 0)</f>
        <v>5</v>
      </c>
      <c r="BQ106" t="str">
        <f>IFERROR(VLOOKUP($B106, duel!$CD:$CE, 2, FALSE), 0)</f>
        <v>5</v>
      </c>
      <c r="BR106" t="str">
        <f>IFERROR(VLOOKUP($B106, blitz!$CD:$CE, 2, FALSE), 0)</f>
        <v>5</v>
      </c>
      <c r="BS106" t="b">
        <f t="shared" si="43"/>
        <v>1</v>
      </c>
      <c r="BT106">
        <f>IFERROR(VLOOKUP($B106, aegis!$CI:$CJ, 2, FALSE), 0)</f>
        <v>0</v>
      </c>
      <c r="BU106">
        <f>IFERROR(VLOOKUP($B106, duel!$CI:$CJ, 2, FALSE), 0)</f>
        <v>0</v>
      </c>
      <c r="BV106">
        <f>IFERROR(VLOOKUP($B106, blitz!$CI:$CJ, 2, FALSE), 0)</f>
        <v>0</v>
      </c>
      <c r="BW106" t="b">
        <f t="shared" si="44"/>
        <v>1</v>
      </c>
      <c r="BX106">
        <f>IFERROR(VLOOKUP($B106, aegis!$CN:$CO, 2, FALSE), 0)</f>
        <v>0</v>
      </c>
      <c r="BY106">
        <f>IFERROR(VLOOKUP($B106, duel!$CN:$CO, 2, FALSE), 0)</f>
        <v>0</v>
      </c>
      <c r="BZ106">
        <f>IFERROR(VLOOKUP($B106, blitz!$CN:$CO, 2, FALSE), 0)</f>
        <v>0</v>
      </c>
      <c r="CA106" t="b">
        <f t="shared" si="45"/>
        <v>1</v>
      </c>
      <c r="CB106">
        <f>IFERROR(VLOOKUP($B106, aegis!$CS:$CT, 2, FALSE), 0)</f>
        <v>0</v>
      </c>
      <c r="CC106">
        <f>IFERROR(VLOOKUP($B106, duel!$CS:$CT, 2, FALSE), 0)</f>
        <v>0</v>
      </c>
      <c r="CD106">
        <f>IFERROR(VLOOKUP($B106, blitz!$CS:$CT, 2, FALSE), 0)</f>
        <v>0</v>
      </c>
      <c r="CE106" t="b">
        <f t="shared" si="46"/>
        <v>1</v>
      </c>
      <c r="CF106" t="str">
        <f>IFERROR(VLOOKUP($B106, aegis!$CX:$CY, 2, FALSE), 0)</f>
        <v>2786</v>
      </c>
      <c r="CG106" t="str">
        <f>IFERROR(VLOOKUP($B106, duel!$CX:$CY, 2, FALSE), 0)</f>
        <v>2786</v>
      </c>
      <c r="CH106" t="str">
        <f>IFERROR(VLOOKUP($B106, blitz!$CX:$CY, 2, FALSE), 0)</f>
        <v>2786</v>
      </c>
      <c r="CI106" t="b">
        <f t="shared" si="47"/>
        <v>1</v>
      </c>
      <c r="CJ106" t="str">
        <f>IFERROR(VLOOKUP($B106, aegis!$DC:$DD, 2, FALSE), 0)</f>
        <v>1</v>
      </c>
      <c r="CK106" t="str">
        <f>IFERROR(VLOOKUP($B106, duel!$DC:$DD, 2, FALSE), 0)</f>
        <v>1</v>
      </c>
      <c r="CL106" t="str">
        <f>IFERROR(VLOOKUP($B106, blitz!$DC:$DD, 2, FALSE), 0)</f>
        <v>1</v>
      </c>
      <c r="CM106" t="b">
        <f t="shared" si="48"/>
        <v>1</v>
      </c>
      <c r="CN106" t="str">
        <f>IFERROR(VLOOKUP($B106, aegis!$DH:$DI, 2, FALSE), 0)</f>
        <v>4</v>
      </c>
      <c r="CO106" t="str">
        <f>IFERROR(VLOOKUP($B106, duel!$DH:$DI, 2, FALSE), 0)</f>
        <v>4</v>
      </c>
      <c r="CP106" s="13">
        <f>IFERROR(VLOOKUP($B106, blitz!$DH:$DI, 2, FALSE), 0)</f>
        <v>0</v>
      </c>
      <c r="CQ106" t="b">
        <f t="shared" si="49"/>
        <v>1</v>
      </c>
      <c r="CR106" t="str">
        <f>IFERROR(VLOOKUP($B106, aegis!$DM:$DN, 2, FALSE), 0)</f>
        <v>1</v>
      </c>
      <c r="CS106" t="str">
        <f>IFERROR(VLOOKUP($B106, duel!$DM:$DN, 2, FALSE), 0)</f>
        <v>1</v>
      </c>
      <c r="CT106" t="str">
        <f>IFERROR(VLOOKUP($B106, blitz!$DM:$DN, 2, FALSE), 0)</f>
        <v>1</v>
      </c>
      <c r="CU106" t="b">
        <f t="shared" si="50"/>
        <v>1</v>
      </c>
      <c r="CV106" t="str">
        <f>IFERROR(VLOOKUP($B106, aegis!$DR:$DS, 2, FALSE), 0)</f>
        <v>41</v>
      </c>
      <c r="CW106" t="str">
        <f>IFERROR(VLOOKUP($B106, duel!$DR:$DS, 2, FALSE), 0)</f>
        <v>41</v>
      </c>
      <c r="CX106" t="str">
        <f>IFERROR(VLOOKUP($B106, blitz!$DR:$DS, 2, FALSE), 0)</f>
        <v>41</v>
      </c>
      <c r="CY106" t="b">
        <f t="shared" si="51"/>
        <v>1</v>
      </c>
    </row>
    <row r="107" spans="1:103">
      <c r="B107" s="6" t="s">
        <v>200</v>
      </c>
      <c r="C107" s="5" t="b">
        <f t="shared" si="26"/>
        <v>0</v>
      </c>
      <c r="D107" t="str">
        <f>IFERROR(VLOOKUP($B107, aegis!$B:$C, 2, FALSE), 0)</f>
        <v>24</v>
      </c>
      <c r="E107" t="str">
        <f>IFERROR(VLOOKUP($B107, duel!$B:$C, 2, FALSE), 0)</f>
        <v>24</v>
      </c>
      <c r="F107" t="str">
        <f>IFERROR(VLOOKUP($B107, blitz!$B:$C, 2, FALSE), 0)</f>
        <v>24</v>
      </c>
      <c r="G107" t="b">
        <f t="shared" si="27"/>
        <v>1</v>
      </c>
      <c r="H107" t="str">
        <f>IFERROR(VLOOKUP($B107, aegis!$G:$H, 2, FALSE), 0)</f>
        <v>14</v>
      </c>
      <c r="I107" t="str">
        <f>IFERROR(VLOOKUP($B107, duel!$G:$H, 2, FALSE), 0)</f>
        <v>14</v>
      </c>
      <c r="J107" t="str">
        <f>IFERROR(VLOOKUP($B107, blitz!$G:$H, 2, FALSE), 0)</f>
        <v>14</v>
      </c>
      <c r="K107" t="b">
        <f t="shared" si="28"/>
        <v>1</v>
      </c>
      <c r="L107" t="str">
        <f>IFERROR(VLOOKUP($B107, aegis!$L:$M, 2, FALSE), 0)</f>
        <v>24</v>
      </c>
      <c r="M107" t="str">
        <f>IFERROR(VLOOKUP($B107, duel!$L:$M, 2, FALSE), 0)</f>
        <v>24</v>
      </c>
      <c r="N107" t="str">
        <f>IFERROR(VLOOKUP($B107, blitz!$L:$M, 2, FALSE), 0)</f>
        <v>24</v>
      </c>
      <c r="O107" t="b">
        <f t="shared" si="29"/>
        <v>1</v>
      </c>
      <c r="P107" t="str">
        <f>IFERROR(VLOOKUP($B107, aegis!$Q:$R, 2, FALSE), 0)</f>
        <v>14</v>
      </c>
      <c r="Q107" t="str">
        <f>IFERROR(VLOOKUP($B107, duel!$Q:$R, 2, FALSE), 0)</f>
        <v>14</v>
      </c>
      <c r="R107" t="str">
        <f>IFERROR(VLOOKUP($B107, blitz!$Q:$R, 2, FALSE), 0)</f>
        <v>14</v>
      </c>
      <c r="S107" t="b">
        <f t="shared" si="30"/>
        <v>1</v>
      </c>
      <c r="T107">
        <f>IFERROR(VLOOKUP($B107, aegis!$V:$W, 2, FALSE), 0)</f>
        <v>0</v>
      </c>
      <c r="U107">
        <f>IFERROR(VLOOKUP($B107, duel!$V:$W, 2, FALSE), 0)</f>
        <v>0</v>
      </c>
      <c r="V107">
        <f>IFERROR(VLOOKUP($B107, blitz!$V:$W, 2, FALSE), 0)</f>
        <v>0</v>
      </c>
      <c r="W107" t="b">
        <f t="shared" si="31"/>
        <v>1</v>
      </c>
      <c r="X107" t="str">
        <f>IFERROR(VLOOKUP($B107, aegis!$AA:$AB, 2, FALSE), 0)</f>
        <v>2</v>
      </c>
      <c r="Y107" t="str">
        <f>IFERROR(VLOOKUP($B107, duel!$AA:$AB, 2, FALSE), 0)</f>
        <v>2</v>
      </c>
      <c r="Z107" t="str">
        <f>IFERROR(VLOOKUP($B107, blitz!$AA:$AB, 2, FALSE), 0)</f>
        <v>2</v>
      </c>
      <c r="AA107" t="b">
        <f t="shared" si="32"/>
        <v>1</v>
      </c>
      <c r="AB107" t="str">
        <f>IFERROR(VLOOKUP($B107, aegis!$AF:$AG, 2, FALSE), 0)</f>
        <v>25</v>
      </c>
      <c r="AC107" t="str">
        <f>IFERROR(VLOOKUP($B107, duel!$AF:$AG, 2, FALSE), 0)</f>
        <v>25</v>
      </c>
      <c r="AD107" t="str">
        <f>IFERROR(VLOOKUP($B107, blitz!$AF:$AG, 2, FALSE), 0)</f>
        <v>25</v>
      </c>
      <c r="AE107" t="b">
        <f t="shared" si="33"/>
        <v>1</v>
      </c>
      <c r="AF107" t="str">
        <f>IFERROR(VLOOKUP($B107, aegis!$AK:$AL, 2, FALSE), 0)</f>
        <v>3</v>
      </c>
      <c r="AG107" t="str">
        <f>IFERROR(VLOOKUP($B107, duel!$AK:$AL, 2, FALSE), 0)</f>
        <v>1</v>
      </c>
      <c r="AH107" t="str">
        <f>IFERROR(VLOOKUP($B107, blitz!$AK:$AL, 2, FALSE), 0)</f>
        <v>1</v>
      </c>
      <c r="AI107" t="b">
        <f t="shared" si="34"/>
        <v>0</v>
      </c>
      <c r="AJ107" t="str">
        <f>IFERROR(VLOOKUP($B107, aegis!$AP:$AQ, 2, FALSE), 0)</f>
        <v>1</v>
      </c>
      <c r="AK107" t="str">
        <f>IFERROR(VLOOKUP($B107, duel!$AP:$AQ, 2, FALSE), 0)</f>
        <v>1</v>
      </c>
      <c r="AL107" t="str">
        <f>IFERROR(VLOOKUP($B107, blitz!$AP:$AQ, 2, FALSE), 0)</f>
        <v>1</v>
      </c>
      <c r="AM107" t="b">
        <f t="shared" si="35"/>
        <v>1</v>
      </c>
      <c r="AN107">
        <f>IFERROR(VLOOKUP($B107, aegis!$AU:$AV, 2, FALSE), 0)</f>
        <v>0</v>
      </c>
      <c r="AO107">
        <f>IFERROR(VLOOKUP($B107, duel!$AU:$AV, 2, FALSE), 0)</f>
        <v>0</v>
      </c>
      <c r="AP107">
        <f>IFERROR(VLOOKUP($B107, blitz!$AU:$AV, 2, FALSE), 0)</f>
        <v>0</v>
      </c>
      <c r="AQ107" t="b">
        <f t="shared" si="36"/>
        <v>1</v>
      </c>
      <c r="AR107" t="str">
        <f>IFERROR(VLOOKUP($B107, aegis!$AZ:$BA, 2, FALSE), 0)</f>
        <v>2</v>
      </c>
      <c r="AS107" t="str">
        <f>IFERROR(VLOOKUP($B107, duel!$AZ:$BA, 2, FALSE), 0)</f>
        <v>2</v>
      </c>
      <c r="AT107" t="str">
        <f>IFERROR(VLOOKUP($B107, blitz!$AZ:$BA, 2, FALSE), 0)</f>
        <v>2</v>
      </c>
      <c r="AU107" t="b">
        <f t="shared" si="37"/>
        <v>1</v>
      </c>
      <c r="AV107" t="str">
        <f>IFERROR(VLOOKUP($B107, aegis!$BE:$BF, 2, FALSE), 0)</f>
        <v>1</v>
      </c>
      <c r="AW107" t="str">
        <f>IFERROR(VLOOKUP($B107, duel!$BE:$BF, 2, FALSE), 0)</f>
        <v>1</v>
      </c>
      <c r="AX107" t="str">
        <f>IFERROR(VLOOKUP($B107, blitz!$BE:$BF, 2, FALSE), 0)</f>
        <v>1</v>
      </c>
      <c r="AY107" t="b">
        <f t="shared" si="38"/>
        <v>1</v>
      </c>
      <c r="AZ107" t="str">
        <f>IFERROR(VLOOKUP($B107, aegis!$BJ:$BK, 2, FALSE), 0)</f>
        <v>1</v>
      </c>
      <c r="BA107" t="str">
        <f>IFERROR(VLOOKUP($B107, duel!$BJ:$BK, 2, FALSE), 0)</f>
        <v>1</v>
      </c>
      <c r="BB107" t="str">
        <f>IFERROR(VLOOKUP($B107, blitz!$BJ:$BK, 2, FALSE), 0)</f>
        <v>1</v>
      </c>
      <c r="BC107" t="b">
        <f t="shared" si="39"/>
        <v>1</v>
      </c>
      <c r="BD107">
        <f>IFERROR(VLOOKUP($B107, aegis!$BO:$BP, 2, FALSE), 0)</f>
        <v>0</v>
      </c>
      <c r="BE107">
        <f>IFERROR(VLOOKUP($B107, duel!$BO:$BP, 2, FALSE), 0)</f>
        <v>0</v>
      </c>
      <c r="BF107">
        <f>IFERROR(VLOOKUP($B107, blitz!$BO:$BP, 2, FALSE), 0)</f>
        <v>0</v>
      </c>
      <c r="BG107" t="b">
        <f t="shared" si="40"/>
        <v>1</v>
      </c>
      <c r="BH107" t="str">
        <f>IFERROR(VLOOKUP($B107, aegis!$BT:$BU, 2, FALSE), 0)</f>
        <v>9</v>
      </c>
      <c r="BI107" t="str">
        <f>IFERROR(VLOOKUP($B107, duel!$BT:$BU, 2, FALSE), 0)</f>
        <v>9</v>
      </c>
      <c r="BJ107" t="str">
        <f>IFERROR(VLOOKUP($B107, blitz!$BT:$BU, 2, FALSE), 0)</f>
        <v>9</v>
      </c>
      <c r="BK107" t="b">
        <f t="shared" si="41"/>
        <v>1</v>
      </c>
      <c r="BL107" t="str">
        <f>IFERROR(VLOOKUP($B107, aegis!$BY:$BZ, 2, FALSE), 0)</f>
        <v>1</v>
      </c>
      <c r="BM107" t="str">
        <f>IFERROR(VLOOKUP($B107, duel!$BY:$BZ, 2, FALSE), 0)</f>
        <v>1</v>
      </c>
      <c r="BN107" t="str">
        <f>IFERROR(VLOOKUP($B107, blitz!$BY:$BZ, 2, FALSE), 0)</f>
        <v>1</v>
      </c>
      <c r="BO107" t="b">
        <f t="shared" si="42"/>
        <v>1</v>
      </c>
      <c r="BP107" t="str">
        <f>IFERROR(VLOOKUP($B107, aegis!$CD:$CE, 2, FALSE), 0)</f>
        <v>5</v>
      </c>
      <c r="BQ107" t="str">
        <f>IFERROR(VLOOKUP($B107, duel!$CD:$CE, 2, FALSE), 0)</f>
        <v>5</v>
      </c>
      <c r="BR107" t="str">
        <f>IFERROR(VLOOKUP($B107, blitz!$CD:$CE, 2, FALSE), 0)</f>
        <v>5</v>
      </c>
      <c r="BS107" t="b">
        <f t="shared" si="43"/>
        <v>1</v>
      </c>
      <c r="BT107">
        <f>IFERROR(VLOOKUP($B107, aegis!$CI:$CJ, 2, FALSE), 0)</f>
        <v>0</v>
      </c>
      <c r="BU107">
        <f>IFERROR(VLOOKUP($B107, duel!$CI:$CJ, 2, FALSE), 0)</f>
        <v>0</v>
      </c>
      <c r="BV107">
        <f>IFERROR(VLOOKUP($B107, blitz!$CI:$CJ, 2, FALSE), 0)</f>
        <v>0</v>
      </c>
      <c r="BW107" t="b">
        <f t="shared" si="44"/>
        <v>1</v>
      </c>
      <c r="BX107">
        <f>IFERROR(VLOOKUP($B107, aegis!$CN:$CO, 2, FALSE), 0)</f>
        <v>0</v>
      </c>
      <c r="BY107">
        <f>IFERROR(VLOOKUP($B107, duel!$CN:$CO, 2, FALSE), 0)</f>
        <v>0</v>
      </c>
      <c r="BZ107">
        <f>IFERROR(VLOOKUP($B107, blitz!$CN:$CO, 2, FALSE), 0)</f>
        <v>0</v>
      </c>
      <c r="CA107" t="b">
        <f t="shared" si="45"/>
        <v>1</v>
      </c>
      <c r="CB107">
        <f>IFERROR(VLOOKUP($B107, aegis!$CS:$CT, 2, FALSE), 0)</f>
        <v>0</v>
      </c>
      <c r="CC107">
        <f>IFERROR(VLOOKUP($B107, duel!$CS:$CT, 2, FALSE), 0)</f>
        <v>0</v>
      </c>
      <c r="CD107">
        <f>IFERROR(VLOOKUP($B107, blitz!$CS:$CT, 2, FALSE), 0)</f>
        <v>0</v>
      </c>
      <c r="CE107" t="b">
        <f t="shared" si="46"/>
        <v>1</v>
      </c>
      <c r="CF107" t="str">
        <f>IFERROR(VLOOKUP($B107, aegis!$CX:$CY, 2, FALSE), 0)</f>
        <v>1173</v>
      </c>
      <c r="CG107" t="str">
        <f>IFERROR(VLOOKUP($B107, duel!$CX:$CY, 2, FALSE), 0)</f>
        <v>1173</v>
      </c>
      <c r="CH107" t="str">
        <f>IFERROR(VLOOKUP($B107, blitz!$CX:$CY, 2, FALSE), 0)</f>
        <v>1173</v>
      </c>
      <c r="CI107" t="b">
        <f t="shared" si="47"/>
        <v>1</v>
      </c>
      <c r="CJ107" t="str">
        <f>IFERROR(VLOOKUP($B107, aegis!$DC:$DD, 2, FALSE), 0)</f>
        <v>1</v>
      </c>
      <c r="CK107" t="str">
        <f>IFERROR(VLOOKUP($B107, duel!$DC:$DD, 2, FALSE), 0)</f>
        <v>1</v>
      </c>
      <c r="CL107" t="str">
        <f>IFERROR(VLOOKUP($B107, blitz!$DC:$DD, 2, FALSE), 0)</f>
        <v>1</v>
      </c>
      <c r="CM107" t="b">
        <f t="shared" si="48"/>
        <v>1</v>
      </c>
      <c r="CN107" t="str">
        <f>IFERROR(VLOOKUP($B107, aegis!$DH:$DI, 2, FALSE), 0)</f>
        <v>4</v>
      </c>
      <c r="CO107" t="str">
        <f>IFERROR(VLOOKUP($B107, duel!$DH:$DI, 2, FALSE), 0)</f>
        <v>4</v>
      </c>
      <c r="CP107" s="13">
        <f>IFERROR(VLOOKUP($B107, blitz!$DH:$DI, 2, FALSE), 0)</f>
        <v>0</v>
      </c>
      <c r="CQ107" t="b">
        <f t="shared" si="49"/>
        <v>1</v>
      </c>
      <c r="CR107" t="str">
        <f>IFERROR(VLOOKUP($B107, aegis!$DM:$DN, 2, FALSE), 0)</f>
        <v>1</v>
      </c>
      <c r="CS107" t="str">
        <f>IFERROR(VLOOKUP($B107, duel!$DM:$DN, 2, FALSE), 0)</f>
        <v>1</v>
      </c>
      <c r="CT107" t="str">
        <f>IFERROR(VLOOKUP($B107, blitz!$DM:$DN, 2, FALSE), 0)</f>
        <v>1</v>
      </c>
      <c r="CU107" t="b">
        <f t="shared" si="50"/>
        <v>1</v>
      </c>
      <c r="CV107" t="str">
        <f>IFERROR(VLOOKUP($B107, aegis!$DR:$DS, 2, FALSE), 0)</f>
        <v>25</v>
      </c>
      <c r="CW107" t="str">
        <f>IFERROR(VLOOKUP($B107, duel!$DR:$DS, 2, FALSE), 0)</f>
        <v>25</v>
      </c>
      <c r="CX107" t="str">
        <f>IFERROR(VLOOKUP($B107, blitz!$DR:$DS, 2, FALSE), 0)</f>
        <v>25</v>
      </c>
      <c r="CY107" t="b">
        <f t="shared" si="51"/>
        <v>1</v>
      </c>
    </row>
    <row r="108" spans="1:103">
      <c r="A108" t="s">
        <v>1733</v>
      </c>
      <c r="B108" s="6" t="s">
        <v>201</v>
      </c>
      <c r="C108" s="5" t="b">
        <f t="shared" si="26"/>
        <v>0</v>
      </c>
      <c r="D108" t="str">
        <f>IFERROR(VLOOKUP($B108, aegis!$B:$C, 2, FALSE), 0)</f>
        <v>36</v>
      </c>
      <c r="E108" t="str">
        <f>IFERROR(VLOOKUP($B108, duel!$B:$C, 2, FALSE), 0)</f>
        <v>36</v>
      </c>
      <c r="F108" t="str">
        <f>IFERROR(VLOOKUP($B108, blitz!$B:$C, 2, FALSE), 0)</f>
        <v>36</v>
      </c>
      <c r="G108" t="b">
        <f t="shared" si="27"/>
        <v>1</v>
      </c>
      <c r="H108" t="str">
        <f>IFERROR(VLOOKUP($B108, aegis!$G:$H, 2, FALSE), 0)</f>
        <v>21</v>
      </c>
      <c r="I108" t="str">
        <f>IFERROR(VLOOKUP($B108, duel!$G:$H, 2, FALSE), 0)</f>
        <v>21</v>
      </c>
      <c r="J108" t="str">
        <f>IFERROR(VLOOKUP($B108, blitz!$G:$H, 2, FALSE), 0)</f>
        <v>21</v>
      </c>
      <c r="K108" t="b">
        <f t="shared" si="28"/>
        <v>1</v>
      </c>
      <c r="L108" t="str">
        <f>IFERROR(VLOOKUP($B108, aegis!$L:$M, 2, FALSE), 0)</f>
        <v>72</v>
      </c>
      <c r="M108" t="str">
        <f>IFERROR(VLOOKUP($B108, duel!$L:$M, 2, FALSE), 0)</f>
        <v>72</v>
      </c>
      <c r="N108" t="str">
        <f>IFERROR(VLOOKUP($B108, blitz!$L:$M, 2, FALSE), 0)</f>
        <v>72</v>
      </c>
      <c r="O108" t="b">
        <f t="shared" si="29"/>
        <v>1</v>
      </c>
      <c r="P108" t="str">
        <f>IFERROR(VLOOKUP($B108, aegis!$Q:$R, 2, FALSE), 0)</f>
        <v>42</v>
      </c>
      <c r="Q108" t="str">
        <f>IFERROR(VLOOKUP($B108, duel!$Q:$R, 2, FALSE), 0)</f>
        <v>42</v>
      </c>
      <c r="R108" t="str">
        <f>IFERROR(VLOOKUP($B108, blitz!$Q:$R, 2, FALSE), 0)</f>
        <v>42</v>
      </c>
      <c r="S108" t="b">
        <f t="shared" si="30"/>
        <v>1</v>
      </c>
      <c r="T108">
        <f>IFERROR(VLOOKUP($B108, aegis!$V:$W, 2, FALSE), 0)</f>
        <v>0</v>
      </c>
      <c r="U108">
        <f>IFERROR(VLOOKUP($B108, duel!$V:$W, 2, FALSE), 0)</f>
        <v>0</v>
      </c>
      <c r="V108">
        <f>IFERROR(VLOOKUP($B108, blitz!$V:$W, 2, FALSE), 0)</f>
        <v>0</v>
      </c>
      <c r="W108" t="b">
        <f t="shared" si="31"/>
        <v>1</v>
      </c>
      <c r="X108" t="str">
        <f>IFERROR(VLOOKUP($B108, aegis!$AA:$AB, 2, FALSE), 0)</f>
        <v>3</v>
      </c>
      <c r="Y108" t="str">
        <f>IFERROR(VLOOKUP($B108, duel!$AA:$AB, 2, FALSE), 0)</f>
        <v>3</v>
      </c>
      <c r="Z108" t="str">
        <f>IFERROR(VLOOKUP($B108, blitz!$AA:$AB, 2, FALSE), 0)</f>
        <v>3</v>
      </c>
      <c r="AA108" t="b">
        <f t="shared" si="32"/>
        <v>1</v>
      </c>
      <c r="AB108" t="str">
        <f>IFERROR(VLOOKUP($B108, aegis!$AF:$AG, 2, FALSE), 0)</f>
        <v>547</v>
      </c>
      <c r="AC108" s="9" t="str">
        <f>IFERROR(VLOOKUP($B108, duel!$AF:$AG, 2, FALSE), 0)</f>
        <v>536</v>
      </c>
      <c r="AD108" t="str">
        <f>IFERROR(VLOOKUP($B108, blitz!$AF:$AG, 2, FALSE), 0)</f>
        <v>547</v>
      </c>
      <c r="AE108" t="b">
        <f t="shared" si="33"/>
        <v>0</v>
      </c>
      <c r="AF108" t="str">
        <f>IFERROR(VLOOKUP($B108, aegis!$AK:$AL, 2, FALSE), 0)</f>
        <v>4</v>
      </c>
      <c r="AG108" t="str">
        <f>IFERROR(VLOOKUP($B108, duel!$AK:$AL, 2, FALSE), 0)</f>
        <v>1</v>
      </c>
      <c r="AH108" t="str">
        <f>IFERROR(VLOOKUP($B108, blitz!$AK:$AL, 2, FALSE), 0)</f>
        <v>1</v>
      </c>
      <c r="AI108" t="b">
        <f t="shared" si="34"/>
        <v>0</v>
      </c>
      <c r="AJ108" t="str">
        <f>IFERROR(VLOOKUP($B108, aegis!$AP:$AQ, 2, FALSE), 0)</f>
        <v>3</v>
      </c>
      <c r="AK108" t="str">
        <f>IFERROR(VLOOKUP($B108, duel!$AP:$AQ, 2, FALSE), 0)</f>
        <v>3</v>
      </c>
      <c r="AL108" t="str">
        <f>IFERROR(VLOOKUP($B108, blitz!$AP:$AQ, 2, FALSE), 0)</f>
        <v>3</v>
      </c>
      <c r="AM108" t="b">
        <f t="shared" si="35"/>
        <v>1</v>
      </c>
      <c r="AN108">
        <f>IFERROR(VLOOKUP($B108, aegis!$AU:$AV, 2, FALSE), 0)</f>
        <v>0</v>
      </c>
      <c r="AO108">
        <f>IFERROR(VLOOKUP($B108, duel!$AU:$AV, 2, FALSE), 0)</f>
        <v>0</v>
      </c>
      <c r="AP108">
        <f>IFERROR(VLOOKUP($B108, blitz!$AU:$AV, 2, FALSE), 0)</f>
        <v>0</v>
      </c>
      <c r="AQ108" t="b">
        <f t="shared" si="36"/>
        <v>1</v>
      </c>
      <c r="AR108" t="str">
        <f>IFERROR(VLOOKUP($B108, aegis!$AZ:$BA, 2, FALSE), 0)</f>
        <v>3</v>
      </c>
      <c r="AS108" t="str">
        <f>IFERROR(VLOOKUP($B108, duel!$AZ:$BA, 2, FALSE), 0)</f>
        <v>3</v>
      </c>
      <c r="AT108" t="str">
        <f>IFERROR(VLOOKUP($B108, blitz!$AZ:$BA, 2, FALSE), 0)</f>
        <v>3</v>
      </c>
      <c r="AU108" t="b">
        <f t="shared" si="37"/>
        <v>1</v>
      </c>
      <c r="AV108" t="str">
        <f>IFERROR(VLOOKUP($B108, aegis!$BE:$BF, 2, FALSE), 0)</f>
        <v>3</v>
      </c>
      <c r="AW108" t="str">
        <f>IFERROR(VLOOKUP($B108, duel!$BE:$BF, 2, FALSE), 0)</f>
        <v>3</v>
      </c>
      <c r="AX108" t="str">
        <f>IFERROR(VLOOKUP($B108, blitz!$BE:$BF, 2, FALSE), 0)</f>
        <v>3</v>
      </c>
      <c r="AY108" t="b">
        <f t="shared" si="38"/>
        <v>1</v>
      </c>
      <c r="AZ108" t="str">
        <f>IFERROR(VLOOKUP($B108, aegis!$BJ:$BK, 2, FALSE), 0)</f>
        <v>1</v>
      </c>
      <c r="BA108" t="str">
        <f>IFERROR(VLOOKUP($B108, duel!$BJ:$BK, 2, FALSE), 0)</f>
        <v>1</v>
      </c>
      <c r="BB108" t="str">
        <f>IFERROR(VLOOKUP($B108, blitz!$BJ:$BK, 2, FALSE), 0)</f>
        <v>1</v>
      </c>
      <c r="BC108" t="b">
        <f t="shared" si="39"/>
        <v>1</v>
      </c>
      <c r="BD108">
        <f>IFERROR(VLOOKUP($B108, aegis!$BO:$BP, 2, FALSE), 0)</f>
        <v>0</v>
      </c>
      <c r="BE108">
        <f>IFERROR(VLOOKUP($B108, duel!$BO:$BP, 2, FALSE), 0)</f>
        <v>0</v>
      </c>
      <c r="BF108">
        <f>IFERROR(VLOOKUP($B108, blitz!$BO:$BP, 2, FALSE), 0)</f>
        <v>0</v>
      </c>
      <c r="BG108" t="b">
        <f t="shared" si="40"/>
        <v>1</v>
      </c>
      <c r="BH108" t="str">
        <f>IFERROR(VLOOKUP($B108, aegis!$BT:$BU, 2, FALSE), 0)</f>
        <v>201</v>
      </c>
      <c r="BI108" t="str">
        <f>IFERROR(VLOOKUP($B108, duel!$BT:$BU, 2, FALSE), 0)</f>
        <v>201</v>
      </c>
      <c r="BJ108" t="str">
        <f>IFERROR(VLOOKUP($B108, blitz!$BT:$BU, 2, FALSE), 0)</f>
        <v>201</v>
      </c>
      <c r="BK108" t="b">
        <f t="shared" si="41"/>
        <v>1</v>
      </c>
      <c r="BL108" t="str">
        <f>IFERROR(VLOOKUP($B108, aegis!$BY:$BZ, 2, FALSE), 0)</f>
        <v>2</v>
      </c>
      <c r="BM108" t="str">
        <f>IFERROR(VLOOKUP($B108, duel!$BY:$BZ, 2, FALSE), 0)</f>
        <v>2</v>
      </c>
      <c r="BN108" t="str">
        <f>IFERROR(VLOOKUP($B108, blitz!$BY:$BZ, 2, FALSE), 0)</f>
        <v>2</v>
      </c>
      <c r="BO108" t="b">
        <f t="shared" si="42"/>
        <v>1</v>
      </c>
      <c r="BP108" t="str">
        <f>IFERROR(VLOOKUP($B108, aegis!$CD:$CE, 2, FALSE), 0)</f>
        <v>5</v>
      </c>
      <c r="BQ108" t="str">
        <f>IFERROR(VLOOKUP($B108, duel!$CD:$CE, 2, FALSE), 0)</f>
        <v>5</v>
      </c>
      <c r="BR108" t="str">
        <f>IFERROR(VLOOKUP($B108, blitz!$CD:$CE, 2, FALSE), 0)</f>
        <v>5</v>
      </c>
      <c r="BS108" t="b">
        <f t="shared" si="43"/>
        <v>1</v>
      </c>
      <c r="BT108" t="str">
        <f>IFERROR(VLOOKUP($B108, aegis!$CI:$CJ, 2, FALSE), 0)</f>
        <v>214</v>
      </c>
      <c r="BU108" t="str">
        <f>IFERROR(VLOOKUP($B108, duel!$CI:$CJ, 2, FALSE), 0)</f>
        <v>214</v>
      </c>
      <c r="BV108" t="str">
        <f>IFERROR(VLOOKUP($B108, blitz!$CI:$CJ, 2, FALSE), 0)</f>
        <v>214</v>
      </c>
      <c r="BW108" t="b">
        <f t="shared" si="44"/>
        <v>1</v>
      </c>
      <c r="BX108" t="str">
        <f>IFERROR(VLOOKUP($B108, aegis!$CN:$CO, 2, FALSE), 0)</f>
        <v>214</v>
      </c>
      <c r="BY108" t="str">
        <f>IFERROR(VLOOKUP($B108, duel!$CN:$CO, 2, FALSE), 0)</f>
        <v>214</v>
      </c>
      <c r="BZ108" t="str">
        <f>IFERROR(VLOOKUP($B108, blitz!$CN:$CO, 2, FALSE), 0)</f>
        <v>214</v>
      </c>
      <c r="CA108" t="b">
        <f t="shared" si="45"/>
        <v>1</v>
      </c>
      <c r="CB108" t="str">
        <f>IFERROR(VLOOKUP($B108, aegis!$CS:$CT, 2, FALSE), 0)</f>
        <v>1350</v>
      </c>
      <c r="CC108" t="str">
        <f>IFERROR(VLOOKUP($B108, duel!$CS:$CT, 2, FALSE), 0)</f>
        <v>1350</v>
      </c>
      <c r="CD108" t="str">
        <f>IFERROR(VLOOKUP($B108, blitz!$CS:$CT, 2, FALSE), 0)</f>
        <v>1350</v>
      </c>
      <c r="CE108" t="b">
        <f t="shared" si="46"/>
        <v>1</v>
      </c>
      <c r="CF108" t="str">
        <f>IFERROR(VLOOKUP($B108, aegis!$CX:$CY, 2, FALSE), 0)</f>
        <v>14707</v>
      </c>
      <c r="CG108" t="str">
        <f>IFERROR(VLOOKUP($B108, duel!$CX:$CY, 2, FALSE), 0)</f>
        <v>14706</v>
      </c>
      <c r="CH108" t="str">
        <f>IFERROR(VLOOKUP($B108, blitz!$CX:$CY, 2, FALSE), 0)</f>
        <v>14705</v>
      </c>
      <c r="CI108" t="b">
        <f t="shared" si="47"/>
        <v>0</v>
      </c>
      <c r="CJ108" t="str">
        <f>IFERROR(VLOOKUP($B108, aegis!$DC:$DD, 2, FALSE), 0)</f>
        <v>1</v>
      </c>
      <c r="CK108" t="str">
        <f>IFERROR(VLOOKUP($B108, duel!$DC:$DD, 2, FALSE), 0)</f>
        <v>1</v>
      </c>
      <c r="CL108" t="str">
        <f>IFERROR(VLOOKUP($B108, blitz!$DC:$DD, 2, FALSE), 0)</f>
        <v>1</v>
      </c>
      <c r="CM108" t="b">
        <f t="shared" si="48"/>
        <v>1</v>
      </c>
      <c r="CN108" t="str">
        <f>IFERROR(VLOOKUP($B108, aegis!$DH:$DI, 2, FALSE), 0)</f>
        <v>8</v>
      </c>
      <c r="CO108" t="str">
        <f>IFERROR(VLOOKUP($B108, duel!$DH:$DI, 2, FALSE), 0)</f>
        <v>8</v>
      </c>
      <c r="CP108" s="13">
        <f>IFERROR(VLOOKUP($B108, blitz!$DH:$DI, 2, FALSE), 0)</f>
        <v>0</v>
      </c>
      <c r="CQ108" t="b">
        <f t="shared" si="49"/>
        <v>1</v>
      </c>
      <c r="CR108" t="str">
        <f>IFERROR(VLOOKUP($B108, aegis!$DM:$DN, 2, FALSE), 0)</f>
        <v>3</v>
      </c>
      <c r="CS108" t="str">
        <f>IFERROR(VLOOKUP($B108, duel!$DM:$DN, 2, FALSE), 0)</f>
        <v>3</v>
      </c>
      <c r="CT108" t="str">
        <f>IFERROR(VLOOKUP($B108, blitz!$DM:$DN, 2, FALSE), 0)</f>
        <v>3</v>
      </c>
      <c r="CU108" t="b">
        <f t="shared" si="50"/>
        <v>1</v>
      </c>
      <c r="CV108" t="str">
        <f>IFERROR(VLOOKUP($B108, aegis!$DR:$DS, 2, FALSE), 0)</f>
        <v>547</v>
      </c>
      <c r="CW108" t="str">
        <f>IFERROR(VLOOKUP($B108, duel!$DR:$DS, 2, FALSE), 0)</f>
        <v>547</v>
      </c>
      <c r="CX108" t="str">
        <f>IFERROR(VLOOKUP($B108, blitz!$DR:$DS, 2, FALSE), 0)</f>
        <v>547</v>
      </c>
      <c r="CY108" t="b">
        <f t="shared" si="51"/>
        <v>1</v>
      </c>
    </row>
    <row r="109" spans="1:103">
      <c r="A109" t="s">
        <v>1733</v>
      </c>
      <c r="B109" s="6" t="s">
        <v>203</v>
      </c>
      <c r="C109" s="5" t="b">
        <f t="shared" si="26"/>
        <v>0</v>
      </c>
      <c r="D109" t="str">
        <f>IFERROR(VLOOKUP($B109, aegis!$B:$C, 2, FALSE), 0)</f>
        <v>24</v>
      </c>
      <c r="E109" t="str">
        <f>IFERROR(VLOOKUP($B109, duel!$B:$C, 2, FALSE), 0)</f>
        <v>24</v>
      </c>
      <c r="F109" t="str">
        <f>IFERROR(VLOOKUP($B109, blitz!$B:$C, 2, FALSE), 0)</f>
        <v>24</v>
      </c>
      <c r="G109" t="b">
        <f t="shared" si="27"/>
        <v>1</v>
      </c>
      <c r="H109" t="str">
        <f>IFERROR(VLOOKUP($B109, aegis!$G:$H, 2, FALSE), 0)</f>
        <v>14</v>
      </c>
      <c r="I109" t="str">
        <f>IFERROR(VLOOKUP($B109, duel!$G:$H, 2, FALSE), 0)</f>
        <v>14</v>
      </c>
      <c r="J109" t="str">
        <f>IFERROR(VLOOKUP($B109, blitz!$G:$H, 2, FALSE), 0)</f>
        <v>14</v>
      </c>
      <c r="K109" t="b">
        <f t="shared" si="28"/>
        <v>1</v>
      </c>
      <c r="L109" t="str">
        <f>IFERROR(VLOOKUP($B109, aegis!$L:$M, 2, FALSE), 0)</f>
        <v>24</v>
      </c>
      <c r="M109" t="str">
        <f>IFERROR(VLOOKUP($B109, duel!$L:$M, 2, FALSE), 0)</f>
        <v>24</v>
      </c>
      <c r="N109" t="str">
        <f>IFERROR(VLOOKUP($B109, blitz!$L:$M, 2, FALSE), 0)</f>
        <v>24</v>
      </c>
      <c r="O109" t="b">
        <f t="shared" si="29"/>
        <v>1</v>
      </c>
      <c r="P109" t="str">
        <f>IFERROR(VLOOKUP($B109, aegis!$Q:$R, 2, FALSE), 0)</f>
        <v>14</v>
      </c>
      <c r="Q109" t="str">
        <f>IFERROR(VLOOKUP($B109, duel!$Q:$R, 2, FALSE), 0)</f>
        <v>14</v>
      </c>
      <c r="R109" t="str">
        <f>IFERROR(VLOOKUP($B109, blitz!$Q:$R, 2, FALSE), 0)</f>
        <v>14</v>
      </c>
      <c r="S109" t="b">
        <f t="shared" si="30"/>
        <v>1</v>
      </c>
      <c r="T109">
        <f>IFERROR(VLOOKUP($B109, aegis!$V:$W, 2, FALSE), 0)</f>
        <v>0</v>
      </c>
      <c r="U109">
        <f>IFERROR(VLOOKUP($B109, duel!$V:$W, 2, FALSE), 0)</f>
        <v>0</v>
      </c>
      <c r="V109">
        <f>IFERROR(VLOOKUP($B109, blitz!$V:$W, 2, FALSE), 0)</f>
        <v>0</v>
      </c>
      <c r="W109" t="b">
        <f t="shared" si="31"/>
        <v>1</v>
      </c>
      <c r="X109" t="str">
        <f>IFERROR(VLOOKUP($B109, aegis!$AA:$AB, 2, FALSE), 0)</f>
        <v>2</v>
      </c>
      <c r="Y109" t="str">
        <f>IFERROR(VLOOKUP($B109, duel!$AA:$AB, 2, FALSE), 0)</f>
        <v>2</v>
      </c>
      <c r="Z109" t="str">
        <f>IFERROR(VLOOKUP($B109, blitz!$AA:$AB, 2, FALSE), 0)</f>
        <v>2</v>
      </c>
      <c r="AA109" t="b">
        <f t="shared" si="32"/>
        <v>1</v>
      </c>
      <c r="AB109" t="str">
        <f>IFERROR(VLOOKUP($B109, aegis!$AF:$AG, 2, FALSE), 0)</f>
        <v>130</v>
      </c>
      <c r="AC109" t="str">
        <f>IFERROR(VLOOKUP($B109, duel!$AF:$AG, 2, FALSE), 0)</f>
        <v>130</v>
      </c>
      <c r="AD109" t="str">
        <f>IFERROR(VLOOKUP($B109, blitz!$AF:$AG, 2, FALSE), 0)</f>
        <v>130</v>
      </c>
      <c r="AE109" t="b">
        <f t="shared" si="33"/>
        <v>1</v>
      </c>
      <c r="AF109" t="str">
        <f>IFERROR(VLOOKUP($B109, aegis!$AK:$AL, 2, FALSE), 0)</f>
        <v>3</v>
      </c>
      <c r="AG109" t="str">
        <f>IFERROR(VLOOKUP($B109, duel!$AK:$AL, 2, FALSE), 0)</f>
        <v>1</v>
      </c>
      <c r="AH109" t="str">
        <f>IFERROR(VLOOKUP($B109, blitz!$AK:$AL, 2, FALSE), 0)</f>
        <v>1</v>
      </c>
      <c r="AI109" t="b">
        <f t="shared" si="34"/>
        <v>0</v>
      </c>
      <c r="AJ109" t="str">
        <f>IFERROR(VLOOKUP($B109, aegis!$AP:$AQ, 2, FALSE), 0)</f>
        <v>1</v>
      </c>
      <c r="AK109" t="str">
        <f>IFERROR(VLOOKUP($B109, duel!$AP:$AQ, 2, FALSE), 0)</f>
        <v>1</v>
      </c>
      <c r="AL109" t="str">
        <f>IFERROR(VLOOKUP($B109, blitz!$AP:$AQ, 2, FALSE), 0)</f>
        <v>1</v>
      </c>
      <c r="AM109" t="b">
        <f t="shared" si="35"/>
        <v>1</v>
      </c>
      <c r="AN109">
        <f>IFERROR(VLOOKUP($B109, aegis!$AU:$AV, 2, FALSE), 0)</f>
        <v>0</v>
      </c>
      <c r="AO109">
        <f>IFERROR(VLOOKUP($B109, duel!$AU:$AV, 2, FALSE), 0)</f>
        <v>0</v>
      </c>
      <c r="AP109">
        <f>IFERROR(VLOOKUP($B109, blitz!$AU:$AV, 2, FALSE), 0)</f>
        <v>0</v>
      </c>
      <c r="AQ109" t="b">
        <f t="shared" si="36"/>
        <v>1</v>
      </c>
      <c r="AR109" t="str">
        <f>IFERROR(VLOOKUP($B109, aegis!$AZ:$BA, 2, FALSE), 0)</f>
        <v>2</v>
      </c>
      <c r="AS109" t="str">
        <f>IFERROR(VLOOKUP($B109, duel!$AZ:$BA, 2, FALSE), 0)</f>
        <v>2</v>
      </c>
      <c r="AT109" t="str">
        <f>IFERROR(VLOOKUP($B109, blitz!$AZ:$BA, 2, FALSE), 0)</f>
        <v>2</v>
      </c>
      <c r="AU109" t="b">
        <f t="shared" si="37"/>
        <v>1</v>
      </c>
      <c r="AV109" t="str">
        <f>IFERROR(VLOOKUP($B109, aegis!$BE:$BF, 2, FALSE), 0)</f>
        <v>1</v>
      </c>
      <c r="AW109" t="str">
        <f>IFERROR(VLOOKUP($B109, duel!$BE:$BF, 2, FALSE), 0)</f>
        <v>1</v>
      </c>
      <c r="AX109" t="str">
        <f>IFERROR(VLOOKUP($B109, blitz!$BE:$BF, 2, FALSE), 0)</f>
        <v>1</v>
      </c>
      <c r="AY109" t="b">
        <f t="shared" si="38"/>
        <v>1</v>
      </c>
      <c r="AZ109" t="str">
        <f>IFERROR(VLOOKUP($B109, aegis!$BJ:$BK, 2, FALSE), 0)</f>
        <v>1</v>
      </c>
      <c r="BA109" t="str">
        <f>IFERROR(VLOOKUP($B109, duel!$BJ:$BK, 2, FALSE), 0)</f>
        <v>1</v>
      </c>
      <c r="BB109" t="str">
        <f>IFERROR(VLOOKUP($B109, blitz!$BJ:$BK, 2, FALSE), 0)</f>
        <v>1</v>
      </c>
      <c r="BC109" t="b">
        <f t="shared" si="39"/>
        <v>1</v>
      </c>
      <c r="BD109">
        <f>IFERROR(VLOOKUP($B109, aegis!$BO:$BP, 2, FALSE), 0)</f>
        <v>0</v>
      </c>
      <c r="BE109">
        <f>IFERROR(VLOOKUP($B109, duel!$BO:$BP, 2, FALSE), 0)</f>
        <v>0</v>
      </c>
      <c r="BF109">
        <f>IFERROR(VLOOKUP($B109, blitz!$BO:$BP, 2, FALSE), 0)</f>
        <v>0</v>
      </c>
      <c r="BG109" t="b">
        <f t="shared" si="40"/>
        <v>1</v>
      </c>
      <c r="BH109" t="str">
        <f>IFERROR(VLOOKUP($B109, aegis!$BT:$BU, 2, FALSE), 0)</f>
        <v>69</v>
      </c>
      <c r="BI109" t="str">
        <f>IFERROR(VLOOKUP($B109, duel!$BT:$BU, 2, FALSE), 0)</f>
        <v>69</v>
      </c>
      <c r="BJ109" t="str">
        <f>IFERROR(VLOOKUP($B109, blitz!$BT:$BU, 2, FALSE), 0)</f>
        <v>69</v>
      </c>
      <c r="BK109" t="b">
        <f t="shared" si="41"/>
        <v>1</v>
      </c>
      <c r="BL109" t="str">
        <f>IFERROR(VLOOKUP($B109, aegis!$BY:$BZ, 2, FALSE), 0)</f>
        <v>1</v>
      </c>
      <c r="BM109" t="str">
        <f>IFERROR(VLOOKUP($B109, duel!$BY:$BZ, 2, FALSE), 0)</f>
        <v>1</v>
      </c>
      <c r="BN109" t="str">
        <f>IFERROR(VLOOKUP($B109, blitz!$BY:$BZ, 2, FALSE), 0)</f>
        <v>1</v>
      </c>
      <c r="BO109" t="b">
        <f t="shared" si="42"/>
        <v>1</v>
      </c>
      <c r="BP109" t="str">
        <f>IFERROR(VLOOKUP($B109, aegis!$CD:$CE, 2, FALSE), 0)</f>
        <v>3</v>
      </c>
      <c r="BQ109" t="str">
        <f>IFERROR(VLOOKUP($B109, duel!$CD:$CE, 2, FALSE), 0)</f>
        <v>3</v>
      </c>
      <c r="BR109" t="str">
        <f>IFERROR(VLOOKUP($B109, blitz!$CD:$CE, 2, FALSE), 0)</f>
        <v>3</v>
      </c>
      <c r="BS109" t="b">
        <f t="shared" si="43"/>
        <v>1</v>
      </c>
      <c r="BT109" t="str">
        <f>IFERROR(VLOOKUP($B109, aegis!$CI:$CJ, 2, FALSE), 0)</f>
        <v>7</v>
      </c>
      <c r="BU109" t="str">
        <f>IFERROR(VLOOKUP($B109, duel!$CI:$CJ, 2, FALSE), 0)</f>
        <v>7</v>
      </c>
      <c r="BV109" t="str">
        <f>IFERROR(VLOOKUP($B109, blitz!$CI:$CJ, 2, FALSE), 0)</f>
        <v>7</v>
      </c>
      <c r="BW109" t="b">
        <f t="shared" si="44"/>
        <v>1</v>
      </c>
      <c r="BX109" t="str">
        <f>IFERROR(VLOOKUP($B109, aegis!$CN:$CO, 2, FALSE), 0)</f>
        <v>7</v>
      </c>
      <c r="BY109" t="str">
        <f>IFERROR(VLOOKUP($B109, duel!$CN:$CO, 2, FALSE), 0)</f>
        <v>7</v>
      </c>
      <c r="BZ109" t="str">
        <f>IFERROR(VLOOKUP($B109, blitz!$CN:$CO, 2, FALSE), 0)</f>
        <v>7</v>
      </c>
      <c r="CA109" t="b">
        <f t="shared" si="45"/>
        <v>1</v>
      </c>
      <c r="CB109" t="str">
        <f>IFERROR(VLOOKUP($B109, aegis!$CS:$CT, 2, FALSE), 0)</f>
        <v>28</v>
      </c>
      <c r="CC109" t="str">
        <f>IFERROR(VLOOKUP($B109, duel!$CS:$CT, 2, FALSE), 0)</f>
        <v>28</v>
      </c>
      <c r="CD109" t="str">
        <f>IFERROR(VLOOKUP($B109, blitz!$CS:$CT, 2, FALSE), 0)</f>
        <v>28</v>
      </c>
      <c r="CE109" t="b">
        <f t="shared" si="46"/>
        <v>1</v>
      </c>
      <c r="CF109" t="str">
        <f>IFERROR(VLOOKUP($B109, aegis!$CX:$CY, 2, FALSE), 0)</f>
        <v>6868</v>
      </c>
      <c r="CG109" t="str">
        <f>IFERROR(VLOOKUP($B109, duel!$CX:$CY, 2, FALSE), 0)</f>
        <v>6866</v>
      </c>
      <c r="CH109" t="str">
        <f>IFERROR(VLOOKUP($B109, blitz!$CX:$CY, 2, FALSE), 0)</f>
        <v>6867</v>
      </c>
      <c r="CI109" t="b">
        <f t="shared" si="47"/>
        <v>0</v>
      </c>
      <c r="CJ109" t="str">
        <f>IFERROR(VLOOKUP($B109, aegis!$DC:$DD, 2, FALSE), 0)</f>
        <v>1</v>
      </c>
      <c r="CK109" t="str">
        <f>IFERROR(VLOOKUP($B109, duel!$DC:$DD, 2, FALSE), 0)</f>
        <v>1</v>
      </c>
      <c r="CL109" t="str">
        <f>IFERROR(VLOOKUP($B109, blitz!$DC:$DD, 2, FALSE), 0)</f>
        <v>1</v>
      </c>
      <c r="CM109" t="b">
        <f t="shared" si="48"/>
        <v>1</v>
      </c>
      <c r="CN109" t="str">
        <f>IFERROR(VLOOKUP($B109, aegis!$DH:$DI, 2, FALSE), 0)</f>
        <v>1</v>
      </c>
      <c r="CO109" t="str">
        <f>IFERROR(VLOOKUP($B109, duel!$DH:$DI, 2, FALSE), 0)</f>
        <v>1</v>
      </c>
      <c r="CP109" s="13">
        <f>IFERROR(VLOOKUP($B109, blitz!$DH:$DI, 2, FALSE), 0)</f>
        <v>0</v>
      </c>
      <c r="CQ109" t="b">
        <f t="shared" si="49"/>
        <v>1</v>
      </c>
      <c r="CR109" t="str">
        <f>IFERROR(VLOOKUP($B109, aegis!$DM:$DN, 2, FALSE), 0)</f>
        <v>1</v>
      </c>
      <c r="CS109" t="str">
        <f>IFERROR(VLOOKUP($B109, duel!$DM:$DN, 2, FALSE), 0)</f>
        <v>1</v>
      </c>
      <c r="CT109" t="str">
        <f>IFERROR(VLOOKUP($B109, blitz!$DM:$DN, 2, FALSE), 0)</f>
        <v>1</v>
      </c>
      <c r="CU109" t="b">
        <f t="shared" si="50"/>
        <v>1</v>
      </c>
      <c r="CV109" t="str">
        <f>IFERROR(VLOOKUP($B109, aegis!$DR:$DS, 2, FALSE), 0)</f>
        <v>130</v>
      </c>
      <c r="CW109" t="str">
        <f>IFERROR(VLOOKUP($B109, duel!$DR:$DS, 2, FALSE), 0)</f>
        <v>130</v>
      </c>
      <c r="CX109" t="str">
        <f>IFERROR(VLOOKUP($B109, blitz!$DR:$DS, 2, FALSE), 0)</f>
        <v>130</v>
      </c>
      <c r="CY109" t="b">
        <f t="shared" si="51"/>
        <v>1</v>
      </c>
    </row>
    <row r="110" spans="1:103">
      <c r="B110" s="6" t="s">
        <v>205</v>
      </c>
      <c r="C110" s="5" t="b">
        <f t="shared" si="26"/>
        <v>0</v>
      </c>
      <c r="D110" t="str">
        <f>IFERROR(VLOOKUP($B110, aegis!$B:$C, 2, FALSE), 0)</f>
        <v>24</v>
      </c>
      <c r="E110" t="str">
        <f>IFERROR(VLOOKUP($B110, duel!$B:$C, 2, FALSE), 0)</f>
        <v>24</v>
      </c>
      <c r="F110" t="str">
        <f>IFERROR(VLOOKUP($B110, blitz!$B:$C, 2, FALSE), 0)</f>
        <v>24</v>
      </c>
      <c r="G110" t="b">
        <f t="shared" si="27"/>
        <v>1</v>
      </c>
      <c r="H110" t="str">
        <f>IFERROR(VLOOKUP($B110, aegis!$G:$H, 2, FALSE), 0)</f>
        <v>14</v>
      </c>
      <c r="I110" t="str">
        <f>IFERROR(VLOOKUP($B110, duel!$G:$H, 2, FALSE), 0)</f>
        <v>14</v>
      </c>
      <c r="J110" t="str">
        <f>IFERROR(VLOOKUP($B110, blitz!$G:$H, 2, FALSE), 0)</f>
        <v>14</v>
      </c>
      <c r="K110" t="b">
        <f t="shared" si="28"/>
        <v>1</v>
      </c>
      <c r="L110" t="str">
        <f>IFERROR(VLOOKUP($B110, aegis!$L:$M, 2, FALSE), 0)</f>
        <v>24</v>
      </c>
      <c r="M110" t="str">
        <f>IFERROR(VLOOKUP($B110, duel!$L:$M, 2, FALSE), 0)</f>
        <v>24</v>
      </c>
      <c r="N110" t="str">
        <f>IFERROR(VLOOKUP($B110, blitz!$L:$M, 2, FALSE), 0)</f>
        <v>24</v>
      </c>
      <c r="O110" t="b">
        <f t="shared" si="29"/>
        <v>1</v>
      </c>
      <c r="P110" t="str">
        <f>IFERROR(VLOOKUP($B110, aegis!$Q:$R, 2, FALSE), 0)</f>
        <v>14</v>
      </c>
      <c r="Q110" t="str">
        <f>IFERROR(VLOOKUP($B110, duel!$Q:$R, 2, FALSE), 0)</f>
        <v>14</v>
      </c>
      <c r="R110" t="str">
        <f>IFERROR(VLOOKUP($B110, blitz!$Q:$R, 2, FALSE), 0)</f>
        <v>14</v>
      </c>
      <c r="S110" t="b">
        <f t="shared" si="30"/>
        <v>1</v>
      </c>
      <c r="T110">
        <f>IFERROR(VLOOKUP($B110, aegis!$V:$W, 2, FALSE), 0)</f>
        <v>0</v>
      </c>
      <c r="U110">
        <f>IFERROR(VLOOKUP($B110, duel!$V:$W, 2, FALSE), 0)</f>
        <v>0</v>
      </c>
      <c r="V110">
        <f>IFERROR(VLOOKUP($B110, blitz!$V:$W, 2, FALSE), 0)</f>
        <v>0</v>
      </c>
      <c r="W110" t="b">
        <f t="shared" si="31"/>
        <v>1</v>
      </c>
      <c r="X110" t="str">
        <f>IFERROR(VLOOKUP($B110, aegis!$AA:$AB, 2, FALSE), 0)</f>
        <v>2</v>
      </c>
      <c r="Y110" t="str">
        <f>IFERROR(VLOOKUP($B110, duel!$AA:$AB, 2, FALSE), 0)</f>
        <v>2</v>
      </c>
      <c r="Z110" t="str">
        <f>IFERROR(VLOOKUP($B110, blitz!$AA:$AB, 2, FALSE), 0)</f>
        <v>2</v>
      </c>
      <c r="AA110" t="b">
        <f t="shared" si="32"/>
        <v>1</v>
      </c>
      <c r="AB110" t="str">
        <f>IFERROR(VLOOKUP($B110, aegis!$AF:$AG, 2, FALSE), 0)</f>
        <v>45</v>
      </c>
      <c r="AC110" t="str">
        <f>IFERROR(VLOOKUP($B110, duel!$AF:$AG, 2, FALSE), 0)</f>
        <v>45</v>
      </c>
      <c r="AD110" t="str">
        <f>IFERROR(VLOOKUP($B110, blitz!$AF:$AG, 2, FALSE), 0)</f>
        <v>45</v>
      </c>
      <c r="AE110" t="b">
        <f t="shared" si="33"/>
        <v>1</v>
      </c>
      <c r="AF110" t="str">
        <f>IFERROR(VLOOKUP($B110, aegis!$AK:$AL, 2, FALSE), 0)</f>
        <v>3</v>
      </c>
      <c r="AG110" t="str">
        <f>IFERROR(VLOOKUP($B110, duel!$AK:$AL, 2, FALSE), 0)</f>
        <v>1</v>
      </c>
      <c r="AH110" t="str">
        <f>IFERROR(VLOOKUP($B110, blitz!$AK:$AL, 2, FALSE), 0)</f>
        <v>1</v>
      </c>
      <c r="AI110" t="b">
        <f t="shared" si="34"/>
        <v>0</v>
      </c>
      <c r="AJ110" t="str">
        <f>IFERROR(VLOOKUP($B110, aegis!$AP:$AQ, 2, FALSE), 0)</f>
        <v>1</v>
      </c>
      <c r="AK110" t="str">
        <f>IFERROR(VLOOKUP($B110, duel!$AP:$AQ, 2, FALSE), 0)</f>
        <v>1</v>
      </c>
      <c r="AL110" t="str">
        <f>IFERROR(VLOOKUP($B110, blitz!$AP:$AQ, 2, FALSE), 0)</f>
        <v>1</v>
      </c>
      <c r="AM110" t="b">
        <f t="shared" si="35"/>
        <v>1</v>
      </c>
      <c r="AN110">
        <f>IFERROR(VLOOKUP($B110, aegis!$AU:$AV, 2, FALSE), 0)</f>
        <v>0</v>
      </c>
      <c r="AO110">
        <f>IFERROR(VLOOKUP($B110, duel!$AU:$AV, 2, FALSE), 0)</f>
        <v>0</v>
      </c>
      <c r="AP110">
        <f>IFERROR(VLOOKUP($B110, blitz!$AU:$AV, 2, FALSE), 0)</f>
        <v>0</v>
      </c>
      <c r="AQ110" t="b">
        <f t="shared" si="36"/>
        <v>1</v>
      </c>
      <c r="AR110" t="str">
        <f>IFERROR(VLOOKUP($B110, aegis!$AZ:$BA, 2, FALSE), 0)</f>
        <v>2</v>
      </c>
      <c r="AS110" t="str">
        <f>IFERROR(VLOOKUP($B110, duel!$AZ:$BA, 2, FALSE), 0)</f>
        <v>2</v>
      </c>
      <c r="AT110" t="str">
        <f>IFERROR(VLOOKUP($B110, blitz!$AZ:$BA, 2, FALSE), 0)</f>
        <v>2</v>
      </c>
      <c r="AU110" t="b">
        <f t="shared" si="37"/>
        <v>1</v>
      </c>
      <c r="AV110" t="str">
        <f>IFERROR(VLOOKUP($B110, aegis!$BE:$BF, 2, FALSE), 0)</f>
        <v>1</v>
      </c>
      <c r="AW110" t="str">
        <f>IFERROR(VLOOKUP($B110, duel!$BE:$BF, 2, FALSE), 0)</f>
        <v>1</v>
      </c>
      <c r="AX110" t="str">
        <f>IFERROR(VLOOKUP($B110, blitz!$BE:$BF, 2, FALSE), 0)</f>
        <v>1</v>
      </c>
      <c r="AY110" t="b">
        <f t="shared" si="38"/>
        <v>1</v>
      </c>
      <c r="AZ110" t="str">
        <f>IFERROR(VLOOKUP($B110, aegis!$BJ:$BK, 2, FALSE), 0)</f>
        <v>1</v>
      </c>
      <c r="BA110" t="str">
        <f>IFERROR(VLOOKUP($B110, duel!$BJ:$BK, 2, FALSE), 0)</f>
        <v>1</v>
      </c>
      <c r="BB110" t="str">
        <f>IFERROR(VLOOKUP($B110, blitz!$BJ:$BK, 2, FALSE), 0)</f>
        <v>1</v>
      </c>
      <c r="BC110" t="b">
        <f t="shared" si="39"/>
        <v>1</v>
      </c>
      <c r="BD110">
        <f>IFERROR(VLOOKUP($B110, aegis!$BO:$BP, 2, FALSE), 0)</f>
        <v>0</v>
      </c>
      <c r="BE110">
        <f>IFERROR(VLOOKUP($B110, duel!$BO:$BP, 2, FALSE), 0)</f>
        <v>0</v>
      </c>
      <c r="BF110">
        <f>IFERROR(VLOOKUP($B110, blitz!$BO:$BP, 2, FALSE), 0)</f>
        <v>0</v>
      </c>
      <c r="BG110" t="b">
        <f t="shared" si="40"/>
        <v>1</v>
      </c>
      <c r="BH110" t="str">
        <f>IFERROR(VLOOKUP($B110, aegis!$BT:$BU, 2, FALSE), 0)</f>
        <v>27</v>
      </c>
      <c r="BI110" t="str">
        <f>IFERROR(VLOOKUP($B110, duel!$BT:$BU, 2, FALSE), 0)</f>
        <v>27</v>
      </c>
      <c r="BJ110" t="str">
        <f>IFERROR(VLOOKUP($B110, blitz!$BT:$BU, 2, FALSE), 0)</f>
        <v>27</v>
      </c>
      <c r="BK110" t="b">
        <f t="shared" si="41"/>
        <v>1</v>
      </c>
      <c r="BL110" t="str">
        <f>IFERROR(VLOOKUP($B110, aegis!$BY:$BZ, 2, FALSE), 0)</f>
        <v>1</v>
      </c>
      <c r="BM110" t="str">
        <f>IFERROR(VLOOKUP($B110, duel!$BY:$BZ, 2, FALSE), 0)</f>
        <v>1</v>
      </c>
      <c r="BN110" t="str">
        <f>IFERROR(VLOOKUP($B110, blitz!$BY:$BZ, 2, FALSE), 0)</f>
        <v>1</v>
      </c>
      <c r="BO110" t="b">
        <f t="shared" si="42"/>
        <v>1</v>
      </c>
      <c r="BP110" t="str">
        <f>IFERROR(VLOOKUP($B110, aegis!$CD:$CE, 2, FALSE), 0)</f>
        <v>8</v>
      </c>
      <c r="BQ110" t="str">
        <f>IFERROR(VLOOKUP($B110, duel!$CD:$CE, 2, FALSE), 0)</f>
        <v>8</v>
      </c>
      <c r="BR110" t="str">
        <f>IFERROR(VLOOKUP($B110, blitz!$CD:$CE, 2, FALSE), 0)</f>
        <v>8</v>
      </c>
      <c r="BS110" t="b">
        <f t="shared" si="43"/>
        <v>1</v>
      </c>
      <c r="BT110" t="str">
        <f>IFERROR(VLOOKUP($B110, aegis!$CI:$CJ, 2, FALSE), 0)</f>
        <v>11</v>
      </c>
      <c r="BU110" t="str">
        <f>IFERROR(VLOOKUP($B110, duel!$CI:$CJ, 2, FALSE), 0)</f>
        <v>11</v>
      </c>
      <c r="BV110" t="str">
        <f>IFERROR(VLOOKUP($B110, blitz!$CI:$CJ, 2, FALSE), 0)</f>
        <v>11</v>
      </c>
      <c r="BW110" t="b">
        <f t="shared" si="44"/>
        <v>1</v>
      </c>
      <c r="BX110" t="str">
        <f>IFERROR(VLOOKUP($B110, aegis!$CN:$CO, 2, FALSE), 0)</f>
        <v>11</v>
      </c>
      <c r="BY110" t="str">
        <f>IFERROR(VLOOKUP($B110, duel!$CN:$CO, 2, FALSE), 0)</f>
        <v>11</v>
      </c>
      <c r="BZ110" t="str">
        <f>IFERROR(VLOOKUP($B110, blitz!$CN:$CO, 2, FALSE), 0)</f>
        <v>11</v>
      </c>
      <c r="CA110" t="b">
        <f t="shared" si="45"/>
        <v>1</v>
      </c>
      <c r="CB110" t="str">
        <f>IFERROR(VLOOKUP($B110, aegis!$CS:$CT, 2, FALSE), 0)</f>
        <v>46</v>
      </c>
      <c r="CC110" t="str">
        <f>IFERROR(VLOOKUP($B110, duel!$CS:$CT, 2, FALSE), 0)</f>
        <v>46</v>
      </c>
      <c r="CD110" t="str">
        <f>IFERROR(VLOOKUP($B110, blitz!$CS:$CT, 2, FALSE), 0)</f>
        <v>46</v>
      </c>
      <c r="CE110" t="b">
        <f t="shared" si="46"/>
        <v>1</v>
      </c>
      <c r="CF110" t="str">
        <f>IFERROR(VLOOKUP($B110, aegis!$CX:$CY, 2, FALSE), 0)</f>
        <v>2756</v>
      </c>
      <c r="CG110" t="str">
        <f>IFERROR(VLOOKUP($B110, duel!$CX:$CY, 2, FALSE), 0)</f>
        <v>2756</v>
      </c>
      <c r="CH110" t="str">
        <f>IFERROR(VLOOKUP($B110, blitz!$CX:$CY, 2, FALSE), 0)</f>
        <v>2756</v>
      </c>
      <c r="CI110" t="b">
        <f t="shared" si="47"/>
        <v>1</v>
      </c>
      <c r="CJ110" t="str">
        <f>IFERROR(VLOOKUP($B110, aegis!$DC:$DD, 2, FALSE), 0)</f>
        <v>1</v>
      </c>
      <c r="CK110" t="str">
        <f>IFERROR(VLOOKUP($B110, duel!$DC:$DD, 2, FALSE), 0)</f>
        <v>1</v>
      </c>
      <c r="CL110" t="str">
        <f>IFERROR(VLOOKUP($B110, blitz!$DC:$DD, 2, FALSE), 0)</f>
        <v>1</v>
      </c>
      <c r="CM110" t="b">
        <f t="shared" si="48"/>
        <v>1</v>
      </c>
      <c r="CN110" t="str">
        <f>IFERROR(VLOOKUP($B110, aegis!$DH:$DI, 2, FALSE), 0)</f>
        <v>4</v>
      </c>
      <c r="CO110" t="str">
        <f>IFERROR(VLOOKUP($B110, duel!$DH:$DI, 2, FALSE), 0)</f>
        <v>4</v>
      </c>
      <c r="CP110" s="13">
        <f>IFERROR(VLOOKUP($B110, blitz!$DH:$DI, 2, FALSE), 0)</f>
        <v>0</v>
      </c>
      <c r="CQ110" t="b">
        <f t="shared" si="49"/>
        <v>1</v>
      </c>
      <c r="CR110" t="str">
        <f>IFERROR(VLOOKUP($B110, aegis!$DM:$DN, 2, FALSE), 0)</f>
        <v>1</v>
      </c>
      <c r="CS110" t="str">
        <f>IFERROR(VLOOKUP($B110, duel!$DM:$DN, 2, FALSE), 0)</f>
        <v>1</v>
      </c>
      <c r="CT110" t="str">
        <f>IFERROR(VLOOKUP($B110, blitz!$DM:$DN, 2, FALSE), 0)</f>
        <v>1</v>
      </c>
      <c r="CU110" t="b">
        <f t="shared" si="50"/>
        <v>1</v>
      </c>
      <c r="CV110" t="str">
        <f>IFERROR(VLOOKUP($B110, aegis!$DR:$DS, 2, FALSE), 0)</f>
        <v>45</v>
      </c>
      <c r="CW110" t="str">
        <f>IFERROR(VLOOKUP($B110, duel!$DR:$DS, 2, FALSE), 0)</f>
        <v>45</v>
      </c>
      <c r="CX110" t="str">
        <f>IFERROR(VLOOKUP($B110, blitz!$DR:$DS, 2, FALSE), 0)</f>
        <v>45</v>
      </c>
      <c r="CY110" t="b">
        <f t="shared" si="51"/>
        <v>1</v>
      </c>
    </row>
    <row r="111" spans="1:103">
      <c r="A111" t="s">
        <v>1733</v>
      </c>
      <c r="B111" s="6" t="s">
        <v>206</v>
      </c>
      <c r="C111" s="5" t="b">
        <f t="shared" si="26"/>
        <v>0</v>
      </c>
      <c r="D111" t="str">
        <f>IFERROR(VLOOKUP($B111, aegis!$B:$C, 2, FALSE), 0)</f>
        <v>24</v>
      </c>
      <c r="E111" t="str">
        <f>IFERROR(VLOOKUP($B111, duel!$B:$C, 2, FALSE), 0)</f>
        <v>24</v>
      </c>
      <c r="F111" t="str">
        <f>IFERROR(VLOOKUP($B111, blitz!$B:$C, 2, FALSE), 0)</f>
        <v>24</v>
      </c>
      <c r="G111" t="b">
        <f t="shared" si="27"/>
        <v>1</v>
      </c>
      <c r="H111" t="str">
        <f>IFERROR(VLOOKUP($B111, aegis!$G:$H, 2, FALSE), 0)</f>
        <v>14</v>
      </c>
      <c r="I111" t="str">
        <f>IFERROR(VLOOKUP($B111, duel!$G:$H, 2, FALSE), 0)</f>
        <v>14</v>
      </c>
      <c r="J111" t="str">
        <f>IFERROR(VLOOKUP($B111, blitz!$G:$H, 2, FALSE), 0)</f>
        <v>14</v>
      </c>
      <c r="K111" t="b">
        <f t="shared" si="28"/>
        <v>1</v>
      </c>
      <c r="L111" t="str">
        <f>IFERROR(VLOOKUP($B111, aegis!$L:$M, 2, FALSE), 0)</f>
        <v>24</v>
      </c>
      <c r="M111" t="str">
        <f>IFERROR(VLOOKUP($B111, duel!$L:$M, 2, FALSE), 0)</f>
        <v>24</v>
      </c>
      <c r="N111" t="str">
        <f>IFERROR(VLOOKUP($B111, blitz!$L:$M, 2, FALSE), 0)</f>
        <v>24</v>
      </c>
      <c r="O111" t="b">
        <f t="shared" si="29"/>
        <v>1</v>
      </c>
      <c r="P111" t="str">
        <f>IFERROR(VLOOKUP($B111, aegis!$Q:$R, 2, FALSE), 0)</f>
        <v>14</v>
      </c>
      <c r="Q111" t="str">
        <f>IFERROR(VLOOKUP($B111, duel!$Q:$R, 2, FALSE), 0)</f>
        <v>14</v>
      </c>
      <c r="R111" t="str">
        <f>IFERROR(VLOOKUP($B111, blitz!$Q:$R, 2, FALSE), 0)</f>
        <v>14</v>
      </c>
      <c r="S111" t="b">
        <f t="shared" si="30"/>
        <v>1</v>
      </c>
      <c r="T111">
        <f>IFERROR(VLOOKUP($B111, aegis!$V:$W, 2, FALSE), 0)</f>
        <v>0</v>
      </c>
      <c r="U111">
        <f>IFERROR(VLOOKUP($B111, duel!$V:$W, 2, FALSE), 0)</f>
        <v>0</v>
      </c>
      <c r="V111">
        <f>IFERROR(VLOOKUP($B111, blitz!$V:$W, 2, FALSE), 0)</f>
        <v>0</v>
      </c>
      <c r="W111" t="b">
        <f t="shared" si="31"/>
        <v>1</v>
      </c>
      <c r="X111" t="str">
        <f>IFERROR(VLOOKUP($B111, aegis!$AA:$AB, 2, FALSE), 0)</f>
        <v>2</v>
      </c>
      <c r="Y111" t="str">
        <f>IFERROR(VLOOKUP($B111, duel!$AA:$AB, 2, FALSE), 0)</f>
        <v>2</v>
      </c>
      <c r="Z111" t="str">
        <f>IFERROR(VLOOKUP($B111, blitz!$AA:$AB, 2, FALSE), 0)</f>
        <v>2</v>
      </c>
      <c r="AA111" t="b">
        <f t="shared" si="32"/>
        <v>1</v>
      </c>
      <c r="AB111" t="str">
        <f>IFERROR(VLOOKUP($B111, aegis!$AF:$AG, 2, FALSE), 0)</f>
        <v>50</v>
      </c>
      <c r="AC111" t="str">
        <f>IFERROR(VLOOKUP($B111, duel!$AF:$AG, 2, FALSE), 0)</f>
        <v>50</v>
      </c>
      <c r="AD111" t="str">
        <f>IFERROR(VLOOKUP($B111, blitz!$AF:$AG, 2, FALSE), 0)</f>
        <v>50</v>
      </c>
      <c r="AE111" t="b">
        <f t="shared" si="33"/>
        <v>1</v>
      </c>
      <c r="AF111" t="str">
        <f>IFERROR(VLOOKUP($B111, aegis!$AK:$AL, 2, FALSE), 0)</f>
        <v>3</v>
      </c>
      <c r="AG111" t="str">
        <f>IFERROR(VLOOKUP($B111, duel!$AK:$AL, 2, FALSE), 0)</f>
        <v>1</v>
      </c>
      <c r="AH111" t="str">
        <f>IFERROR(VLOOKUP($B111, blitz!$AK:$AL, 2, FALSE), 0)</f>
        <v>1</v>
      </c>
      <c r="AI111" t="b">
        <f t="shared" si="34"/>
        <v>0</v>
      </c>
      <c r="AJ111" t="str">
        <f>IFERROR(VLOOKUP($B111, aegis!$AP:$AQ, 2, FALSE), 0)</f>
        <v>1</v>
      </c>
      <c r="AK111" t="str">
        <f>IFERROR(VLOOKUP($B111, duel!$AP:$AQ, 2, FALSE), 0)</f>
        <v>1</v>
      </c>
      <c r="AL111" t="str">
        <f>IFERROR(VLOOKUP($B111, blitz!$AP:$AQ, 2, FALSE), 0)</f>
        <v>1</v>
      </c>
      <c r="AM111" t="b">
        <f t="shared" si="35"/>
        <v>1</v>
      </c>
      <c r="AN111">
        <f>IFERROR(VLOOKUP($B111, aegis!$AU:$AV, 2, FALSE), 0)</f>
        <v>0</v>
      </c>
      <c r="AO111">
        <f>IFERROR(VLOOKUP($B111, duel!$AU:$AV, 2, FALSE), 0)</f>
        <v>0</v>
      </c>
      <c r="AP111">
        <f>IFERROR(VLOOKUP($B111, blitz!$AU:$AV, 2, FALSE), 0)</f>
        <v>0</v>
      </c>
      <c r="AQ111" t="b">
        <f t="shared" si="36"/>
        <v>1</v>
      </c>
      <c r="AR111" t="str">
        <f>IFERROR(VLOOKUP($B111, aegis!$AZ:$BA, 2, FALSE), 0)</f>
        <v>2</v>
      </c>
      <c r="AS111" t="str">
        <f>IFERROR(VLOOKUP($B111, duel!$AZ:$BA, 2, FALSE), 0)</f>
        <v>2</v>
      </c>
      <c r="AT111" t="str">
        <f>IFERROR(VLOOKUP($B111, blitz!$AZ:$BA, 2, FALSE), 0)</f>
        <v>2</v>
      </c>
      <c r="AU111" t="b">
        <f t="shared" si="37"/>
        <v>1</v>
      </c>
      <c r="AV111" t="str">
        <f>IFERROR(VLOOKUP($B111, aegis!$BE:$BF, 2, FALSE), 0)</f>
        <v>1</v>
      </c>
      <c r="AW111" t="str">
        <f>IFERROR(VLOOKUP($B111, duel!$BE:$BF, 2, FALSE), 0)</f>
        <v>1</v>
      </c>
      <c r="AX111" t="str">
        <f>IFERROR(VLOOKUP($B111, blitz!$BE:$BF, 2, FALSE), 0)</f>
        <v>1</v>
      </c>
      <c r="AY111" t="b">
        <f t="shared" si="38"/>
        <v>1</v>
      </c>
      <c r="AZ111" t="str">
        <f>IFERROR(VLOOKUP($B111, aegis!$BJ:$BK, 2, FALSE), 0)</f>
        <v>1</v>
      </c>
      <c r="BA111" t="str">
        <f>IFERROR(VLOOKUP($B111, duel!$BJ:$BK, 2, FALSE), 0)</f>
        <v>1</v>
      </c>
      <c r="BB111" t="str">
        <f>IFERROR(VLOOKUP($B111, blitz!$BJ:$BK, 2, FALSE), 0)</f>
        <v>1</v>
      </c>
      <c r="BC111" t="b">
        <f t="shared" si="39"/>
        <v>1</v>
      </c>
      <c r="BD111">
        <f>IFERROR(VLOOKUP($B111, aegis!$BO:$BP, 2, FALSE), 0)</f>
        <v>0</v>
      </c>
      <c r="BE111">
        <f>IFERROR(VLOOKUP($B111, duel!$BO:$BP, 2, FALSE), 0)</f>
        <v>0</v>
      </c>
      <c r="BF111">
        <f>IFERROR(VLOOKUP($B111, blitz!$BO:$BP, 2, FALSE), 0)</f>
        <v>0</v>
      </c>
      <c r="BG111" t="b">
        <f t="shared" si="40"/>
        <v>1</v>
      </c>
      <c r="BH111" t="str">
        <f>IFERROR(VLOOKUP($B111, aegis!$BT:$BU, 2, FALSE), 0)</f>
        <v>11</v>
      </c>
      <c r="BI111" t="str">
        <f>IFERROR(VLOOKUP($B111, duel!$BT:$BU, 2, FALSE), 0)</f>
        <v>11</v>
      </c>
      <c r="BJ111" t="str">
        <f>IFERROR(VLOOKUP($B111, blitz!$BT:$BU, 2, FALSE), 0)</f>
        <v>11</v>
      </c>
      <c r="BK111" t="b">
        <f t="shared" si="41"/>
        <v>1</v>
      </c>
      <c r="BL111" t="str">
        <f>IFERROR(VLOOKUP($B111, aegis!$BY:$BZ, 2, FALSE), 0)</f>
        <v>1</v>
      </c>
      <c r="BM111" t="str">
        <f>IFERROR(VLOOKUP($B111, duel!$BY:$BZ, 2, FALSE), 0)</f>
        <v>1</v>
      </c>
      <c r="BN111" t="str">
        <f>IFERROR(VLOOKUP($B111, blitz!$BY:$BZ, 2, FALSE), 0)</f>
        <v>1</v>
      </c>
      <c r="BO111" t="b">
        <f t="shared" si="42"/>
        <v>1</v>
      </c>
      <c r="BP111" t="str">
        <f>IFERROR(VLOOKUP($B111, aegis!$CD:$CE, 2, FALSE), 0)</f>
        <v>3</v>
      </c>
      <c r="BQ111" t="str">
        <f>IFERROR(VLOOKUP($B111, duel!$CD:$CE, 2, FALSE), 0)</f>
        <v>3</v>
      </c>
      <c r="BR111" t="str">
        <f>IFERROR(VLOOKUP($B111, blitz!$CD:$CE, 2, FALSE), 0)</f>
        <v>3</v>
      </c>
      <c r="BS111" t="b">
        <f t="shared" si="43"/>
        <v>1</v>
      </c>
      <c r="BT111">
        <f>IFERROR(VLOOKUP($B111, aegis!$CI:$CJ, 2, FALSE), 0)</f>
        <v>0</v>
      </c>
      <c r="BU111">
        <f>IFERROR(VLOOKUP($B111, duel!$CI:$CJ, 2, FALSE), 0)</f>
        <v>0</v>
      </c>
      <c r="BV111">
        <f>IFERROR(VLOOKUP($B111, blitz!$CI:$CJ, 2, FALSE), 0)</f>
        <v>0</v>
      </c>
      <c r="BW111" t="b">
        <f t="shared" si="44"/>
        <v>1</v>
      </c>
      <c r="BX111">
        <f>IFERROR(VLOOKUP($B111, aegis!$CN:$CO, 2, FALSE), 0)</f>
        <v>0</v>
      </c>
      <c r="BY111">
        <f>IFERROR(VLOOKUP($B111, duel!$CN:$CO, 2, FALSE), 0)</f>
        <v>0</v>
      </c>
      <c r="BZ111">
        <f>IFERROR(VLOOKUP($B111, blitz!$CN:$CO, 2, FALSE), 0)</f>
        <v>0</v>
      </c>
      <c r="CA111" t="b">
        <f t="shared" si="45"/>
        <v>1</v>
      </c>
      <c r="CB111">
        <f>IFERROR(VLOOKUP($B111, aegis!$CS:$CT, 2, FALSE), 0)</f>
        <v>0</v>
      </c>
      <c r="CC111">
        <f>IFERROR(VLOOKUP($B111, duel!$CS:$CT, 2, FALSE), 0)</f>
        <v>0</v>
      </c>
      <c r="CD111">
        <f>IFERROR(VLOOKUP($B111, blitz!$CS:$CT, 2, FALSE), 0)</f>
        <v>0</v>
      </c>
      <c r="CE111" t="b">
        <f t="shared" si="46"/>
        <v>1</v>
      </c>
      <c r="CF111" t="str">
        <f>IFERROR(VLOOKUP($B111, aegis!$CX:$CY, 2, FALSE), 0)</f>
        <v>1707</v>
      </c>
      <c r="CG111" t="str">
        <f>IFERROR(VLOOKUP($B111, duel!$CX:$CY, 2, FALSE), 0)</f>
        <v>1707</v>
      </c>
      <c r="CH111" t="str">
        <f>IFERROR(VLOOKUP($B111, blitz!$CX:$CY, 2, FALSE), 0)</f>
        <v>1705</v>
      </c>
      <c r="CI111" t="b">
        <f t="shared" si="47"/>
        <v>0</v>
      </c>
      <c r="CJ111" t="str">
        <f>IFERROR(VLOOKUP($B111, aegis!$DC:$DD, 2, FALSE), 0)</f>
        <v>1</v>
      </c>
      <c r="CK111" t="str">
        <f>IFERROR(VLOOKUP($B111, duel!$DC:$DD, 2, FALSE), 0)</f>
        <v>1</v>
      </c>
      <c r="CL111" t="str">
        <f>IFERROR(VLOOKUP($B111, blitz!$DC:$DD, 2, FALSE), 0)</f>
        <v>1</v>
      </c>
      <c r="CM111" t="b">
        <f t="shared" si="48"/>
        <v>1</v>
      </c>
      <c r="CN111" t="str">
        <f>IFERROR(VLOOKUP($B111, aegis!$DH:$DI, 2, FALSE), 0)</f>
        <v>1</v>
      </c>
      <c r="CO111" t="str">
        <f>IFERROR(VLOOKUP($B111, duel!$DH:$DI, 2, FALSE), 0)</f>
        <v>1</v>
      </c>
      <c r="CP111" s="13">
        <f>IFERROR(VLOOKUP($B111, blitz!$DH:$DI, 2, FALSE), 0)</f>
        <v>0</v>
      </c>
      <c r="CQ111" t="b">
        <f t="shared" si="49"/>
        <v>1</v>
      </c>
      <c r="CR111" t="str">
        <f>IFERROR(VLOOKUP($B111, aegis!$DM:$DN, 2, FALSE), 0)</f>
        <v>1</v>
      </c>
      <c r="CS111" t="str">
        <f>IFERROR(VLOOKUP($B111, duel!$DM:$DN, 2, FALSE), 0)</f>
        <v>1</v>
      </c>
      <c r="CT111" t="str">
        <f>IFERROR(VLOOKUP($B111, blitz!$DM:$DN, 2, FALSE), 0)</f>
        <v>1</v>
      </c>
      <c r="CU111" t="b">
        <f t="shared" si="50"/>
        <v>1</v>
      </c>
      <c r="CV111" t="str">
        <f>IFERROR(VLOOKUP($B111, aegis!$DR:$DS, 2, FALSE), 0)</f>
        <v>50</v>
      </c>
      <c r="CW111" t="str">
        <f>IFERROR(VLOOKUP($B111, duel!$DR:$DS, 2, FALSE), 0)</f>
        <v>50</v>
      </c>
      <c r="CX111" t="str">
        <f>IFERROR(VLOOKUP($B111, blitz!$DR:$DS, 2, FALSE), 0)</f>
        <v>50</v>
      </c>
      <c r="CY111" t="b">
        <f t="shared" si="51"/>
        <v>1</v>
      </c>
    </row>
    <row r="112" spans="1:103">
      <c r="B112" s="6" t="s">
        <v>208</v>
      </c>
      <c r="C112" s="5" t="b">
        <f t="shared" si="26"/>
        <v>0</v>
      </c>
      <c r="D112" t="str">
        <f>IFERROR(VLOOKUP($B112, aegis!$B:$C, 2, FALSE), 0)</f>
        <v>24</v>
      </c>
      <c r="E112" t="str">
        <f>IFERROR(VLOOKUP($B112, duel!$B:$C, 2, FALSE), 0)</f>
        <v>24</v>
      </c>
      <c r="F112" t="str">
        <f>IFERROR(VLOOKUP($B112, blitz!$B:$C, 2, FALSE), 0)</f>
        <v>24</v>
      </c>
      <c r="G112" t="b">
        <f t="shared" si="27"/>
        <v>1</v>
      </c>
      <c r="H112" t="str">
        <f>IFERROR(VLOOKUP($B112, aegis!$G:$H, 2, FALSE), 0)</f>
        <v>14</v>
      </c>
      <c r="I112" t="str">
        <f>IFERROR(VLOOKUP($B112, duel!$G:$H, 2, FALSE), 0)</f>
        <v>14</v>
      </c>
      <c r="J112" t="str">
        <f>IFERROR(VLOOKUP($B112, blitz!$G:$H, 2, FALSE), 0)</f>
        <v>14</v>
      </c>
      <c r="K112" t="b">
        <f t="shared" si="28"/>
        <v>1</v>
      </c>
      <c r="L112" t="str">
        <f>IFERROR(VLOOKUP($B112, aegis!$L:$M, 2, FALSE), 0)</f>
        <v>24</v>
      </c>
      <c r="M112" t="str">
        <f>IFERROR(VLOOKUP($B112, duel!$L:$M, 2, FALSE), 0)</f>
        <v>24</v>
      </c>
      <c r="N112" t="str">
        <f>IFERROR(VLOOKUP($B112, blitz!$L:$M, 2, FALSE), 0)</f>
        <v>24</v>
      </c>
      <c r="O112" t="b">
        <f t="shared" si="29"/>
        <v>1</v>
      </c>
      <c r="P112" t="str">
        <f>IFERROR(VLOOKUP($B112, aegis!$Q:$R, 2, FALSE), 0)</f>
        <v>14</v>
      </c>
      <c r="Q112" t="str">
        <f>IFERROR(VLOOKUP($B112, duel!$Q:$R, 2, FALSE), 0)</f>
        <v>14</v>
      </c>
      <c r="R112" t="str">
        <f>IFERROR(VLOOKUP($B112, blitz!$Q:$R, 2, FALSE), 0)</f>
        <v>14</v>
      </c>
      <c r="S112" t="b">
        <f t="shared" si="30"/>
        <v>1</v>
      </c>
      <c r="T112">
        <f>IFERROR(VLOOKUP($B112, aegis!$V:$W, 2, FALSE), 0)</f>
        <v>0</v>
      </c>
      <c r="U112">
        <f>IFERROR(VLOOKUP($B112, duel!$V:$W, 2, FALSE), 0)</f>
        <v>0</v>
      </c>
      <c r="V112">
        <f>IFERROR(VLOOKUP($B112, blitz!$V:$W, 2, FALSE), 0)</f>
        <v>0</v>
      </c>
      <c r="W112" t="b">
        <f t="shared" si="31"/>
        <v>1</v>
      </c>
      <c r="X112" t="str">
        <f>IFERROR(VLOOKUP($B112, aegis!$AA:$AB, 2, FALSE), 0)</f>
        <v>2</v>
      </c>
      <c r="Y112" t="str">
        <f>IFERROR(VLOOKUP($B112, duel!$AA:$AB, 2, FALSE), 0)</f>
        <v>2</v>
      </c>
      <c r="Z112" t="str">
        <f>IFERROR(VLOOKUP($B112, blitz!$AA:$AB, 2, FALSE), 0)</f>
        <v>2</v>
      </c>
      <c r="AA112" t="b">
        <f t="shared" si="32"/>
        <v>1</v>
      </c>
      <c r="AB112" t="str">
        <f>IFERROR(VLOOKUP($B112, aegis!$AF:$AG, 2, FALSE), 0)</f>
        <v>24</v>
      </c>
      <c r="AC112" t="str">
        <f>IFERROR(VLOOKUP($B112, duel!$AF:$AG, 2, FALSE), 0)</f>
        <v>24</v>
      </c>
      <c r="AD112" t="str">
        <f>IFERROR(VLOOKUP($B112, blitz!$AF:$AG, 2, FALSE), 0)</f>
        <v>24</v>
      </c>
      <c r="AE112" t="b">
        <f t="shared" si="33"/>
        <v>1</v>
      </c>
      <c r="AF112" t="str">
        <f>IFERROR(VLOOKUP($B112, aegis!$AK:$AL, 2, FALSE), 0)</f>
        <v>3</v>
      </c>
      <c r="AG112" t="str">
        <f>IFERROR(VLOOKUP($B112, duel!$AK:$AL, 2, FALSE), 0)</f>
        <v>1</v>
      </c>
      <c r="AH112" t="str">
        <f>IFERROR(VLOOKUP($B112, blitz!$AK:$AL, 2, FALSE), 0)</f>
        <v>1</v>
      </c>
      <c r="AI112" t="b">
        <f t="shared" si="34"/>
        <v>0</v>
      </c>
      <c r="AJ112" t="str">
        <f>IFERROR(VLOOKUP($B112, aegis!$AP:$AQ, 2, FALSE), 0)</f>
        <v>1</v>
      </c>
      <c r="AK112" t="str">
        <f>IFERROR(VLOOKUP($B112, duel!$AP:$AQ, 2, FALSE), 0)</f>
        <v>1</v>
      </c>
      <c r="AL112" t="str">
        <f>IFERROR(VLOOKUP($B112, blitz!$AP:$AQ, 2, FALSE), 0)</f>
        <v>1</v>
      </c>
      <c r="AM112" t="b">
        <f t="shared" si="35"/>
        <v>1</v>
      </c>
      <c r="AN112">
        <f>IFERROR(VLOOKUP($B112, aegis!$AU:$AV, 2, FALSE), 0)</f>
        <v>0</v>
      </c>
      <c r="AO112">
        <f>IFERROR(VLOOKUP($B112, duel!$AU:$AV, 2, FALSE), 0)</f>
        <v>0</v>
      </c>
      <c r="AP112">
        <f>IFERROR(VLOOKUP($B112, blitz!$AU:$AV, 2, FALSE), 0)</f>
        <v>0</v>
      </c>
      <c r="AQ112" t="b">
        <f t="shared" si="36"/>
        <v>1</v>
      </c>
      <c r="AR112" t="str">
        <f>IFERROR(VLOOKUP($B112, aegis!$AZ:$BA, 2, FALSE), 0)</f>
        <v>2</v>
      </c>
      <c r="AS112" t="str">
        <f>IFERROR(VLOOKUP($B112, duel!$AZ:$BA, 2, FALSE), 0)</f>
        <v>2</v>
      </c>
      <c r="AT112" t="str">
        <f>IFERROR(VLOOKUP($B112, blitz!$AZ:$BA, 2, FALSE), 0)</f>
        <v>2</v>
      </c>
      <c r="AU112" t="b">
        <f t="shared" si="37"/>
        <v>1</v>
      </c>
      <c r="AV112" t="str">
        <f>IFERROR(VLOOKUP($B112, aegis!$BE:$BF, 2, FALSE), 0)</f>
        <v>1</v>
      </c>
      <c r="AW112" t="str">
        <f>IFERROR(VLOOKUP($B112, duel!$BE:$BF, 2, FALSE), 0)</f>
        <v>1</v>
      </c>
      <c r="AX112" t="str">
        <f>IFERROR(VLOOKUP($B112, blitz!$BE:$BF, 2, FALSE), 0)</f>
        <v>1</v>
      </c>
      <c r="AY112" t="b">
        <f t="shared" si="38"/>
        <v>1</v>
      </c>
      <c r="AZ112" t="str">
        <f>IFERROR(VLOOKUP($B112, aegis!$BJ:$BK, 2, FALSE), 0)</f>
        <v>1</v>
      </c>
      <c r="BA112" t="str">
        <f>IFERROR(VLOOKUP($B112, duel!$BJ:$BK, 2, FALSE), 0)</f>
        <v>1</v>
      </c>
      <c r="BB112" t="str">
        <f>IFERROR(VLOOKUP($B112, blitz!$BJ:$BK, 2, FALSE), 0)</f>
        <v>1</v>
      </c>
      <c r="BC112" t="b">
        <f t="shared" si="39"/>
        <v>1</v>
      </c>
      <c r="BD112">
        <f>IFERROR(VLOOKUP($B112, aegis!$BO:$BP, 2, FALSE), 0)</f>
        <v>0</v>
      </c>
      <c r="BE112">
        <f>IFERROR(VLOOKUP($B112, duel!$BO:$BP, 2, FALSE), 0)</f>
        <v>0</v>
      </c>
      <c r="BF112">
        <f>IFERROR(VLOOKUP($B112, blitz!$BO:$BP, 2, FALSE), 0)</f>
        <v>0</v>
      </c>
      <c r="BG112" t="b">
        <f t="shared" si="40"/>
        <v>1</v>
      </c>
      <c r="BH112" t="str">
        <f>IFERROR(VLOOKUP($B112, aegis!$BT:$BU, 2, FALSE), 0)</f>
        <v>7</v>
      </c>
      <c r="BI112" t="str">
        <f>IFERROR(VLOOKUP($B112, duel!$BT:$BU, 2, FALSE), 0)</f>
        <v>7</v>
      </c>
      <c r="BJ112" t="str">
        <f>IFERROR(VLOOKUP($B112, blitz!$BT:$BU, 2, FALSE), 0)</f>
        <v>7</v>
      </c>
      <c r="BK112" t="b">
        <f t="shared" si="41"/>
        <v>1</v>
      </c>
      <c r="BL112" t="str">
        <f>IFERROR(VLOOKUP($B112, aegis!$BY:$BZ, 2, FALSE), 0)</f>
        <v>1</v>
      </c>
      <c r="BM112" t="str">
        <f>IFERROR(VLOOKUP($B112, duel!$BY:$BZ, 2, FALSE), 0)</f>
        <v>1</v>
      </c>
      <c r="BN112" t="str">
        <f>IFERROR(VLOOKUP($B112, blitz!$BY:$BZ, 2, FALSE), 0)</f>
        <v>1</v>
      </c>
      <c r="BO112" t="b">
        <f t="shared" si="42"/>
        <v>1</v>
      </c>
      <c r="BP112" t="str">
        <f>IFERROR(VLOOKUP($B112, aegis!$CD:$CE, 2, FALSE), 0)</f>
        <v>6</v>
      </c>
      <c r="BQ112" t="str">
        <f>IFERROR(VLOOKUP($B112, duel!$CD:$CE, 2, FALSE), 0)</f>
        <v>6</v>
      </c>
      <c r="BR112" t="str">
        <f>IFERROR(VLOOKUP($B112, blitz!$CD:$CE, 2, FALSE), 0)</f>
        <v>6</v>
      </c>
      <c r="BS112" t="b">
        <f t="shared" si="43"/>
        <v>1</v>
      </c>
      <c r="BT112">
        <f>IFERROR(VLOOKUP($B112, aegis!$CI:$CJ, 2, FALSE), 0)</f>
        <v>0</v>
      </c>
      <c r="BU112">
        <f>IFERROR(VLOOKUP($B112, duel!$CI:$CJ, 2, FALSE), 0)</f>
        <v>0</v>
      </c>
      <c r="BV112">
        <f>IFERROR(VLOOKUP($B112, blitz!$CI:$CJ, 2, FALSE), 0)</f>
        <v>0</v>
      </c>
      <c r="BW112" t="b">
        <f t="shared" si="44"/>
        <v>1</v>
      </c>
      <c r="BX112">
        <f>IFERROR(VLOOKUP($B112, aegis!$CN:$CO, 2, FALSE), 0)</f>
        <v>0</v>
      </c>
      <c r="BY112">
        <f>IFERROR(VLOOKUP($B112, duel!$CN:$CO, 2, FALSE), 0)</f>
        <v>0</v>
      </c>
      <c r="BZ112">
        <f>IFERROR(VLOOKUP($B112, blitz!$CN:$CO, 2, FALSE), 0)</f>
        <v>0</v>
      </c>
      <c r="CA112" t="b">
        <f t="shared" si="45"/>
        <v>1</v>
      </c>
      <c r="CB112">
        <f>IFERROR(VLOOKUP($B112, aegis!$CS:$CT, 2, FALSE), 0)</f>
        <v>0</v>
      </c>
      <c r="CC112">
        <f>IFERROR(VLOOKUP($B112, duel!$CS:$CT, 2, FALSE), 0)</f>
        <v>0</v>
      </c>
      <c r="CD112">
        <f>IFERROR(VLOOKUP($B112, blitz!$CS:$CT, 2, FALSE), 0)</f>
        <v>0</v>
      </c>
      <c r="CE112" t="b">
        <f t="shared" si="46"/>
        <v>1</v>
      </c>
      <c r="CF112" t="str">
        <f>IFERROR(VLOOKUP($B112, aegis!$CX:$CY, 2, FALSE), 0)</f>
        <v>771</v>
      </c>
      <c r="CG112" t="str">
        <f>IFERROR(VLOOKUP($B112, duel!$CX:$CY, 2, FALSE), 0)</f>
        <v>771</v>
      </c>
      <c r="CH112" t="str">
        <f>IFERROR(VLOOKUP($B112, blitz!$CX:$CY, 2, FALSE), 0)</f>
        <v>771</v>
      </c>
      <c r="CI112" t="b">
        <f t="shared" si="47"/>
        <v>1</v>
      </c>
      <c r="CJ112" t="str">
        <f>IFERROR(VLOOKUP($B112, aegis!$DC:$DD, 2, FALSE), 0)</f>
        <v>1</v>
      </c>
      <c r="CK112" t="str">
        <f>IFERROR(VLOOKUP($B112, duel!$DC:$DD, 2, FALSE), 0)</f>
        <v>1</v>
      </c>
      <c r="CL112" t="str">
        <f>IFERROR(VLOOKUP($B112, blitz!$DC:$DD, 2, FALSE), 0)</f>
        <v>1</v>
      </c>
      <c r="CM112" t="b">
        <f t="shared" si="48"/>
        <v>1</v>
      </c>
      <c r="CN112" t="str">
        <f>IFERROR(VLOOKUP($B112, aegis!$DH:$DI, 2, FALSE), 0)</f>
        <v>1</v>
      </c>
      <c r="CO112" t="str">
        <f>IFERROR(VLOOKUP($B112, duel!$DH:$DI, 2, FALSE), 0)</f>
        <v>1</v>
      </c>
      <c r="CP112" s="13">
        <f>IFERROR(VLOOKUP($B112, blitz!$DH:$DI, 2, FALSE), 0)</f>
        <v>0</v>
      </c>
      <c r="CQ112" t="b">
        <f t="shared" si="49"/>
        <v>1</v>
      </c>
      <c r="CR112" t="str">
        <f>IFERROR(VLOOKUP($B112, aegis!$DM:$DN, 2, FALSE), 0)</f>
        <v>1</v>
      </c>
      <c r="CS112" t="str">
        <f>IFERROR(VLOOKUP($B112, duel!$DM:$DN, 2, FALSE), 0)</f>
        <v>1</v>
      </c>
      <c r="CT112" t="str">
        <f>IFERROR(VLOOKUP($B112, blitz!$DM:$DN, 2, FALSE), 0)</f>
        <v>1</v>
      </c>
      <c r="CU112" t="b">
        <f t="shared" si="50"/>
        <v>1</v>
      </c>
      <c r="CV112" t="str">
        <f>IFERROR(VLOOKUP($B112, aegis!$DR:$DS, 2, FALSE), 0)</f>
        <v>24</v>
      </c>
      <c r="CW112" t="str">
        <f>IFERROR(VLOOKUP($B112, duel!$DR:$DS, 2, FALSE), 0)</f>
        <v>24</v>
      </c>
      <c r="CX112" t="str">
        <f>IFERROR(VLOOKUP($B112, blitz!$DR:$DS, 2, FALSE), 0)</f>
        <v>24</v>
      </c>
      <c r="CY112" t="b">
        <f t="shared" si="51"/>
        <v>1</v>
      </c>
    </row>
    <row r="113" spans="1:103">
      <c r="B113" s="6" t="s">
        <v>210</v>
      </c>
      <c r="C113" s="5" t="b">
        <f t="shared" si="26"/>
        <v>0</v>
      </c>
      <c r="D113" t="str">
        <f>IFERROR(VLOOKUP($B113, aegis!$B:$C, 2, FALSE), 0)</f>
        <v>24</v>
      </c>
      <c r="E113" t="str">
        <f>IFERROR(VLOOKUP($B113, duel!$B:$C, 2, FALSE), 0)</f>
        <v>24</v>
      </c>
      <c r="F113" t="str">
        <f>IFERROR(VLOOKUP($B113, blitz!$B:$C, 2, FALSE), 0)</f>
        <v>24</v>
      </c>
      <c r="G113" t="b">
        <f t="shared" si="27"/>
        <v>1</v>
      </c>
      <c r="H113" t="str">
        <f>IFERROR(VLOOKUP($B113, aegis!$G:$H, 2, FALSE), 0)</f>
        <v>14</v>
      </c>
      <c r="I113" t="str">
        <f>IFERROR(VLOOKUP($B113, duel!$G:$H, 2, FALSE), 0)</f>
        <v>14</v>
      </c>
      <c r="J113" t="str">
        <f>IFERROR(VLOOKUP($B113, blitz!$G:$H, 2, FALSE), 0)</f>
        <v>14</v>
      </c>
      <c r="K113" t="b">
        <f t="shared" si="28"/>
        <v>1</v>
      </c>
      <c r="L113" t="str">
        <f>IFERROR(VLOOKUP($B113, aegis!$L:$M, 2, FALSE), 0)</f>
        <v>24</v>
      </c>
      <c r="M113" t="str">
        <f>IFERROR(VLOOKUP($B113, duel!$L:$M, 2, FALSE), 0)</f>
        <v>24</v>
      </c>
      <c r="N113" t="str">
        <f>IFERROR(VLOOKUP($B113, blitz!$L:$M, 2, FALSE), 0)</f>
        <v>24</v>
      </c>
      <c r="O113" t="b">
        <f t="shared" si="29"/>
        <v>1</v>
      </c>
      <c r="P113" t="str">
        <f>IFERROR(VLOOKUP($B113, aegis!$Q:$R, 2, FALSE), 0)</f>
        <v>14</v>
      </c>
      <c r="Q113" t="str">
        <f>IFERROR(VLOOKUP($B113, duel!$Q:$R, 2, FALSE), 0)</f>
        <v>14</v>
      </c>
      <c r="R113" t="str">
        <f>IFERROR(VLOOKUP($B113, blitz!$Q:$R, 2, FALSE), 0)</f>
        <v>14</v>
      </c>
      <c r="S113" t="b">
        <f t="shared" si="30"/>
        <v>1</v>
      </c>
      <c r="T113">
        <f>IFERROR(VLOOKUP($B113, aegis!$V:$W, 2, FALSE), 0)</f>
        <v>0</v>
      </c>
      <c r="U113">
        <f>IFERROR(VLOOKUP($B113, duel!$V:$W, 2, FALSE), 0)</f>
        <v>0</v>
      </c>
      <c r="V113">
        <f>IFERROR(VLOOKUP($B113, blitz!$V:$W, 2, FALSE), 0)</f>
        <v>0</v>
      </c>
      <c r="W113" t="b">
        <f t="shared" si="31"/>
        <v>1</v>
      </c>
      <c r="X113" t="str">
        <f>IFERROR(VLOOKUP($B113, aegis!$AA:$AB, 2, FALSE), 0)</f>
        <v>2</v>
      </c>
      <c r="Y113" t="str">
        <f>IFERROR(VLOOKUP($B113, duel!$AA:$AB, 2, FALSE), 0)</f>
        <v>2</v>
      </c>
      <c r="Z113" t="str">
        <f>IFERROR(VLOOKUP($B113, blitz!$AA:$AB, 2, FALSE), 0)</f>
        <v>2</v>
      </c>
      <c r="AA113" t="b">
        <f t="shared" si="32"/>
        <v>1</v>
      </c>
      <c r="AB113" t="str">
        <f>IFERROR(VLOOKUP($B113, aegis!$AF:$AG, 2, FALSE), 0)</f>
        <v>45</v>
      </c>
      <c r="AC113" t="str">
        <f>IFERROR(VLOOKUP($B113, duel!$AF:$AG, 2, FALSE), 0)</f>
        <v>45</v>
      </c>
      <c r="AD113" t="str">
        <f>IFERROR(VLOOKUP($B113, blitz!$AF:$AG, 2, FALSE), 0)</f>
        <v>45</v>
      </c>
      <c r="AE113" t="b">
        <f t="shared" si="33"/>
        <v>1</v>
      </c>
      <c r="AF113" t="str">
        <f>IFERROR(VLOOKUP($B113, aegis!$AK:$AL, 2, FALSE), 0)</f>
        <v>3</v>
      </c>
      <c r="AG113" t="str">
        <f>IFERROR(VLOOKUP($B113, duel!$AK:$AL, 2, FALSE), 0)</f>
        <v>1</v>
      </c>
      <c r="AH113" t="str">
        <f>IFERROR(VLOOKUP($B113, blitz!$AK:$AL, 2, FALSE), 0)</f>
        <v>1</v>
      </c>
      <c r="AI113" t="b">
        <f t="shared" si="34"/>
        <v>0</v>
      </c>
      <c r="AJ113" t="str">
        <f>IFERROR(VLOOKUP($B113, aegis!$AP:$AQ, 2, FALSE), 0)</f>
        <v>1</v>
      </c>
      <c r="AK113" t="str">
        <f>IFERROR(VLOOKUP($B113, duel!$AP:$AQ, 2, FALSE), 0)</f>
        <v>1</v>
      </c>
      <c r="AL113" t="str">
        <f>IFERROR(VLOOKUP($B113, blitz!$AP:$AQ, 2, FALSE), 0)</f>
        <v>1</v>
      </c>
      <c r="AM113" t="b">
        <f t="shared" si="35"/>
        <v>1</v>
      </c>
      <c r="AN113">
        <f>IFERROR(VLOOKUP($B113, aegis!$AU:$AV, 2, FALSE), 0)</f>
        <v>0</v>
      </c>
      <c r="AO113">
        <f>IFERROR(VLOOKUP($B113, duel!$AU:$AV, 2, FALSE), 0)</f>
        <v>0</v>
      </c>
      <c r="AP113">
        <f>IFERROR(VLOOKUP($B113, blitz!$AU:$AV, 2, FALSE), 0)</f>
        <v>0</v>
      </c>
      <c r="AQ113" t="b">
        <f t="shared" si="36"/>
        <v>1</v>
      </c>
      <c r="AR113" t="str">
        <f>IFERROR(VLOOKUP($B113, aegis!$AZ:$BA, 2, FALSE), 0)</f>
        <v>2</v>
      </c>
      <c r="AS113" t="str">
        <f>IFERROR(VLOOKUP($B113, duel!$AZ:$BA, 2, FALSE), 0)</f>
        <v>2</v>
      </c>
      <c r="AT113" t="str">
        <f>IFERROR(VLOOKUP($B113, blitz!$AZ:$BA, 2, FALSE), 0)</f>
        <v>2</v>
      </c>
      <c r="AU113" t="b">
        <f t="shared" si="37"/>
        <v>1</v>
      </c>
      <c r="AV113" t="str">
        <f>IFERROR(VLOOKUP($B113, aegis!$BE:$BF, 2, FALSE), 0)</f>
        <v>1</v>
      </c>
      <c r="AW113" t="str">
        <f>IFERROR(VLOOKUP($B113, duel!$BE:$BF, 2, FALSE), 0)</f>
        <v>1</v>
      </c>
      <c r="AX113" t="str">
        <f>IFERROR(VLOOKUP($B113, blitz!$BE:$BF, 2, FALSE), 0)</f>
        <v>1</v>
      </c>
      <c r="AY113" t="b">
        <f t="shared" si="38"/>
        <v>1</v>
      </c>
      <c r="AZ113" t="str">
        <f>IFERROR(VLOOKUP($B113, aegis!$BJ:$BK, 2, FALSE), 0)</f>
        <v>1</v>
      </c>
      <c r="BA113" t="str">
        <f>IFERROR(VLOOKUP($B113, duel!$BJ:$BK, 2, FALSE), 0)</f>
        <v>1</v>
      </c>
      <c r="BB113" t="str">
        <f>IFERROR(VLOOKUP($B113, blitz!$BJ:$BK, 2, FALSE), 0)</f>
        <v>1</v>
      </c>
      <c r="BC113" t="b">
        <f t="shared" si="39"/>
        <v>1</v>
      </c>
      <c r="BD113">
        <f>IFERROR(VLOOKUP($B113, aegis!$BO:$BP, 2, FALSE), 0)</f>
        <v>0</v>
      </c>
      <c r="BE113">
        <f>IFERROR(VLOOKUP($B113, duel!$BO:$BP, 2, FALSE), 0)</f>
        <v>0</v>
      </c>
      <c r="BF113">
        <f>IFERROR(VLOOKUP($B113, blitz!$BO:$BP, 2, FALSE), 0)</f>
        <v>0</v>
      </c>
      <c r="BG113" t="b">
        <f t="shared" si="40"/>
        <v>1</v>
      </c>
      <c r="BH113" t="str">
        <f>IFERROR(VLOOKUP($B113, aegis!$BT:$BU, 2, FALSE), 0)</f>
        <v>25</v>
      </c>
      <c r="BI113" t="str">
        <f>IFERROR(VLOOKUP($B113, duel!$BT:$BU, 2, FALSE), 0)</f>
        <v>25</v>
      </c>
      <c r="BJ113" t="str">
        <f>IFERROR(VLOOKUP($B113, blitz!$BT:$BU, 2, FALSE), 0)</f>
        <v>25</v>
      </c>
      <c r="BK113" t="b">
        <f t="shared" si="41"/>
        <v>1</v>
      </c>
      <c r="BL113" t="str">
        <f>IFERROR(VLOOKUP($B113, aegis!$BY:$BZ, 2, FALSE), 0)</f>
        <v>1</v>
      </c>
      <c r="BM113" t="str">
        <f>IFERROR(VLOOKUP($B113, duel!$BY:$BZ, 2, FALSE), 0)</f>
        <v>1</v>
      </c>
      <c r="BN113" t="str">
        <f>IFERROR(VLOOKUP($B113, blitz!$BY:$BZ, 2, FALSE), 0)</f>
        <v>1</v>
      </c>
      <c r="BO113" t="b">
        <f t="shared" si="42"/>
        <v>1</v>
      </c>
      <c r="BP113" t="str">
        <f>IFERROR(VLOOKUP($B113, aegis!$CD:$CE, 2, FALSE), 0)</f>
        <v>4</v>
      </c>
      <c r="BQ113" t="str">
        <f>IFERROR(VLOOKUP($B113, duel!$CD:$CE, 2, FALSE), 0)</f>
        <v>4</v>
      </c>
      <c r="BR113" t="str">
        <f>IFERROR(VLOOKUP($B113, blitz!$CD:$CE, 2, FALSE), 0)</f>
        <v>4</v>
      </c>
      <c r="BS113" t="b">
        <f t="shared" si="43"/>
        <v>1</v>
      </c>
      <c r="BT113">
        <f>IFERROR(VLOOKUP($B113, aegis!$CI:$CJ, 2, FALSE), 0)</f>
        <v>0</v>
      </c>
      <c r="BU113">
        <f>IFERROR(VLOOKUP($B113, duel!$CI:$CJ, 2, FALSE), 0)</f>
        <v>0</v>
      </c>
      <c r="BV113">
        <f>IFERROR(VLOOKUP($B113, blitz!$CI:$CJ, 2, FALSE), 0)</f>
        <v>0</v>
      </c>
      <c r="BW113" t="b">
        <f t="shared" si="44"/>
        <v>1</v>
      </c>
      <c r="BX113">
        <f>IFERROR(VLOOKUP($B113, aegis!$CN:$CO, 2, FALSE), 0)</f>
        <v>0</v>
      </c>
      <c r="BY113">
        <f>IFERROR(VLOOKUP($B113, duel!$CN:$CO, 2, FALSE), 0)</f>
        <v>0</v>
      </c>
      <c r="BZ113">
        <f>IFERROR(VLOOKUP($B113, blitz!$CN:$CO, 2, FALSE), 0)</f>
        <v>0</v>
      </c>
      <c r="CA113" t="b">
        <f t="shared" si="45"/>
        <v>1</v>
      </c>
      <c r="CB113">
        <f>IFERROR(VLOOKUP($B113, aegis!$CS:$CT, 2, FALSE), 0)</f>
        <v>0</v>
      </c>
      <c r="CC113">
        <f>IFERROR(VLOOKUP($B113, duel!$CS:$CT, 2, FALSE), 0)</f>
        <v>0</v>
      </c>
      <c r="CD113">
        <f>IFERROR(VLOOKUP($B113, blitz!$CS:$CT, 2, FALSE), 0)</f>
        <v>0</v>
      </c>
      <c r="CE113" t="b">
        <f t="shared" si="46"/>
        <v>1</v>
      </c>
      <c r="CF113" t="str">
        <f>IFERROR(VLOOKUP($B113, aegis!$CX:$CY, 2, FALSE), 0)</f>
        <v>4361</v>
      </c>
      <c r="CG113" t="str">
        <f>IFERROR(VLOOKUP($B113, duel!$CX:$CY, 2, FALSE), 0)</f>
        <v>4361</v>
      </c>
      <c r="CH113" t="str">
        <f>IFERROR(VLOOKUP($B113, blitz!$CX:$CY, 2, FALSE), 0)</f>
        <v>4361</v>
      </c>
      <c r="CI113" t="b">
        <f t="shared" si="47"/>
        <v>1</v>
      </c>
      <c r="CJ113" t="str">
        <f>IFERROR(VLOOKUP($B113, aegis!$DC:$DD, 2, FALSE), 0)</f>
        <v>1</v>
      </c>
      <c r="CK113" t="str">
        <f>IFERROR(VLOOKUP($B113, duel!$DC:$DD, 2, FALSE), 0)</f>
        <v>1</v>
      </c>
      <c r="CL113" t="str">
        <f>IFERROR(VLOOKUP($B113, blitz!$DC:$DD, 2, FALSE), 0)</f>
        <v>1</v>
      </c>
      <c r="CM113" t="b">
        <f t="shared" si="48"/>
        <v>1</v>
      </c>
      <c r="CN113" t="str">
        <f>IFERROR(VLOOKUP($B113, aegis!$DH:$DI, 2, FALSE), 0)</f>
        <v>1</v>
      </c>
      <c r="CO113" t="str">
        <f>IFERROR(VLOOKUP($B113, duel!$DH:$DI, 2, FALSE), 0)</f>
        <v>1</v>
      </c>
      <c r="CP113" s="13">
        <f>IFERROR(VLOOKUP($B113, blitz!$DH:$DI, 2, FALSE), 0)</f>
        <v>0</v>
      </c>
      <c r="CQ113" t="b">
        <f t="shared" si="49"/>
        <v>1</v>
      </c>
      <c r="CR113" t="str">
        <f>IFERROR(VLOOKUP($B113, aegis!$DM:$DN, 2, FALSE), 0)</f>
        <v>1</v>
      </c>
      <c r="CS113" t="str">
        <f>IFERROR(VLOOKUP($B113, duel!$DM:$DN, 2, FALSE), 0)</f>
        <v>1</v>
      </c>
      <c r="CT113" t="str">
        <f>IFERROR(VLOOKUP($B113, blitz!$DM:$DN, 2, FALSE), 0)</f>
        <v>1</v>
      </c>
      <c r="CU113" t="b">
        <f t="shared" si="50"/>
        <v>1</v>
      </c>
      <c r="CV113" t="str">
        <f>IFERROR(VLOOKUP($B113, aegis!$DR:$DS, 2, FALSE), 0)</f>
        <v>45</v>
      </c>
      <c r="CW113" t="str">
        <f>IFERROR(VLOOKUP($B113, duel!$DR:$DS, 2, FALSE), 0)</f>
        <v>45</v>
      </c>
      <c r="CX113" t="str">
        <f>IFERROR(VLOOKUP($B113, blitz!$DR:$DS, 2, FALSE), 0)</f>
        <v>45</v>
      </c>
      <c r="CY113" t="b">
        <f t="shared" si="51"/>
        <v>1</v>
      </c>
    </row>
    <row r="114" spans="1:103">
      <c r="A114" t="s">
        <v>1733</v>
      </c>
      <c r="B114" s="6" t="s">
        <v>212</v>
      </c>
      <c r="C114" s="5" t="b">
        <f t="shared" si="26"/>
        <v>0</v>
      </c>
      <c r="D114" t="str">
        <f>IFERROR(VLOOKUP($B114, aegis!$B:$C, 2, FALSE), 0)</f>
        <v>24</v>
      </c>
      <c r="E114" t="str">
        <f>IFERROR(VLOOKUP($B114, duel!$B:$C, 2, FALSE), 0)</f>
        <v>24</v>
      </c>
      <c r="F114" t="str">
        <f>IFERROR(VLOOKUP($B114, blitz!$B:$C, 2, FALSE), 0)</f>
        <v>24</v>
      </c>
      <c r="G114" t="b">
        <f t="shared" si="27"/>
        <v>1</v>
      </c>
      <c r="H114" t="str">
        <f>IFERROR(VLOOKUP($B114, aegis!$G:$H, 2, FALSE), 0)</f>
        <v>14</v>
      </c>
      <c r="I114" t="str">
        <f>IFERROR(VLOOKUP($B114, duel!$G:$H, 2, FALSE), 0)</f>
        <v>14</v>
      </c>
      <c r="J114" t="str">
        <f>IFERROR(VLOOKUP($B114, blitz!$G:$H, 2, FALSE), 0)</f>
        <v>14</v>
      </c>
      <c r="K114" t="b">
        <f t="shared" si="28"/>
        <v>1</v>
      </c>
      <c r="L114" t="str">
        <f>IFERROR(VLOOKUP($B114, aegis!$L:$M, 2, FALSE), 0)</f>
        <v>24</v>
      </c>
      <c r="M114" t="str">
        <f>IFERROR(VLOOKUP($B114, duel!$L:$M, 2, FALSE), 0)</f>
        <v>24</v>
      </c>
      <c r="N114" t="str">
        <f>IFERROR(VLOOKUP($B114, blitz!$L:$M, 2, FALSE), 0)</f>
        <v>24</v>
      </c>
      <c r="O114" t="b">
        <f t="shared" si="29"/>
        <v>1</v>
      </c>
      <c r="P114" t="str">
        <f>IFERROR(VLOOKUP($B114, aegis!$Q:$R, 2, FALSE), 0)</f>
        <v>14</v>
      </c>
      <c r="Q114" t="str">
        <f>IFERROR(VLOOKUP($B114, duel!$Q:$R, 2, FALSE), 0)</f>
        <v>14</v>
      </c>
      <c r="R114" t="str">
        <f>IFERROR(VLOOKUP($B114, blitz!$Q:$R, 2, FALSE), 0)</f>
        <v>14</v>
      </c>
      <c r="S114" t="b">
        <f t="shared" si="30"/>
        <v>1</v>
      </c>
      <c r="T114">
        <f>IFERROR(VLOOKUP($B114, aegis!$V:$W, 2, FALSE), 0)</f>
        <v>0</v>
      </c>
      <c r="U114">
        <f>IFERROR(VLOOKUP($B114, duel!$V:$W, 2, FALSE), 0)</f>
        <v>0</v>
      </c>
      <c r="V114">
        <f>IFERROR(VLOOKUP($B114, blitz!$V:$W, 2, FALSE), 0)</f>
        <v>0</v>
      </c>
      <c r="W114" t="b">
        <f t="shared" si="31"/>
        <v>1</v>
      </c>
      <c r="X114" t="str">
        <f>IFERROR(VLOOKUP($B114, aegis!$AA:$AB, 2, FALSE), 0)</f>
        <v>2</v>
      </c>
      <c r="Y114" t="str">
        <f>IFERROR(VLOOKUP($B114, duel!$AA:$AB, 2, FALSE), 0)</f>
        <v>2</v>
      </c>
      <c r="Z114" t="str">
        <f>IFERROR(VLOOKUP($B114, blitz!$AA:$AB, 2, FALSE), 0)</f>
        <v>2</v>
      </c>
      <c r="AA114" t="b">
        <f t="shared" si="32"/>
        <v>1</v>
      </c>
      <c r="AB114" t="str">
        <f>IFERROR(VLOOKUP($B114, aegis!$AF:$AG, 2, FALSE), 0)</f>
        <v>113</v>
      </c>
      <c r="AC114" t="str">
        <f>IFERROR(VLOOKUP($B114, duel!$AF:$AG, 2, FALSE), 0)</f>
        <v>113</v>
      </c>
      <c r="AD114" t="str">
        <f>IFERROR(VLOOKUP($B114, blitz!$AF:$AG, 2, FALSE), 0)</f>
        <v>113</v>
      </c>
      <c r="AE114" t="b">
        <f t="shared" si="33"/>
        <v>1</v>
      </c>
      <c r="AF114" t="str">
        <f>IFERROR(VLOOKUP($B114, aegis!$AK:$AL, 2, FALSE), 0)</f>
        <v>3</v>
      </c>
      <c r="AG114" t="str">
        <f>IFERROR(VLOOKUP($B114, duel!$AK:$AL, 2, FALSE), 0)</f>
        <v>1</v>
      </c>
      <c r="AH114" t="str">
        <f>IFERROR(VLOOKUP($B114, blitz!$AK:$AL, 2, FALSE), 0)</f>
        <v>1</v>
      </c>
      <c r="AI114" t="b">
        <f t="shared" si="34"/>
        <v>0</v>
      </c>
      <c r="AJ114" t="str">
        <f>IFERROR(VLOOKUP($B114, aegis!$AP:$AQ, 2, FALSE), 0)</f>
        <v>1</v>
      </c>
      <c r="AK114" t="str">
        <f>IFERROR(VLOOKUP($B114, duel!$AP:$AQ, 2, FALSE), 0)</f>
        <v>1</v>
      </c>
      <c r="AL114" t="str">
        <f>IFERROR(VLOOKUP($B114, blitz!$AP:$AQ, 2, FALSE), 0)</f>
        <v>1</v>
      </c>
      <c r="AM114" t="b">
        <f t="shared" si="35"/>
        <v>1</v>
      </c>
      <c r="AN114">
        <f>IFERROR(VLOOKUP($B114, aegis!$AU:$AV, 2, FALSE), 0)</f>
        <v>0</v>
      </c>
      <c r="AO114">
        <f>IFERROR(VLOOKUP($B114, duel!$AU:$AV, 2, FALSE), 0)</f>
        <v>0</v>
      </c>
      <c r="AP114">
        <f>IFERROR(VLOOKUP($B114, blitz!$AU:$AV, 2, FALSE), 0)</f>
        <v>0</v>
      </c>
      <c r="AQ114" t="b">
        <f t="shared" si="36"/>
        <v>1</v>
      </c>
      <c r="AR114" t="str">
        <f>IFERROR(VLOOKUP($B114, aegis!$AZ:$BA, 2, FALSE), 0)</f>
        <v>2</v>
      </c>
      <c r="AS114" t="str">
        <f>IFERROR(VLOOKUP($B114, duel!$AZ:$BA, 2, FALSE), 0)</f>
        <v>2</v>
      </c>
      <c r="AT114" t="str">
        <f>IFERROR(VLOOKUP($B114, blitz!$AZ:$BA, 2, FALSE), 0)</f>
        <v>2</v>
      </c>
      <c r="AU114" t="b">
        <f t="shared" si="37"/>
        <v>1</v>
      </c>
      <c r="AV114" t="str">
        <f>IFERROR(VLOOKUP($B114, aegis!$BE:$BF, 2, FALSE), 0)</f>
        <v>1</v>
      </c>
      <c r="AW114" t="str">
        <f>IFERROR(VLOOKUP($B114, duel!$BE:$BF, 2, FALSE), 0)</f>
        <v>1</v>
      </c>
      <c r="AX114" t="str">
        <f>IFERROR(VLOOKUP($B114, blitz!$BE:$BF, 2, FALSE), 0)</f>
        <v>1</v>
      </c>
      <c r="AY114" t="b">
        <f t="shared" si="38"/>
        <v>1</v>
      </c>
      <c r="AZ114" t="str">
        <f>IFERROR(VLOOKUP($B114, aegis!$BJ:$BK, 2, FALSE), 0)</f>
        <v>1</v>
      </c>
      <c r="BA114" t="str">
        <f>IFERROR(VLOOKUP($B114, duel!$BJ:$BK, 2, FALSE), 0)</f>
        <v>1</v>
      </c>
      <c r="BB114" t="str">
        <f>IFERROR(VLOOKUP($B114, blitz!$BJ:$BK, 2, FALSE), 0)</f>
        <v>1</v>
      </c>
      <c r="BC114" t="b">
        <f t="shared" si="39"/>
        <v>1</v>
      </c>
      <c r="BD114">
        <f>IFERROR(VLOOKUP($B114, aegis!$BO:$BP, 2, FALSE), 0)</f>
        <v>0</v>
      </c>
      <c r="BE114">
        <f>IFERROR(VLOOKUP($B114, duel!$BO:$BP, 2, FALSE), 0)</f>
        <v>0</v>
      </c>
      <c r="BF114">
        <f>IFERROR(VLOOKUP($B114, blitz!$BO:$BP, 2, FALSE), 0)</f>
        <v>0</v>
      </c>
      <c r="BG114" t="b">
        <f t="shared" si="40"/>
        <v>1</v>
      </c>
      <c r="BH114" t="str">
        <f>IFERROR(VLOOKUP($B114, aegis!$BT:$BU, 2, FALSE), 0)</f>
        <v>57</v>
      </c>
      <c r="BI114" t="str">
        <f>IFERROR(VLOOKUP($B114, duel!$BT:$BU, 2, FALSE), 0)</f>
        <v>57</v>
      </c>
      <c r="BJ114" t="str">
        <f>IFERROR(VLOOKUP($B114, blitz!$BT:$BU, 2, FALSE), 0)</f>
        <v>57</v>
      </c>
      <c r="BK114" t="b">
        <f t="shared" si="41"/>
        <v>1</v>
      </c>
      <c r="BL114" t="str">
        <f>IFERROR(VLOOKUP($B114, aegis!$BY:$BZ, 2, FALSE), 0)</f>
        <v>1</v>
      </c>
      <c r="BM114" t="str">
        <f>IFERROR(VLOOKUP($B114, duel!$BY:$BZ, 2, FALSE), 0)</f>
        <v>1</v>
      </c>
      <c r="BN114" t="str">
        <f>IFERROR(VLOOKUP($B114, blitz!$BY:$BZ, 2, FALSE), 0)</f>
        <v>1</v>
      </c>
      <c r="BO114" t="b">
        <f t="shared" si="42"/>
        <v>1</v>
      </c>
      <c r="BP114" t="str">
        <f>IFERROR(VLOOKUP($B114, aegis!$CD:$CE, 2, FALSE), 0)</f>
        <v>3</v>
      </c>
      <c r="BQ114" t="str">
        <f>IFERROR(VLOOKUP($B114, duel!$CD:$CE, 2, FALSE), 0)</f>
        <v>3</v>
      </c>
      <c r="BR114" t="str">
        <f>IFERROR(VLOOKUP($B114, blitz!$CD:$CE, 2, FALSE), 0)</f>
        <v>3</v>
      </c>
      <c r="BS114" t="b">
        <f t="shared" si="43"/>
        <v>1</v>
      </c>
      <c r="BT114">
        <f>IFERROR(VLOOKUP($B114, aegis!$CI:$CJ, 2, FALSE), 0)</f>
        <v>0</v>
      </c>
      <c r="BU114">
        <f>IFERROR(VLOOKUP($B114, duel!$CI:$CJ, 2, FALSE), 0)</f>
        <v>0</v>
      </c>
      <c r="BV114">
        <f>IFERROR(VLOOKUP($B114, blitz!$CI:$CJ, 2, FALSE), 0)</f>
        <v>0</v>
      </c>
      <c r="BW114" t="b">
        <f t="shared" si="44"/>
        <v>1</v>
      </c>
      <c r="BX114">
        <f>IFERROR(VLOOKUP($B114, aegis!$CN:$CO, 2, FALSE), 0)</f>
        <v>0</v>
      </c>
      <c r="BY114">
        <f>IFERROR(VLOOKUP($B114, duel!$CN:$CO, 2, FALSE), 0)</f>
        <v>0</v>
      </c>
      <c r="BZ114">
        <f>IFERROR(VLOOKUP($B114, blitz!$CN:$CO, 2, FALSE), 0)</f>
        <v>0</v>
      </c>
      <c r="CA114" t="b">
        <f t="shared" si="45"/>
        <v>1</v>
      </c>
      <c r="CB114">
        <f>IFERROR(VLOOKUP($B114, aegis!$CS:$CT, 2, FALSE), 0)</f>
        <v>0</v>
      </c>
      <c r="CC114">
        <f>IFERROR(VLOOKUP($B114, duel!$CS:$CT, 2, FALSE), 0)</f>
        <v>0</v>
      </c>
      <c r="CD114">
        <f>IFERROR(VLOOKUP($B114, blitz!$CS:$CT, 2, FALSE), 0)</f>
        <v>0</v>
      </c>
      <c r="CE114" t="b">
        <f t="shared" si="46"/>
        <v>1</v>
      </c>
      <c r="CF114" t="str">
        <f>IFERROR(VLOOKUP($B114, aegis!$CX:$CY, 2, FALSE), 0)</f>
        <v>8431</v>
      </c>
      <c r="CG114" t="str">
        <f>IFERROR(VLOOKUP($B114, duel!$CX:$CY, 2, FALSE), 0)</f>
        <v>8430</v>
      </c>
      <c r="CH114" t="str">
        <f>IFERROR(VLOOKUP($B114, blitz!$CX:$CY, 2, FALSE), 0)</f>
        <v>8430</v>
      </c>
      <c r="CI114" t="b">
        <f t="shared" si="47"/>
        <v>0</v>
      </c>
      <c r="CJ114" t="str">
        <f>IFERROR(VLOOKUP($B114, aegis!$DC:$DD, 2, FALSE), 0)</f>
        <v>1</v>
      </c>
      <c r="CK114" t="str">
        <f>IFERROR(VLOOKUP($B114, duel!$DC:$DD, 2, FALSE), 0)</f>
        <v>1</v>
      </c>
      <c r="CL114" t="str">
        <f>IFERROR(VLOOKUP($B114, blitz!$DC:$DD, 2, FALSE), 0)</f>
        <v>1</v>
      </c>
      <c r="CM114" t="b">
        <f t="shared" si="48"/>
        <v>1</v>
      </c>
      <c r="CN114" t="str">
        <f>IFERROR(VLOOKUP($B114, aegis!$DH:$DI, 2, FALSE), 0)</f>
        <v>1</v>
      </c>
      <c r="CO114" t="str">
        <f>IFERROR(VLOOKUP($B114, duel!$DH:$DI, 2, FALSE), 0)</f>
        <v>1</v>
      </c>
      <c r="CP114" s="13">
        <f>IFERROR(VLOOKUP($B114, blitz!$DH:$DI, 2, FALSE), 0)</f>
        <v>0</v>
      </c>
      <c r="CQ114" t="b">
        <f t="shared" si="49"/>
        <v>1</v>
      </c>
      <c r="CR114" t="str">
        <f>IFERROR(VLOOKUP($B114, aegis!$DM:$DN, 2, FALSE), 0)</f>
        <v>1</v>
      </c>
      <c r="CS114" t="str">
        <f>IFERROR(VLOOKUP($B114, duel!$DM:$DN, 2, FALSE), 0)</f>
        <v>1</v>
      </c>
      <c r="CT114" t="str">
        <f>IFERROR(VLOOKUP($B114, blitz!$DM:$DN, 2, FALSE), 0)</f>
        <v>1</v>
      </c>
      <c r="CU114" t="b">
        <f t="shared" si="50"/>
        <v>1</v>
      </c>
      <c r="CV114" t="str">
        <f>IFERROR(VLOOKUP($B114, aegis!$DR:$DS, 2, FALSE), 0)</f>
        <v>113</v>
      </c>
      <c r="CW114" t="str">
        <f>IFERROR(VLOOKUP($B114, duel!$DR:$DS, 2, FALSE), 0)</f>
        <v>113</v>
      </c>
      <c r="CX114" t="str">
        <f>IFERROR(VLOOKUP($B114, blitz!$DR:$DS, 2, FALSE), 0)</f>
        <v>113</v>
      </c>
      <c r="CY114" t="b">
        <f t="shared" si="51"/>
        <v>1</v>
      </c>
    </row>
    <row r="115" spans="1:103">
      <c r="B115" s="6" t="s">
        <v>213</v>
      </c>
      <c r="C115" s="5" t="b">
        <f t="shared" si="26"/>
        <v>0</v>
      </c>
      <c r="D115" t="str">
        <f>IFERROR(VLOOKUP($B115, aegis!$B:$C, 2, FALSE), 0)</f>
        <v>24</v>
      </c>
      <c r="E115" t="str">
        <f>IFERROR(VLOOKUP($B115, duel!$B:$C, 2, FALSE), 0)</f>
        <v>24</v>
      </c>
      <c r="F115" t="str">
        <f>IFERROR(VLOOKUP($B115, blitz!$B:$C, 2, FALSE), 0)</f>
        <v>24</v>
      </c>
      <c r="G115" t="b">
        <f t="shared" si="27"/>
        <v>1</v>
      </c>
      <c r="H115" t="str">
        <f>IFERROR(VLOOKUP($B115, aegis!$G:$H, 2, FALSE), 0)</f>
        <v>14</v>
      </c>
      <c r="I115" t="str">
        <f>IFERROR(VLOOKUP($B115, duel!$G:$H, 2, FALSE), 0)</f>
        <v>14</v>
      </c>
      <c r="J115" t="str">
        <f>IFERROR(VLOOKUP($B115, blitz!$G:$H, 2, FALSE), 0)</f>
        <v>14</v>
      </c>
      <c r="K115" t="b">
        <f t="shared" si="28"/>
        <v>1</v>
      </c>
      <c r="L115" t="str">
        <f>IFERROR(VLOOKUP($B115, aegis!$L:$M, 2, FALSE), 0)</f>
        <v>24</v>
      </c>
      <c r="M115" t="str">
        <f>IFERROR(VLOOKUP($B115, duel!$L:$M, 2, FALSE), 0)</f>
        <v>24</v>
      </c>
      <c r="N115" t="str">
        <f>IFERROR(VLOOKUP($B115, blitz!$L:$M, 2, FALSE), 0)</f>
        <v>24</v>
      </c>
      <c r="O115" t="b">
        <f t="shared" si="29"/>
        <v>1</v>
      </c>
      <c r="P115" t="str">
        <f>IFERROR(VLOOKUP($B115, aegis!$Q:$R, 2, FALSE), 0)</f>
        <v>14</v>
      </c>
      <c r="Q115" t="str">
        <f>IFERROR(VLOOKUP($B115, duel!$Q:$R, 2, FALSE), 0)</f>
        <v>14</v>
      </c>
      <c r="R115" t="str">
        <f>IFERROR(VLOOKUP($B115, blitz!$Q:$R, 2, FALSE), 0)</f>
        <v>14</v>
      </c>
      <c r="S115" t="b">
        <f t="shared" si="30"/>
        <v>1</v>
      </c>
      <c r="T115">
        <f>IFERROR(VLOOKUP($B115, aegis!$V:$W, 2, FALSE), 0)</f>
        <v>0</v>
      </c>
      <c r="U115">
        <f>IFERROR(VLOOKUP($B115, duel!$V:$W, 2, FALSE), 0)</f>
        <v>0</v>
      </c>
      <c r="V115">
        <f>IFERROR(VLOOKUP($B115, blitz!$V:$W, 2, FALSE), 0)</f>
        <v>0</v>
      </c>
      <c r="W115" t="b">
        <f t="shared" si="31"/>
        <v>1</v>
      </c>
      <c r="X115" t="str">
        <f>IFERROR(VLOOKUP($B115, aegis!$AA:$AB, 2, FALSE), 0)</f>
        <v>2</v>
      </c>
      <c r="Y115" t="str">
        <f>IFERROR(VLOOKUP($B115, duel!$AA:$AB, 2, FALSE), 0)</f>
        <v>2</v>
      </c>
      <c r="Z115" t="str">
        <f>IFERROR(VLOOKUP($B115, blitz!$AA:$AB, 2, FALSE), 0)</f>
        <v>2</v>
      </c>
      <c r="AA115" t="b">
        <f t="shared" si="32"/>
        <v>1</v>
      </c>
      <c r="AB115">
        <f>IFERROR(VLOOKUP($B115, aegis!$AF:$AG, 2, FALSE), 0)</f>
        <v>0</v>
      </c>
      <c r="AC115">
        <f>IFERROR(VLOOKUP($B115, duel!$AF:$AG, 2, FALSE), 0)</f>
        <v>0</v>
      </c>
      <c r="AD115">
        <f>IFERROR(VLOOKUP($B115, blitz!$AF:$AG, 2, FALSE), 0)</f>
        <v>0</v>
      </c>
      <c r="AE115" t="b">
        <f t="shared" si="33"/>
        <v>1</v>
      </c>
      <c r="AF115" t="str">
        <f>IFERROR(VLOOKUP($B115, aegis!$AK:$AL, 2, FALSE), 0)</f>
        <v>3</v>
      </c>
      <c r="AG115" t="str">
        <f>IFERROR(VLOOKUP($B115, duel!$AK:$AL, 2, FALSE), 0)</f>
        <v>1</v>
      </c>
      <c r="AH115" t="str">
        <f>IFERROR(VLOOKUP($B115, blitz!$AK:$AL, 2, FALSE), 0)</f>
        <v>1</v>
      </c>
      <c r="AI115" t="b">
        <f t="shared" si="34"/>
        <v>0</v>
      </c>
      <c r="AJ115" t="str">
        <f>IFERROR(VLOOKUP($B115, aegis!$AP:$AQ, 2, FALSE), 0)</f>
        <v>1</v>
      </c>
      <c r="AK115" t="str">
        <f>IFERROR(VLOOKUP($B115, duel!$AP:$AQ, 2, FALSE), 0)</f>
        <v>1</v>
      </c>
      <c r="AL115" t="str">
        <f>IFERROR(VLOOKUP($B115, blitz!$AP:$AQ, 2, FALSE), 0)</f>
        <v>1</v>
      </c>
      <c r="AM115" t="b">
        <f t="shared" si="35"/>
        <v>1</v>
      </c>
      <c r="AN115">
        <f>IFERROR(VLOOKUP($B115, aegis!$AU:$AV, 2, FALSE), 0)</f>
        <v>0</v>
      </c>
      <c r="AO115">
        <f>IFERROR(VLOOKUP($B115, duel!$AU:$AV, 2, FALSE), 0)</f>
        <v>0</v>
      </c>
      <c r="AP115">
        <f>IFERROR(VLOOKUP($B115, blitz!$AU:$AV, 2, FALSE), 0)</f>
        <v>0</v>
      </c>
      <c r="AQ115" t="b">
        <f t="shared" si="36"/>
        <v>1</v>
      </c>
      <c r="AR115" t="str">
        <f>IFERROR(VLOOKUP($B115, aegis!$AZ:$BA, 2, FALSE), 0)</f>
        <v>2</v>
      </c>
      <c r="AS115" t="str">
        <f>IFERROR(VLOOKUP($B115, duel!$AZ:$BA, 2, FALSE), 0)</f>
        <v>2</v>
      </c>
      <c r="AT115" t="str">
        <f>IFERROR(VLOOKUP($B115, blitz!$AZ:$BA, 2, FALSE), 0)</f>
        <v>2</v>
      </c>
      <c r="AU115" t="b">
        <f t="shared" si="37"/>
        <v>1</v>
      </c>
      <c r="AV115" t="str">
        <f>IFERROR(VLOOKUP($B115, aegis!$BE:$BF, 2, FALSE), 0)</f>
        <v>1</v>
      </c>
      <c r="AW115" t="str">
        <f>IFERROR(VLOOKUP($B115, duel!$BE:$BF, 2, FALSE), 0)</f>
        <v>1</v>
      </c>
      <c r="AX115" t="str">
        <f>IFERROR(VLOOKUP($B115, blitz!$BE:$BF, 2, FALSE), 0)</f>
        <v>1</v>
      </c>
      <c r="AY115" t="b">
        <f t="shared" si="38"/>
        <v>1</v>
      </c>
      <c r="AZ115" t="str">
        <f>IFERROR(VLOOKUP($B115, aegis!$BJ:$BK, 2, FALSE), 0)</f>
        <v>1</v>
      </c>
      <c r="BA115" t="str">
        <f>IFERROR(VLOOKUP($B115, duel!$BJ:$BK, 2, FALSE), 0)</f>
        <v>1</v>
      </c>
      <c r="BB115" t="str">
        <f>IFERROR(VLOOKUP($B115, blitz!$BJ:$BK, 2, FALSE), 0)</f>
        <v>1</v>
      </c>
      <c r="BC115" t="b">
        <f t="shared" si="39"/>
        <v>1</v>
      </c>
      <c r="BD115">
        <f>IFERROR(VLOOKUP($B115, aegis!$BO:$BP, 2, FALSE), 0)</f>
        <v>0</v>
      </c>
      <c r="BE115">
        <f>IFERROR(VLOOKUP($B115, duel!$BO:$BP, 2, FALSE), 0)</f>
        <v>0</v>
      </c>
      <c r="BF115">
        <f>IFERROR(VLOOKUP($B115, blitz!$BO:$BP, 2, FALSE), 0)</f>
        <v>0</v>
      </c>
      <c r="BG115" t="b">
        <f t="shared" si="40"/>
        <v>1</v>
      </c>
      <c r="BH115">
        <f>IFERROR(VLOOKUP($B115, aegis!$BT:$BU, 2, FALSE), 0)</f>
        <v>0</v>
      </c>
      <c r="BI115">
        <f>IFERROR(VLOOKUP($B115, duel!$BT:$BU, 2, FALSE), 0)</f>
        <v>0</v>
      </c>
      <c r="BJ115">
        <f>IFERROR(VLOOKUP($B115, blitz!$BT:$BU, 2, FALSE), 0)</f>
        <v>0</v>
      </c>
      <c r="BK115" t="b">
        <f t="shared" si="41"/>
        <v>1</v>
      </c>
      <c r="BL115" t="str">
        <f>IFERROR(VLOOKUP($B115, aegis!$BY:$BZ, 2, FALSE), 0)</f>
        <v>1</v>
      </c>
      <c r="BM115" t="str">
        <f>IFERROR(VLOOKUP($B115, duel!$BY:$BZ, 2, FALSE), 0)</f>
        <v>1</v>
      </c>
      <c r="BN115" t="str">
        <f>IFERROR(VLOOKUP($B115, blitz!$BY:$BZ, 2, FALSE), 0)</f>
        <v>1</v>
      </c>
      <c r="BO115" t="b">
        <f t="shared" si="42"/>
        <v>1</v>
      </c>
      <c r="BP115" t="str">
        <f>IFERROR(VLOOKUP($B115, aegis!$CD:$CE, 2, FALSE), 0)</f>
        <v>2</v>
      </c>
      <c r="BQ115" t="str">
        <f>IFERROR(VLOOKUP($B115, duel!$CD:$CE, 2, FALSE), 0)</f>
        <v>2</v>
      </c>
      <c r="BR115" t="str">
        <f>IFERROR(VLOOKUP($B115, blitz!$CD:$CE, 2, FALSE), 0)</f>
        <v>2</v>
      </c>
      <c r="BS115" t="b">
        <f t="shared" si="43"/>
        <v>1</v>
      </c>
      <c r="BT115">
        <f>IFERROR(VLOOKUP($B115, aegis!$CI:$CJ, 2, FALSE), 0)</f>
        <v>0</v>
      </c>
      <c r="BU115">
        <f>IFERROR(VLOOKUP($B115, duel!$CI:$CJ, 2, FALSE), 0)</f>
        <v>0</v>
      </c>
      <c r="BV115">
        <f>IFERROR(VLOOKUP($B115, blitz!$CI:$CJ, 2, FALSE), 0)</f>
        <v>0</v>
      </c>
      <c r="BW115" t="b">
        <f t="shared" si="44"/>
        <v>1</v>
      </c>
      <c r="BX115">
        <f>IFERROR(VLOOKUP($B115, aegis!$CN:$CO, 2, FALSE), 0)</f>
        <v>0</v>
      </c>
      <c r="BY115">
        <f>IFERROR(VLOOKUP($B115, duel!$CN:$CO, 2, FALSE), 0)</f>
        <v>0</v>
      </c>
      <c r="BZ115">
        <f>IFERROR(VLOOKUP($B115, blitz!$CN:$CO, 2, FALSE), 0)</f>
        <v>0</v>
      </c>
      <c r="CA115" t="b">
        <f t="shared" si="45"/>
        <v>1</v>
      </c>
      <c r="CB115">
        <f>IFERROR(VLOOKUP($B115, aegis!$CS:$CT, 2, FALSE), 0)</f>
        <v>0</v>
      </c>
      <c r="CC115">
        <f>IFERROR(VLOOKUP($B115, duel!$CS:$CT, 2, FALSE), 0)</f>
        <v>0</v>
      </c>
      <c r="CD115">
        <f>IFERROR(VLOOKUP($B115, blitz!$CS:$CT, 2, FALSE), 0)</f>
        <v>0</v>
      </c>
      <c r="CE115" t="b">
        <f t="shared" si="46"/>
        <v>1</v>
      </c>
      <c r="CF115">
        <f>IFERROR(VLOOKUP($B115, aegis!$CX:$CY, 2, FALSE), 0)</f>
        <v>0</v>
      </c>
      <c r="CG115">
        <f>IFERROR(VLOOKUP($B115, duel!$CX:$CY, 2, FALSE), 0)</f>
        <v>0</v>
      </c>
      <c r="CH115">
        <f>IFERROR(VLOOKUP($B115, blitz!$CX:$CY, 2, FALSE), 0)</f>
        <v>0</v>
      </c>
      <c r="CI115" t="b">
        <f t="shared" si="47"/>
        <v>1</v>
      </c>
      <c r="CJ115" t="str">
        <f>IFERROR(VLOOKUP($B115, aegis!$DC:$DD, 2, FALSE), 0)</f>
        <v>1</v>
      </c>
      <c r="CK115" t="str">
        <f>IFERROR(VLOOKUP($B115, duel!$DC:$DD, 2, FALSE), 0)</f>
        <v>1</v>
      </c>
      <c r="CL115" t="str">
        <f>IFERROR(VLOOKUP($B115, blitz!$DC:$DD, 2, FALSE), 0)</f>
        <v>1</v>
      </c>
      <c r="CM115" t="b">
        <f t="shared" si="48"/>
        <v>1</v>
      </c>
      <c r="CN115" t="str">
        <f>IFERROR(VLOOKUP($B115, aegis!$DH:$DI, 2, FALSE), 0)</f>
        <v>1</v>
      </c>
      <c r="CO115" t="str">
        <f>IFERROR(VLOOKUP($B115, duel!$DH:$DI, 2, FALSE), 0)</f>
        <v>1</v>
      </c>
      <c r="CP115" s="13">
        <f>IFERROR(VLOOKUP($B115, blitz!$DH:$DI, 2, FALSE), 0)</f>
        <v>0</v>
      </c>
      <c r="CQ115" t="b">
        <f t="shared" si="49"/>
        <v>1</v>
      </c>
      <c r="CR115" t="str">
        <f>IFERROR(VLOOKUP($B115, aegis!$DM:$DN, 2, FALSE), 0)</f>
        <v>1</v>
      </c>
      <c r="CS115" t="str">
        <f>IFERROR(VLOOKUP($B115, duel!$DM:$DN, 2, FALSE), 0)</f>
        <v>1</v>
      </c>
      <c r="CT115" t="str">
        <f>IFERROR(VLOOKUP($B115, blitz!$DM:$DN, 2, FALSE), 0)</f>
        <v>1</v>
      </c>
      <c r="CU115" t="b">
        <f t="shared" si="50"/>
        <v>1</v>
      </c>
      <c r="CV115">
        <f>IFERROR(VLOOKUP($B115, aegis!$DR:$DS, 2, FALSE), 0)</f>
        <v>0</v>
      </c>
      <c r="CW115">
        <f>IFERROR(VLOOKUP($B115, duel!$DR:$DS, 2, FALSE), 0)</f>
        <v>0</v>
      </c>
      <c r="CX115">
        <f>IFERROR(VLOOKUP($B115, blitz!$DR:$DS, 2, FALSE), 0)</f>
        <v>0</v>
      </c>
      <c r="CY115" t="b">
        <f t="shared" si="51"/>
        <v>1</v>
      </c>
    </row>
    <row r="116" spans="1:103">
      <c r="B116" s="6" t="s">
        <v>215</v>
      </c>
      <c r="C116" s="5" t="b">
        <f t="shared" si="26"/>
        <v>0</v>
      </c>
      <c r="D116" t="str">
        <f>IFERROR(VLOOKUP($B116, aegis!$B:$C, 2, FALSE), 0)</f>
        <v>12</v>
      </c>
      <c r="E116" t="str">
        <f>IFERROR(VLOOKUP($B116, duel!$B:$C, 2, FALSE), 0)</f>
        <v>12</v>
      </c>
      <c r="F116" t="str">
        <f>IFERROR(VLOOKUP($B116, blitz!$B:$C, 2, FALSE), 0)</f>
        <v>12</v>
      </c>
      <c r="G116" t="b">
        <f t="shared" si="27"/>
        <v>1</v>
      </c>
      <c r="H116" t="str">
        <f>IFERROR(VLOOKUP($B116, aegis!$G:$H, 2, FALSE), 0)</f>
        <v>7</v>
      </c>
      <c r="I116" t="str">
        <f>IFERROR(VLOOKUP($B116, duel!$G:$H, 2, FALSE), 0)</f>
        <v>7</v>
      </c>
      <c r="J116" t="str">
        <f>IFERROR(VLOOKUP($B116, blitz!$G:$H, 2, FALSE), 0)</f>
        <v>7</v>
      </c>
      <c r="K116" t="b">
        <f t="shared" si="28"/>
        <v>1</v>
      </c>
      <c r="L116" t="str">
        <f>IFERROR(VLOOKUP($B116, aegis!$L:$M, 2, FALSE), 0)</f>
        <v>12</v>
      </c>
      <c r="M116" t="str">
        <f>IFERROR(VLOOKUP($B116, duel!$L:$M, 2, FALSE), 0)</f>
        <v>12</v>
      </c>
      <c r="N116" t="str">
        <f>IFERROR(VLOOKUP($B116, blitz!$L:$M, 2, FALSE), 0)</f>
        <v>12</v>
      </c>
      <c r="O116" t="b">
        <f t="shared" si="29"/>
        <v>1</v>
      </c>
      <c r="P116" t="str">
        <f>IFERROR(VLOOKUP($B116, aegis!$Q:$R, 2, FALSE), 0)</f>
        <v>7</v>
      </c>
      <c r="Q116" t="str">
        <f>IFERROR(VLOOKUP($B116, duel!$Q:$R, 2, FALSE), 0)</f>
        <v>7</v>
      </c>
      <c r="R116" t="str">
        <f>IFERROR(VLOOKUP($B116, blitz!$Q:$R, 2, FALSE), 0)</f>
        <v>7</v>
      </c>
      <c r="S116" t="b">
        <f t="shared" si="30"/>
        <v>1</v>
      </c>
      <c r="T116">
        <f>IFERROR(VLOOKUP($B116, aegis!$V:$W, 2, FALSE), 0)</f>
        <v>0</v>
      </c>
      <c r="U116">
        <f>IFERROR(VLOOKUP($B116, duel!$V:$W, 2, FALSE), 0)</f>
        <v>0</v>
      </c>
      <c r="V116">
        <f>IFERROR(VLOOKUP($B116, blitz!$V:$W, 2, FALSE), 0)</f>
        <v>0</v>
      </c>
      <c r="W116" t="b">
        <f t="shared" si="31"/>
        <v>1</v>
      </c>
      <c r="X116" t="str">
        <f>IFERROR(VLOOKUP($B116, aegis!$AA:$AB, 2, FALSE), 0)</f>
        <v>1</v>
      </c>
      <c r="Y116" t="str">
        <f>IFERROR(VLOOKUP($B116, duel!$AA:$AB, 2, FALSE), 0)</f>
        <v>1</v>
      </c>
      <c r="Z116" t="str">
        <f>IFERROR(VLOOKUP($B116, blitz!$AA:$AB, 2, FALSE), 0)</f>
        <v>1</v>
      </c>
      <c r="AA116" t="b">
        <f t="shared" si="32"/>
        <v>1</v>
      </c>
      <c r="AB116">
        <f>IFERROR(VLOOKUP($B116, aegis!$AF:$AG, 2, FALSE), 0)</f>
        <v>0</v>
      </c>
      <c r="AC116">
        <f>IFERROR(VLOOKUP($B116, duel!$AF:$AG, 2, FALSE), 0)</f>
        <v>0</v>
      </c>
      <c r="AD116">
        <f>IFERROR(VLOOKUP($B116, blitz!$AF:$AG, 2, FALSE), 0)</f>
        <v>0</v>
      </c>
      <c r="AE116" t="b">
        <f t="shared" si="33"/>
        <v>1</v>
      </c>
      <c r="AF116" t="str">
        <f>IFERROR(VLOOKUP($B116, aegis!$AK:$AL, 2, FALSE), 0)</f>
        <v>2</v>
      </c>
      <c r="AG116" t="str">
        <f>IFERROR(VLOOKUP($B116, duel!$AK:$AL, 2, FALSE), 0)</f>
        <v>1</v>
      </c>
      <c r="AH116" t="str">
        <f>IFERROR(VLOOKUP($B116, blitz!$AK:$AL, 2, FALSE), 0)</f>
        <v>1</v>
      </c>
      <c r="AI116" t="b">
        <f t="shared" si="34"/>
        <v>0</v>
      </c>
      <c r="AJ116">
        <f>IFERROR(VLOOKUP($B116, aegis!$AP:$AQ, 2, FALSE), 0)</f>
        <v>0</v>
      </c>
      <c r="AK116">
        <f>IFERROR(VLOOKUP($B116, duel!$AP:$AQ, 2, FALSE), 0)</f>
        <v>0</v>
      </c>
      <c r="AL116">
        <f>IFERROR(VLOOKUP($B116, blitz!$AP:$AQ, 2, FALSE), 0)</f>
        <v>0</v>
      </c>
      <c r="AM116" t="b">
        <f t="shared" si="35"/>
        <v>1</v>
      </c>
      <c r="AN116">
        <f>IFERROR(VLOOKUP($B116, aegis!$AU:$AV, 2, FALSE), 0)</f>
        <v>0</v>
      </c>
      <c r="AO116">
        <f>IFERROR(VLOOKUP($B116, duel!$AU:$AV, 2, FALSE), 0)</f>
        <v>0</v>
      </c>
      <c r="AP116">
        <f>IFERROR(VLOOKUP($B116, blitz!$AU:$AV, 2, FALSE), 0)</f>
        <v>0</v>
      </c>
      <c r="AQ116" t="b">
        <f t="shared" si="36"/>
        <v>1</v>
      </c>
      <c r="AR116" t="str">
        <f>IFERROR(VLOOKUP($B116, aegis!$AZ:$BA, 2, FALSE), 0)</f>
        <v>1</v>
      </c>
      <c r="AS116" t="str">
        <f>IFERROR(VLOOKUP($B116, duel!$AZ:$BA, 2, FALSE), 0)</f>
        <v>1</v>
      </c>
      <c r="AT116" t="str">
        <f>IFERROR(VLOOKUP($B116, blitz!$AZ:$BA, 2, FALSE), 0)</f>
        <v>1</v>
      </c>
      <c r="AU116" t="b">
        <f t="shared" si="37"/>
        <v>1</v>
      </c>
      <c r="AV116">
        <f>IFERROR(VLOOKUP($B116, aegis!$BE:$BF, 2, FALSE), 0)</f>
        <v>0</v>
      </c>
      <c r="AW116">
        <f>IFERROR(VLOOKUP($B116, duel!$BE:$BF, 2, FALSE), 0)</f>
        <v>0</v>
      </c>
      <c r="AX116">
        <f>IFERROR(VLOOKUP($B116, blitz!$BE:$BF, 2, FALSE), 0)</f>
        <v>0</v>
      </c>
      <c r="AY116" t="b">
        <f t="shared" si="38"/>
        <v>1</v>
      </c>
      <c r="AZ116" t="str">
        <f>IFERROR(VLOOKUP($B116, aegis!$BJ:$BK, 2, FALSE), 0)</f>
        <v>1</v>
      </c>
      <c r="BA116" t="str">
        <f>IFERROR(VLOOKUP($B116, duel!$BJ:$BK, 2, FALSE), 0)</f>
        <v>1</v>
      </c>
      <c r="BB116" t="str">
        <f>IFERROR(VLOOKUP($B116, blitz!$BJ:$BK, 2, FALSE), 0)</f>
        <v>1</v>
      </c>
      <c r="BC116" t="b">
        <f t="shared" si="39"/>
        <v>1</v>
      </c>
      <c r="BD116">
        <f>IFERROR(VLOOKUP($B116, aegis!$BO:$BP, 2, FALSE), 0)</f>
        <v>0</v>
      </c>
      <c r="BE116">
        <f>IFERROR(VLOOKUP($B116, duel!$BO:$BP, 2, FALSE), 0)</f>
        <v>0</v>
      </c>
      <c r="BF116">
        <f>IFERROR(VLOOKUP($B116, blitz!$BO:$BP, 2, FALSE), 0)</f>
        <v>0</v>
      </c>
      <c r="BG116" t="b">
        <f t="shared" si="40"/>
        <v>1</v>
      </c>
      <c r="BH116">
        <f>IFERROR(VLOOKUP($B116, aegis!$BT:$BU, 2, FALSE), 0)</f>
        <v>0</v>
      </c>
      <c r="BI116">
        <f>IFERROR(VLOOKUP($B116, duel!$BT:$BU, 2, FALSE), 0)</f>
        <v>0</v>
      </c>
      <c r="BJ116">
        <f>IFERROR(VLOOKUP($B116, blitz!$BT:$BU, 2, FALSE), 0)</f>
        <v>0</v>
      </c>
      <c r="BK116" t="b">
        <f t="shared" si="41"/>
        <v>1</v>
      </c>
      <c r="BL116">
        <f>IFERROR(VLOOKUP($B116, aegis!$BY:$BZ, 2, FALSE), 0)</f>
        <v>0</v>
      </c>
      <c r="BM116">
        <f>IFERROR(VLOOKUP($B116, duel!$BY:$BZ, 2, FALSE), 0)</f>
        <v>0</v>
      </c>
      <c r="BN116">
        <f>IFERROR(VLOOKUP($B116, blitz!$BY:$BZ, 2, FALSE), 0)</f>
        <v>0</v>
      </c>
      <c r="BO116" t="b">
        <f t="shared" si="42"/>
        <v>1</v>
      </c>
      <c r="BP116" t="str">
        <f>IFERROR(VLOOKUP($B116, aegis!$CD:$CE, 2, FALSE), 0)</f>
        <v>1</v>
      </c>
      <c r="BQ116" t="str">
        <f>IFERROR(VLOOKUP($B116, duel!$CD:$CE, 2, FALSE), 0)</f>
        <v>1</v>
      </c>
      <c r="BR116" t="str">
        <f>IFERROR(VLOOKUP($B116, blitz!$CD:$CE, 2, FALSE), 0)</f>
        <v>1</v>
      </c>
      <c r="BS116" t="b">
        <f t="shared" si="43"/>
        <v>1</v>
      </c>
      <c r="BT116">
        <f>IFERROR(VLOOKUP($B116, aegis!$CI:$CJ, 2, FALSE), 0)</f>
        <v>0</v>
      </c>
      <c r="BU116">
        <f>IFERROR(VLOOKUP($B116, duel!$CI:$CJ, 2, FALSE), 0)</f>
        <v>0</v>
      </c>
      <c r="BV116">
        <f>IFERROR(VLOOKUP($B116, blitz!$CI:$CJ, 2, FALSE), 0)</f>
        <v>0</v>
      </c>
      <c r="BW116" t="b">
        <f t="shared" si="44"/>
        <v>1</v>
      </c>
      <c r="BX116">
        <f>IFERROR(VLOOKUP($B116, aegis!$CN:$CO, 2, FALSE), 0)</f>
        <v>0</v>
      </c>
      <c r="BY116">
        <f>IFERROR(VLOOKUP($B116, duel!$CN:$CO, 2, FALSE), 0)</f>
        <v>0</v>
      </c>
      <c r="BZ116">
        <f>IFERROR(VLOOKUP($B116, blitz!$CN:$CO, 2, FALSE), 0)</f>
        <v>0</v>
      </c>
      <c r="CA116" t="b">
        <f t="shared" si="45"/>
        <v>1</v>
      </c>
      <c r="CB116">
        <f>IFERROR(VLOOKUP($B116, aegis!$CS:$CT, 2, FALSE), 0)</f>
        <v>0</v>
      </c>
      <c r="CC116">
        <f>IFERROR(VLOOKUP($B116, duel!$CS:$CT, 2, FALSE), 0)</f>
        <v>0</v>
      </c>
      <c r="CD116">
        <f>IFERROR(VLOOKUP($B116, blitz!$CS:$CT, 2, FALSE), 0)</f>
        <v>0</v>
      </c>
      <c r="CE116" t="b">
        <f t="shared" si="46"/>
        <v>1</v>
      </c>
      <c r="CF116">
        <f>IFERROR(VLOOKUP($B116, aegis!$CX:$CY, 2, FALSE), 0)</f>
        <v>0</v>
      </c>
      <c r="CG116">
        <f>IFERROR(VLOOKUP($B116, duel!$CX:$CY, 2, FALSE), 0)</f>
        <v>0</v>
      </c>
      <c r="CH116">
        <f>IFERROR(VLOOKUP($B116, blitz!$CX:$CY, 2, FALSE), 0)</f>
        <v>0</v>
      </c>
      <c r="CI116" t="b">
        <f t="shared" si="47"/>
        <v>1</v>
      </c>
      <c r="CJ116" t="str">
        <f>IFERROR(VLOOKUP($B116, aegis!$DC:$DD, 2, FALSE), 0)</f>
        <v>1</v>
      </c>
      <c r="CK116" t="str">
        <f>IFERROR(VLOOKUP($B116, duel!$DC:$DD, 2, FALSE), 0)</f>
        <v>1</v>
      </c>
      <c r="CL116" t="str">
        <f>IFERROR(VLOOKUP($B116, blitz!$DC:$DD, 2, FALSE), 0)</f>
        <v>1</v>
      </c>
      <c r="CM116" t="b">
        <f t="shared" si="48"/>
        <v>1</v>
      </c>
      <c r="CN116">
        <f>IFERROR(VLOOKUP($B116, aegis!$DH:$DI, 2, FALSE), 0)</f>
        <v>0</v>
      </c>
      <c r="CO116">
        <f>IFERROR(VLOOKUP($B116, duel!$DH:$DI, 2, FALSE), 0)</f>
        <v>0</v>
      </c>
      <c r="CP116" s="13">
        <f>IFERROR(VLOOKUP($B116, blitz!$DH:$DI, 2, FALSE), 0)</f>
        <v>0</v>
      </c>
      <c r="CQ116" t="b">
        <f t="shared" si="49"/>
        <v>1</v>
      </c>
      <c r="CR116">
        <f>IFERROR(VLOOKUP($B116, aegis!$DM:$DN, 2, FALSE), 0)</f>
        <v>0</v>
      </c>
      <c r="CS116">
        <f>IFERROR(VLOOKUP($B116, duel!$DM:$DN, 2, FALSE), 0)</f>
        <v>0</v>
      </c>
      <c r="CT116">
        <f>IFERROR(VLOOKUP($B116, blitz!$DM:$DN, 2, FALSE), 0)</f>
        <v>0</v>
      </c>
      <c r="CU116" t="b">
        <f t="shared" si="50"/>
        <v>1</v>
      </c>
      <c r="CV116">
        <f>IFERROR(VLOOKUP($B116, aegis!$DR:$DS, 2, FALSE), 0)</f>
        <v>0</v>
      </c>
      <c r="CW116">
        <f>IFERROR(VLOOKUP($B116, duel!$DR:$DS, 2, FALSE), 0)</f>
        <v>0</v>
      </c>
      <c r="CX116">
        <f>IFERROR(VLOOKUP($B116, blitz!$DR:$DS, 2, FALSE), 0)</f>
        <v>0</v>
      </c>
      <c r="CY116" t="b">
        <f t="shared" si="51"/>
        <v>1</v>
      </c>
    </row>
    <row r="117" spans="1:103">
      <c r="A117" t="s">
        <v>1733</v>
      </c>
      <c r="B117" s="6" t="s">
        <v>217</v>
      </c>
      <c r="C117" s="5" t="b">
        <f t="shared" si="26"/>
        <v>0</v>
      </c>
      <c r="D117" t="str">
        <f>IFERROR(VLOOKUP($B117, aegis!$B:$C, 2, FALSE), 0)</f>
        <v>24</v>
      </c>
      <c r="E117" t="str">
        <f>IFERROR(VLOOKUP($B117, duel!$B:$C, 2, FALSE), 0)</f>
        <v>24</v>
      </c>
      <c r="F117" t="str">
        <f>IFERROR(VLOOKUP($B117, blitz!$B:$C, 2, FALSE), 0)</f>
        <v>24</v>
      </c>
      <c r="G117" t="b">
        <f t="shared" si="27"/>
        <v>1</v>
      </c>
      <c r="H117" t="str">
        <f>IFERROR(VLOOKUP($B117, aegis!$G:$H, 2, FALSE), 0)</f>
        <v>14</v>
      </c>
      <c r="I117" t="str">
        <f>IFERROR(VLOOKUP($B117, duel!$G:$H, 2, FALSE), 0)</f>
        <v>14</v>
      </c>
      <c r="J117" t="str">
        <f>IFERROR(VLOOKUP($B117, blitz!$G:$H, 2, FALSE), 0)</f>
        <v>14</v>
      </c>
      <c r="K117" t="b">
        <f t="shared" si="28"/>
        <v>1</v>
      </c>
      <c r="L117" t="str">
        <f>IFERROR(VLOOKUP($B117, aegis!$L:$M, 2, FALSE), 0)</f>
        <v>24</v>
      </c>
      <c r="M117" t="str">
        <f>IFERROR(VLOOKUP($B117, duel!$L:$M, 2, FALSE), 0)</f>
        <v>24</v>
      </c>
      <c r="N117" t="str">
        <f>IFERROR(VLOOKUP($B117, blitz!$L:$M, 2, FALSE), 0)</f>
        <v>24</v>
      </c>
      <c r="O117" t="b">
        <f t="shared" si="29"/>
        <v>1</v>
      </c>
      <c r="P117" t="str">
        <f>IFERROR(VLOOKUP($B117, aegis!$Q:$R, 2, FALSE), 0)</f>
        <v>14</v>
      </c>
      <c r="Q117" t="str">
        <f>IFERROR(VLOOKUP($B117, duel!$Q:$R, 2, FALSE), 0)</f>
        <v>14</v>
      </c>
      <c r="R117" t="str">
        <f>IFERROR(VLOOKUP($B117, blitz!$Q:$R, 2, FALSE), 0)</f>
        <v>14</v>
      </c>
      <c r="S117" t="b">
        <f t="shared" si="30"/>
        <v>1</v>
      </c>
      <c r="T117">
        <f>IFERROR(VLOOKUP($B117, aegis!$V:$W, 2, FALSE), 0)</f>
        <v>0</v>
      </c>
      <c r="U117">
        <f>IFERROR(VLOOKUP($B117, duel!$V:$W, 2, FALSE), 0)</f>
        <v>0</v>
      </c>
      <c r="V117">
        <f>IFERROR(VLOOKUP($B117, blitz!$V:$W, 2, FALSE), 0)</f>
        <v>0</v>
      </c>
      <c r="W117" t="b">
        <f t="shared" si="31"/>
        <v>1</v>
      </c>
      <c r="X117" t="str">
        <f>IFERROR(VLOOKUP($B117, aegis!$AA:$AB, 2, FALSE), 0)</f>
        <v>2</v>
      </c>
      <c r="Y117" t="str">
        <f>IFERROR(VLOOKUP($B117, duel!$AA:$AB, 2, FALSE), 0)</f>
        <v>2</v>
      </c>
      <c r="Z117" t="str">
        <f>IFERROR(VLOOKUP($B117, blitz!$AA:$AB, 2, FALSE), 0)</f>
        <v>2</v>
      </c>
      <c r="AA117" t="b">
        <f t="shared" si="32"/>
        <v>1</v>
      </c>
      <c r="AB117" t="str">
        <f>IFERROR(VLOOKUP($B117, aegis!$AF:$AG, 2, FALSE), 0)</f>
        <v>110</v>
      </c>
      <c r="AC117" t="str">
        <f>IFERROR(VLOOKUP($B117, duel!$AF:$AG, 2, FALSE), 0)</f>
        <v>110</v>
      </c>
      <c r="AD117" s="9" t="str">
        <f>IFERROR(VLOOKUP($B117, blitz!$AF:$AG, 2, FALSE), 0)</f>
        <v>101</v>
      </c>
      <c r="AE117" t="b">
        <f t="shared" si="33"/>
        <v>0</v>
      </c>
      <c r="AF117" t="str">
        <f>IFERROR(VLOOKUP($B117, aegis!$AK:$AL, 2, FALSE), 0)</f>
        <v>3</v>
      </c>
      <c r="AG117" t="str">
        <f>IFERROR(VLOOKUP($B117, duel!$AK:$AL, 2, FALSE), 0)</f>
        <v>1</v>
      </c>
      <c r="AH117" t="str">
        <f>IFERROR(VLOOKUP($B117, blitz!$AK:$AL, 2, FALSE), 0)</f>
        <v>1</v>
      </c>
      <c r="AI117" t="b">
        <f t="shared" si="34"/>
        <v>0</v>
      </c>
      <c r="AJ117" t="str">
        <f>IFERROR(VLOOKUP($B117, aegis!$AP:$AQ, 2, FALSE), 0)</f>
        <v>1</v>
      </c>
      <c r="AK117" t="str">
        <f>IFERROR(VLOOKUP($B117, duel!$AP:$AQ, 2, FALSE), 0)</f>
        <v>1</v>
      </c>
      <c r="AL117" t="str">
        <f>IFERROR(VLOOKUP($B117, blitz!$AP:$AQ, 2, FALSE), 0)</f>
        <v>1</v>
      </c>
      <c r="AM117" t="b">
        <f t="shared" si="35"/>
        <v>1</v>
      </c>
      <c r="AN117">
        <f>IFERROR(VLOOKUP($B117, aegis!$AU:$AV, 2, FALSE), 0)</f>
        <v>0</v>
      </c>
      <c r="AO117">
        <f>IFERROR(VLOOKUP($B117, duel!$AU:$AV, 2, FALSE), 0)</f>
        <v>0</v>
      </c>
      <c r="AP117">
        <f>IFERROR(VLOOKUP($B117, blitz!$AU:$AV, 2, FALSE), 0)</f>
        <v>0</v>
      </c>
      <c r="AQ117" t="b">
        <f t="shared" si="36"/>
        <v>1</v>
      </c>
      <c r="AR117" t="str">
        <f>IFERROR(VLOOKUP($B117, aegis!$AZ:$BA, 2, FALSE), 0)</f>
        <v>2</v>
      </c>
      <c r="AS117" t="str">
        <f>IFERROR(VLOOKUP($B117, duel!$AZ:$BA, 2, FALSE), 0)</f>
        <v>2</v>
      </c>
      <c r="AT117" t="str">
        <f>IFERROR(VLOOKUP($B117, blitz!$AZ:$BA, 2, FALSE), 0)</f>
        <v>2</v>
      </c>
      <c r="AU117" t="b">
        <f t="shared" si="37"/>
        <v>1</v>
      </c>
      <c r="AV117" t="str">
        <f>IFERROR(VLOOKUP($B117, aegis!$BE:$BF, 2, FALSE), 0)</f>
        <v>1</v>
      </c>
      <c r="AW117" t="str">
        <f>IFERROR(VLOOKUP($B117, duel!$BE:$BF, 2, FALSE), 0)</f>
        <v>1</v>
      </c>
      <c r="AX117" t="str">
        <f>IFERROR(VLOOKUP($B117, blitz!$BE:$BF, 2, FALSE), 0)</f>
        <v>1</v>
      </c>
      <c r="AY117" t="b">
        <f t="shared" si="38"/>
        <v>1</v>
      </c>
      <c r="AZ117" t="str">
        <f>IFERROR(VLOOKUP($B117, aegis!$BJ:$BK, 2, FALSE), 0)</f>
        <v>1</v>
      </c>
      <c r="BA117" t="str">
        <f>IFERROR(VLOOKUP($B117, duel!$BJ:$BK, 2, FALSE), 0)</f>
        <v>1</v>
      </c>
      <c r="BB117" t="str">
        <f>IFERROR(VLOOKUP($B117, blitz!$BJ:$BK, 2, FALSE), 0)</f>
        <v>1</v>
      </c>
      <c r="BC117" t="b">
        <f t="shared" si="39"/>
        <v>1</v>
      </c>
      <c r="BD117">
        <f>IFERROR(VLOOKUP($B117, aegis!$BO:$BP, 2, FALSE), 0)</f>
        <v>0</v>
      </c>
      <c r="BE117">
        <f>IFERROR(VLOOKUP($B117, duel!$BO:$BP, 2, FALSE), 0)</f>
        <v>0</v>
      </c>
      <c r="BF117">
        <f>IFERROR(VLOOKUP($B117, blitz!$BO:$BP, 2, FALSE), 0)</f>
        <v>0</v>
      </c>
      <c r="BG117" t="b">
        <f t="shared" si="40"/>
        <v>1</v>
      </c>
      <c r="BH117" t="str">
        <f>IFERROR(VLOOKUP($B117, aegis!$BT:$BU, 2, FALSE), 0)</f>
        <v>58</v>
      </c>
      <c r="BI117" t="str">
        <f>IFERROR(VLOOKUP($B117, duel!$BT:$BU, 2, FALSE), 0)</f>
        <v>58</v>
      </c>
      <c r="BJ117" t="str">
        <f>IFERROR(VLOOKUP($B117, blitz!$BT:$BU, 2, FALSE), 0)</f>
        <v>58</v>
      </c>
      <c r="BK117" t="b">
        <f t="shared" si="41"/>
        <v>1</v>
      </c>
      <c r="BL117" t="str">
        <f>IFERROR(VLOOKUP($B117, aegis!$BY:$BZ, 2, FALSE), 0)</f>
        <v>1</v>
      </c>
      <c r="BM117" t="str">
        <f>IFERROR(VLOOKUP($B117, duel!$BY:$BZ, 2, FALSE), 0)</f>
        <v>1</v>
      </c>
      <c r="BN117" t="str">
        <f>IFERROR(VLOOKUP($B117, blitz!$BY:$BZ, 2, FALSE), 0)</f>
        <v>1</v>
      </c>
      <c r="BO117" t="b">
        <f t="shared" si="42"/>
        <v>1</v>
      </c>
      <c r="BP117" t="str">
        <f>IFERROR(VLOOKUP($B117, aegis!$CD:$CE, 2, FALSE), 0)</f>
        <v>3</v>
      </c>
      <c r="BQ117" t="str">
        <f>IFERROR(VLOOKUP($B117, duel!$CD:$CE, 2, FALSE), 0)</f>
        <v>3</v>
      </c>
      <c r="BR117" t="str">
        <f>IFERROR(VLOOKUP($B117, blitz!$CD:$CE, 2, FALSE), 0)</f>
        <v>3</v>
      </c>
      <c r="BS117" t="b">
        <f t="shared" si="43"/>
        <v>1</v>
      </c>
      <c r="BT117" t="str">
        <f>IFERROR(VLOOKUP($B117, aegis!$CI:$CJ, 2, FALSE), 0)</f>
        <v>118</v>
      </c>
      <c r="BU117" t="str">
        <f>IFERROR(VLOOKUP($B117, duel!$CI:$CJ, 2, FALSE), 0)</f>
        <v>118</v>
      </c>
      <c r="BV117" t="str">
        <f>IFERROR(VLOOKUP($B117, blitz!$CI:$CJ, 2, FALSE), 0)</f>
        <v>118</v>
      </c>
      <c r="BW117" t="b">
        <f t="shared" si="44"/>
        <v>1</v>
      </c>
      <c r="BX117" t="str">
        <f>IFERROR(VLOOKUP($B117, aegis!$CN:$CO, 2, FALSE), 0)</f>
        <v>118</v>
      </c>
      <c r="BY117" t="str">
        <f>IFERROR(VLOOKUP($B117, duel!$CN:$CO, 2, FALSE), 0)</f>
        <v>118</v>
      </c>
      <c r="BZ117" t="str">
        <f>IFERROR(VLOOKUP($B117, blitz!$CN:$CO, 2, FALSE), 0)</f>
        <v>118</v>
      </c>
      <c r="CA117" t="b">
        <f t="shared" si="45"/>
        <v>1</v>
      </c>
      <c r="CB117" t="str">
        <f>IFERROR(VLOOKUP($B117, aegis!$CS:$CT, 2, FALSE), 0)</f>
        <v>695</v>
      </c>
      <c r="CC117" t="str">
        <f>IFERROR(VLOOKUP($B117, duel!$CS:$CT, 2, FALSE), 0)</f>
        <v>695</v>
      </c>
      <c r="CD117" t="str">
        <f>IFERROR(VLOOKUP($B117, blitz!$CS:$CT, 2, FALSE), 0)</f>
        <v>695</v>
      </c>
      <c r="CE117" t="b">
        <f t="shared" si="46"/>
        <v>1</v>
      </c>
      <c r="CF117" t="str">
        <f>IFERROR(VLOOKUP($B117, aegis!$CX:$CY, 2, FALSE), 0)</f>
        <v>5415</v>
      </c>
      <c r="CG117" t="str">
        <f>IFERROR(VLOOKUP($B117, duel!$CX:$CY, 2, FALSE), 0)</f>
        <v>5411</v>
      </c>
      <c r="CH117" t="str">
        <f>IFERROR(VLOOKUP($B117, blitz!$CX:$CY, 2, FALSE), 0)</f>
        <v>5415</v>
      </c>
      <c r="CI117" t="b">
        <f t="shared" si="47"/>
        <v>0</v>
      </c>
      <c r="CJ117" t="str">
        <f>IFERROR(VLOOKUP($B117, aegis!$DC:$DD, 2, FALSE), 0)</f>
        <v>1</v>
      </c>
      <c r="CK117" t="str">
        <f>IFERROR(VLOOKUP($B117, duel!$DC:$DD, 2, FALSE), 0)</f>
        <v>1</v>
      </c>
      <c r="CL117" t="str">
        <f>IFERROR(VLOOKUP($B117, blitz!$DC:$DD, 2, FALSE), 0)</f>
        <v>1</v>
      </c>
      <c r="CM117" t="b">
        <f t="shared" si="48"/>
        <v>1</v>
      </c>
      <c r="CN117" t="str">
        <f>IFERROR(VLOOKUP($B117, aegis!$DH:$DI, 2, FALSE), 0)</f>
        <v>4</v>
      </c>
      <c r="CO117" t="str">
        <f>IFERROR(VLOOKUP($B117, duel!$DH:$DI, 2, FALSE), 0)</f>
        <v>4</v>
      </c>
      <c r="CP117" s="13">
        <f>IFERROR(VLOOKUP($B117, blitz!$DH:$DI, 2, FALSE), 0)</f>
        <v>0</v>
      </c>
      <c r="CQ117" t="b">
        <f t="shared" si="49"/>
        <v>1</v>
      </c>
      <c r="CR117" t="str">
        <f>IFERROR(VLOOKUP($B117, aegis!$DM:$DN, 2, FALSE), 0)</f>
        <v>1</v>
      </c>
      <c r="CS117" t="str">
        <f>IFERROR(VLOOKUP($B117, duel!$DM:$DN, 2, FALSE), 0)</f>
        <v>1</v>
      </c>
      <c r="CT117" t="str">
        <f>IFERROR(VLOOKUP($B117, blitz!$DM:$DN, 2, FALSE), 0)</f>
        <v>1</v>
      </c>
      <c r="CU117" t="b">
        <f t="shared" si="50"/>
        <v>1</v>
      </c>
      <c r="CV117" t="str">
        <f>IFERROR(VLOOKUP($B117, aegis!$DR:$DS, 2, FALSE), 0)</f>
        <v>110</v>
      </c>
      <c r="CW117" t="str">
        <f>IFERROR(VLOOKUP($B117, duel!$DR:$DS, 2, FALSE), 0)</f>
        <v>110</v>
      </c>
      <c r="CX117" t="str">
        <f>IFERROR(VLOOKUP($B117, blitz!$DR:$DS, 2, FALSE), 0)</f>
        <v>110</v>
      </c>
      <c r="CY117" t="b">
        <f t="shared" si="51"/>
        <v>1</v>
      </c>
    </row>
    <row r="118" spans="1:103">
      <c r="A118" t="s">
        <v>1733</v>
      </c>
      <c r="B118" s="6" t="s">
        <v>218</v>
      </c>
      <c r="C118" s="5" t="b">
        <f t="shared" si="26"/>
        <v>0</v>
      </c>
      <c r="D118" t="str">
        <f>IFERROR(VLOOKUP($B118, aegis!$B:$C, 2, FALSE), 0)</f>
        <v>36</v>
      </c>
      <c r="E118" t="str">
        <f>IFERROR(VLOOKUP($B118, duel!$B:$C, 2, FALSE), 0)</f>
        <v>36</v>
      </c>
      <c r="F118" t="str">
        <f>IFERROR(VLOOKUP($B118, blitz!$B:$C, 2, FALSE), 0)</f>
        <v>36</v>
      </c>
      <c r="G118" t="b">
        <f t="shared" si="27"/>
        <v>1</v>
      </c>
      <c r="H118" t="str">
        <f>IFERROR(VLOOKUP($B118, aegis!$G:$H, 2, FALSE), 0)</f>
        <v>21</v>
      </c>
      <c r="I118" t="str">
        <f>IFERROR(VLOOKUP($B118, duel!$G:$H, 2, FALSE), 0)</f>
        <v>21</v>
      </c>
      <c r="J118" t="str">
        <f>IFERROR(VLOOKUP($B118, blitz!$G:$H, 2, FALSE), 0)</f>
        <v>21</v>
      </c>
      <c r="K118" t="b">
        <f t="shared" si="28"/>
        <v>1</v>
      </c>
      <c r="L118" t="str">
        <f>IFERROR(VLOOKUP($B118, aegis!$L:$M, 2, FALSE), 0)</f>
        <v>36</v>
      </c>
      <c r="M118" t="str">
        <f>IFERROR(VLOOKUP($B118, duel!$L:$M, 2, FALSE), 0)</f>
        <v>36</v>
      </c>
      <c r="N118" t="str">
        <f>IFERROR(VLOOKUP($B118, blitz!$L:$M, 2, FALSE), 0)</f>
        <v>36</v>
      </c>
      <c r="O118" t="b">
        <f t="shared" si="29"/>
        <v>1</v>
      </c>
      <c r="P118" t="str">
        <f>IFERROR(VLOOKUP($B118, aegis!$Q:$R, 2, FALSE), 0)</f>
        <v>21</v>
      </c>
      <c r="Q118" t="str">
        <f>IFERROR(VLOOKUP($B118, duel!$Q:$R, 2, FALSE), 0)</f>
        <v>21</v>
      </c>
      <c r="R118" t="str">
        <f>IFERROR(VLOOKUP($B118, blitz!$Q:$R, 2, FALSE), 0)</f>
        <v>21</v>
      </c>
      <c r="S118" t="b">
        <f t="shared" si="30"/>
        <v>1</v>
      </c>
      <c r="T118">
        <f>IFERROR(VLOOKUP($B118, aegis!$V:$W, 2, FALSE), 0)</f>
        <v>0</v>
      </c>
      <c r="U118">
        <f>IFERROR(VLOOKUP($B118, duel!$V:$W, 2, FALSE), 0)</f>
        <v>0</v>
      </c>
      <c r="V118">
        <f>IFERROR(VLOOKUP($B118, blitz!$V:$W, 2, FALSE), 0)</f>
        <v>0</v>
      </c>
      <c r="W118" t="b">
        <f t="shared" si="31"/>
        <v>1</v>
      </c>
      <c r="X118" t="str">
        <f>IFERROR(VLOOKUP($B118, aegis!$AA:$AB, 2, FALSE), 0)</f>
        <v>3</v>
      </c>
      <c r="Y118" t="str">
        <f>IFERROR(VLOOKUP($B118, duel!$AA:$AB, 2, FALSE), 0)</f>
        <v>3</v>
      </c>
      <c r="Z118" t="str">
        <f>IFERROR(VLOOKUP($B118, blitz!$AA:$AB, 2, FALSE), 0)</f>
        <v>3</v>
      </c>
      <c r="AA118" t="b">
        <f t="shared" si="32"/>
        <v>1</v>
      </c>
      <c r="AB118" t="str">
        <f>IFERROR(VLOOKUP($B118, aegis!$AF:$AG, 2, FALSE), 0)</f>
        <v>222</v>
      </c>
      <c r="AC118" t="str">
        <f>IFERROR(VLOOKUP($B118, duel!$AF:$AG, 2, FALSE), 0)</f>
        <v>222</v>
      </c>
      <c r="AD118" t="str">
        <f>IFERROR(VLOOKUP($B118, blitz!$AF:$AG, 2, FALSE), 0)</f>
        <v>222</v>
      </c>
      <c r="AE118" t="b">
        <f t="shared" si="33"/>
        <v>1</v>
      </c>
      <c r="AF118" t="str">
        <f>IFERROR(VLOOKUP($B118, aegis!$AK:$AL, 2, FALSE), 0)</f>
        <v>4</v>
      </c>
      <c r="AG118" t="str">
        <f>IFERROR(VLOOKUP($B118, duel!$AK:$AL, 2, FALSE), 0)</f>
        <v>1</v>
      </c>
      <c r="AH118" t="str">
        <f>IFERROR(VLOOKUP($B118, blitz!$AK:$AL, 2, FALSE), 0)</f>
        <v>1</v>
      </c>
      <c r="AI118" t="b">
        <f t="shared" si="34"/>
        <v>0</v>
      </c>
      <c r="AJ118" t="str">
        <f>IFERROR(VLOOKUP($B118, aegis!$AP:$AQ, 2, FALSE), 0)</f>
        <v>2</v>
      </c>
      <c r="AK118" t="str">
        <f>IFERROR(VLOOKUP($B118, duel!$AP:$AQ, 2, FALSE), 0)</f>
        <v>2</v>
      </c>
      <c r="AL118" t="str">
        <f>IFERROR(VLOOKUP($B118, blitz!$AP:$AQ, 2, FALSE), 0)</f>
        <v>2</v>
      </c>
      <c r="AM118" t="b">
        <f t="shared" si="35"/>
        <v>1</v>
      </c>
      <c r="AN118">
        <f>IFERROR(VLOOKUP($B118, aegis!$AU:$AV, 2, FALSE), 0)</f>
        <v>0</v>
      </c>
      <c r="AO118">
        <f>IFERROR(VLOOKUP($B118, duel!$AU:$AV, 2, FALSE), 0)</f>
        <v>0</v>
      </c>
      <c r="AP118">
        <f>IFERROR(VLOOKUP($B118, blitz!$AU:$AV, 2, FALSE), 0)</f>
        <v>0</v>
      </c>
      <c r="AQ118" t="b">
        <f t="shared" si="36"/>
        <v>1</v>
      </c>
      <c r="AR118" t="str">
        <f>IFERROR(VLOOKUP($B118, aegis!$AZ:$BA, 2, FALSE), 0)</f>
        <v>3</v>
      </c>
      <c r="AS118" t="str">
        <f>IFERROR(VLOOKUP($B118, duel!$AZ:$BA, 2, FALSE), 0)</f>
        <v>3</v>
      </c>
      <c r="AT118" t="str">
        <f>IFERROR(VLOOKUP($B118, blitz!$AZ:$BA, 2, FALSE), 0)</f>
        <v>3</v>
      </c>
      <c r="AU118" t="b">
        <f t="shared" si="37"/>
        <v>1</v>
      </c>
      <c r="AV118" t="str">
        <f>IFERROR(VLOOKUP($B118, aegis!$BE:$BF, 2, FALSE), 0)</f>
        <v>2</v>
      </c>
      <c r="AW118" t="str">
        <f>IFERROR(VLOOKUP($B118, duel!$BE:$BF, 2, FALSE), 0)</f>
        <v>2</v>
      </c>
      <c r="AX118" t="str">
        <f>IFERROR(VLOOKUP($B118, blitz!$BE:$BF, 2, FALSE), 0)</f>
        <v>2</v>
      </c>
      <c r="AY118" t="b">
        <f t="shared" si="38"/>
        <v>1</v>
      </c>
      <c r="AZ118" t="str">
        <f>IFERROR(VLOOKUP($B118, aegis!$BJ:$BK, 2, FALSE), 0)</f>
        <v>1</v>
      </c>
      <c r="BA118" t="str">
        <f>IFERROR(VLOOKUP($B118, duel!$BJ:$BK, 2, FALSE), 0)</f>
        <v>1</v>
      </c>
      <c r="BB118" t="str">
        <f>IFERROR(VLOOKUP($B118, blitz!$BJ:$BK, 2, FALSE), 0)</f>
        <v>1</v>
      </c>
      <c r="BC118" t="b">
        <f t="shared" si="39"/>
        <v>1</v>
      </c>
      <c r="BD118">
        <f>IFERROR(VLOOKUP($B118, aegis!$BO:$BP, 2, FALSE), 0)</f>
        <v>0</v>
      </c>
      <c r="BE118">
        <f>IFERROR(VLOOKUP($B118, duel!$BO:$BP, 2, FALSE), 0)</f>
        <v>0</v>
      </c>
      <c r="BF118">
        <f>IFERROR(VLOOKUP($B118, blitz!$BO:$BP, 2, FALSE), 0)</f>
        <v>0</v>
      </c>
      <c r="BG118" t="b">
        <f t="shared" si="40"/>
        <v>1</v>
      </c>
      <c r="BH118" t="str">
        <f>IFERROR(VLOOKUP($B118, aegis!$BT:$BU, 2, FALSE), 0)</f>
        <v>60</v>
      </c>
      <c r="BI118" t="str">
        <f>IFERROR(VLOOKUP($B118, duel!$BT:$BU, 2, FALSE), 0)</f>
        <v>60</v>
      </c>
      <c r="BJ118" t="str">
        <f>IFERROR(VLOOKUP($B118, blitz!$BT:$BU, 2, FALSE), 0)</f>
        <v>60</v>
      </c>
      <c r="BK118" t="b">
        <f t="shared" si="41"/>
        <v>1</v>
      </c>
      <c r="BL118" t="str">
        <f>IFERROR(VLOOKUP($B118, aegis!$BY:$BZ, 2, FALSE), 0)</f>
        <v>2</v>
      </c>
      <c r="BM118" t="str">
        <f>IFERROR(VLOOKUP($B118, duel!$BY:$BZ, 2, FALSE), 0)</f>
        <v>2</v>
      </c>
      <c r="BN118" t="str">
        <f>IFERROR(VLOOKUP($B118, blitz!$BY:$BZ, 2, FALSE), 0)</f>
        <v>2</v>
      </c>
      <c r="BO118" t="b">
        <f t="shared" si="42"/>
        <v>1</v>
      </c>
      <c r="BP118" t="str">
        <f>IFERROR(VLOOKUP($B118, aegis!$CD:$CE, 2, FALSE), 0)</f>
        <v>5</v>
      </c>
      <c r="BQ118" t="str">
        <f>IFERROR(VLOOKUP($B118, duel!$CD:$CE, 2, FALSE), 0)</f>
        <v>5</v>
      </c>
      <c r="BR118" t="str">
        <f>IFERROR(VLOOKUP($B118, blitz!$CD:$CE, 2, FALSE), 0)</f>
        <v>5</v>
      </c>
      <c r="BS118" t="b">
        <f t="shared" si="43"/>
        <v>1</v>
      </c>
      <c r="BT118">
        <f>IFERROR(VLOOKUP($B118, aegis!$CI:$CJ, 2, FALSE), 0)</f>
        <v>0</v>
      </c>
      <c r="BU118">
        <f>IFERROR(VLOOKUP($B118, duel!$CI:$CJ, 2, FALSE), 0)</f>
        <v>0</v>
      </c>
      <c r="BV118">
        <f>IFERROR(VLOOKUP($B118, blitz!$CI:$CJ, 2, FALSE), 0)</f>
        <v>0</v>
      </c>
      <c r="BW118" t="b">
        <f t="shared" si="44"/>
        <v>1</v>
      </c>
      <c r="BX118">
        <f>IFERROR(VLOOKUP($B118, aegis!$CN:$CO, 2, FALSE), 0)</f>
        <v>0</v>
      </c>
      <c r="BY118">
        <f>IFERROR(VLOOKUP($B118, duel!$CN:$CO, 2, FALSE), 0)</f>
        <v>0</v>
      </c>
      <c r="BZ118">
        <f>IFERROR(VLOOKUP($B118, blitz!$CN:$CO, 2, FALSE), 0)</f>
        <v>0</v>
      </c>
      <c r="CA118" t="b">
        <f t="shared" si="45"/>
        <v>1</v>
      </c>
      <c r="CB118">
        <f>IFERROR(VLOOKUP($B118, aegis!$CS:$CT, 2, FALSE), 0)</f>
        <v>0</v>
      </c>
      <c r="CC118">
        <f>IFERROR(VLOOKUP($B118, duel!$CS:$CT, 2, FALSE), 0)</f>
        <v>0</v>
      </c>
      <c r="CD118">
        <f>IFERROR(VLOOKUP($B118, blitz!$CS:$CT, 2, FALSE), 0)</f>
        <v>0</v>
      </c>
      <c r="CE118" t="b">
        <f t="shared" si="46"/>
        <v>1</v>
      </c>
      <c r="CF118" t="str">
        <f>IFERROR(VLOOKUP($B118, aegis!$CX:$CY, 2, FALSE), 0)</f>
        <v>8223</v>
      </c>
      <c r="CG118" t="str">
        <f>IFERROR(VLOOKUP($B118, duel!$CX:$CY, 2, FALSE), 0)</f>
        <v>8223</v>
      </c>
      <c r="CH118" t="str">
        <f>IFERROR(VLOOKUP($B118, blitz!$CX:$CY, 2, FALSE), 0)</f>
        <v>8221</v>
      </c>
      <c r="CI118" t="b">
        <f t="shared" si="47"/>
        <v>0</v>
      </c>
      <c r="CJ118" t="str">
        <f>IFERROR(VLOOKUP($B118, aegis!$DC:$DD, 2, FALSE), 0)</f>
        <v>1</v>
      </c>
      <c r="CK118" t="str">
        <f>IFERROR(VLOOKUP($B118, duel!$DC:$DD, 2, FALSE), 0)</f>
        <v>1</v>
      </c>
      <c r="CL118" t="str">
        <f>IFERROR(VLOOKUP($B118, blitz!$DC:$DD, 2, FALSE), 0)</f>
        <v>1</v>
      </c>
      <c r="CM118" t="b">
        <f t="shared" si="48"/>
        <v>1</v>
      </c>
      <c r="CN118" t="str">
        <f>IFERROR(VLOOKUP($B118, aegis!$DH:$DI, 2, FALSE), 0)</f>
        <v>2</v>
      </c>
      <c r="CO118" t="str">
        <f>IFERROR(VLOOKUP($B118, duel!$DH:$DI, 2, FALSE), 0)</f>
        <v>2</v>
      </c>
      <c r="CP118" s="13">
        <f>IFERROR(VLOOKUP($B118, blitz!$DH:$DI, 2, FALSE), 0)</f>
        <v>0</v>
      </c>
      <c r="CQ118" t="b">
        <f t="shared" si="49"/>
        <v>1</v>
      </c>
      <c r="CR118" t="str">
        <f>IFERROR(VLOOKUP($B118, aegis!$DM:$DN, 2, FALSE), 0)</f>
        <v>2</v>
      </c>
      <c r="CS118" t="str">
        <f>IFERROR(VLOOKUP($B118, duel!$DM:$DN, 2, FALSE), 0)</f>
        <v>2</v>
      </c>
      <c r="CT118" t="str">
        <f>IFERROR(VLOOKUP($B118, blitz!$DM:$DN, 2, FALSE), 0)</f>
        <v>2</v>
      </c>
      <c r="CU118" t="b">
        <f t="shared" si="50"/>
        <v>1</v>
      </c>
      <c r="CV118" t="str">
        <f>IFERROR(VLOOKUP($B118, aegis!$DR:$DS, 2, FALSE), 0)</f>
        <v>222</v>
      </c>
      <c r="CW118" t="str">
        <f>IFERROR(VLOOKUP($B118, duel!$DR:$DS, 2, FALSE), 0)</f>
        <v>222</v>
      </c>
      <c r="CX118" t="str">
        <f>IFERROR(VLOOKUP($B118, blitz!$DR:$DS, 2, FALSE), 0)</f>
        <v>222</v>
      </c>
      <c r="CY118" t="b">
        <f t="shared" si="51"/>
        <v>1</v>
      </c>
    </row>
    <row r="119" spans="1:103">
      <c r="A119" t="s">
        <v>1733</v>
      </c>
      <c r="B119" s="6" t="s">
        <v>220</v>
      </c>
      <c r="C119" s="5" t="b">
        <f t="shared" si="26"/>
        <v>0</v>
      </c>
      <c r="D119" t="str">
        <f>IFERROR(VLOOKUP($B119, aegis!$B:$C, 2, FALSE), 0)</f>
        <v>24</v>
      </c>
      <c r="E119" t="str">
        <f>IFERROR(VLOOKUP($B119, duel!$B:$C, 2, FALSE), 0)</f>
        <v>24</v>
      </c>
      <c r="F119" t="str">
        <f>IFERROR(VLOOKUP($B119, blitz!$B:$C, 2, FALSE), 0)</f>
        <v>24</v>
      </c>
      <c r="G119" t="b">
        <f t="shared" si="27"/>
        <v>1</v>
      </c>
      <c r="H119" t="str">
        <f>IFERROR(VLOOKUP($B119, aegis!$G:$H, 2, FALSE), 0)</f>
        <v>14</v>
      </c>
      <c r="I119" t="str">
        <f>IFERROR(VLOOKUP($B119, duel!$G:$H, 2, FALSE), 0)</f>
        <v>14</v>
      </c>
      <c r="J119" t="str">
        <f>IFERROR(VLOOKUP($B119, blitz!$G:$H, 2, FALSE), 0)</f>
        <v>14</v>
      </c>
      <c r="K119" t="b">
        <f t="shared" si="28"/>
        <v>1</v>
      </c>
      <c r="L119" t="str">
        <f>IFERROR(VLOOKUP($B119, aegis!$L:$M, 2, FALSE), 0)</f>
        <v>24</v>
      </c>
      <c r="M119" t="str">
        <f>IFERROR(VLOOKUP($B119, duel!$L:$M, 2, FALSE), 0)</f>
        <v>24</v>
      </c>
      <c r="N119" t="str">
        <f>IFERROR(VLOOKUP($B119, blitz!$L:$M, 2, FALSE), 0)</f>
        <v>24</v>
      </c>
      <c r="O119" t="b">
        <f t="shared" si="29"/>
        <v>1</v>
      </c>
      <c r="P119" t="str">
        <f>IFERROR(VLOOKUP($B119, aegis!$Q:$R, 2, FALSE), 0)</f>
        <v>14</v>
      </c>
      <c r="Q119" t="str">
        <f>IFERROR(VLOOKUP($B119, duel!$Q:$R, 2, FALSE), 0)</f>
        <v>14</v>
      </c>
      <c r="R119" t="str">
        <f>IFERROR(VLOOKUP($B119, blitz!$Q:$R, 2, FALSE), 0)</f>
        <v>14</v>
      </c>
      <c r="S119" t="b">
        <f t="shared" si="30"/>
        <v>1</v>
      </c>
      <c r="T119">
        <f>IFERROR(VLOOKUP($B119, aegis!$V:$W, 2, FALSE), 0)</f>
        <v>0</v>
      </c>
      <c r="U119">
        <f>IFERROR(VLOOKUP($B119, duel!$V:$W, 2, FALSE), 0)</f>
        <v>0</v>
      </c>
      <c r="V119">
        <f>IFERROR(VLOOKUP($B119, blitz!$V:$W, 2, FALSE), 0)</f>
        <v>0</v>
      </c>
      <c r="W119" t="b">
        <f t="shared" si="31"/>
        <v>1</v>
      </c>
      <c r="X119" t="str">
        <f>IFERROR(VLOOKUP($B119, aegis!$AA:$AB, 2, FALSE), 0)</f>
        <v>2</v>
      </c>
      <c r="Y119" t="str">
        <f>IFERROR(VLOOKUP($B119, duel!$AA:$AB, 2, FALSE), 0)</f>
        <v>2</v>
      </c>
      <c r="Z119" t="str">
        <f>IFERROR(VLOOKUP($B119, blitz!$AA:$AB, 2, FALSE), 0)</f>
        <v>2</v>
      </c>
      <c r="AA119" t="b">
        <f t="shared" si="32"/>
        <v>1</v>
      </c>
      <c r="AB119" t="str">
        <f>IFERROR(VLOOKUP($B119, aegis!$AF:$AG, 2, FALSE), 0)</f>
        <v>52</v>
      </c>
      <c r="AC119" t="str">
        <f>IFERROR(VLOOKUP($B119, duel!$AF:$AG, 2, FALSE), 0)</f>
        <v>52</v>
      </c>
      <c r="AD119" t="str">
        <f>IFERROR(VLOOKUP($B119, blitz!$AF:$AG, 2, FALSE), 0)</f>
        <v>52</v>
      </c>
      <c r="AE119" t="b">
        <f t="shared" si="33"/>
        <v>1</v>
      </c>
      <c r="AF119" t="str">
        <f>IFERROR(VLOOKUP($B119, aegis!$AK:$AL, 2, FALSE), 0)</f>
        <v>3</v>
      </c>
      <c r="AG119" t="str">
        <f>IFERROR(VLOOKUP($B119, duel!$AK:$AL, 2, FALSE), 0)</f>
        <v>1</v>
      </c>
      <c r="AH119" t="str">
        <f>IFERROR(VLOOKUP($B119, blitz!$AK:$AL, 2, FALSE), 0)</f>
        <v>1</v>
      </c>
      <c r="AI119" t="b">
        <f t="shared" si="34"/>
        <v>0</v>
      </c>
      <c r="AJ119" t="str">
        <f>IFERROR(VLOOKUP($B119, aegis!$AP:$AQ, 2, FALSE), 0)</f>
        <v>1</v>
      </c>
      <c r="AK119" t="str">
        <f>IFERROR(VLOOKUP($B119, duel!$AP:$AQ, 2, FALSE), 0)</f>
        <v>1</v>
      </c>
      <c r="AL119" t="str">
        <f>IFERROR(VLOOKUP($B119, blitz!$AP:$AQ, 2, FALSE), 0)</f>
        <v>1</v>
      </c>
      <c r="AM119" t="b">
        <f t="shared" si="35"/>
        <v>1</v>
      </c>
      <c r="AN119">
        <f>IFERROR(VLOOKUP($B119, aegis!$AU:$AV, 2, FALSE), 0)</f>
        <v>0</v>
      </c>
      <c r="AO119">
        <f>IFERROR(VLOOKUP($B119, duel!$AU:$AV, 2, FALSE), 0)</f>
        <v>0</v>
      </c>
      <c r="AP119">
        <f>IFERROR(VLOOKUP($B119, blitz!$AU:$AV, 2, FALSE), 0)</f>
        <v>0</v>
      </c>
      <c r="AQ119" t="b">
        <f t="shared" si="36"/>
        <v>1</v>
      </c>
      <c r="AR119" t="str">
        <f>IFERROR(VLOOKUP($B119, aegis!$AZ:$BA, 2, FALSE), 0)</f>
        <v>2</v>
      </c>
      <c r="AS119" t="str">
        <f>IFERROR(VLOOKUP($B119, duel!$AZ:$BA, 2, FALSE), 0)</f>
        <v>2</v>
      </c>
      <c r="AT119" t="str">
        <f>IFERROR(VLOOKUP($B119, blitz!$AZ:$BA, 2, FALSE), 0)</f>
        <v>2</v>
      </c>
      <c r="AU119" t="b">
        <f t="shared" si="37"/>
        <v>1</v>
      </c>
      <c r="AV119" t="str">
        <f>IFERROR(VLOOKUP($B119, aegis!$BE:$BF, 2, FALSE), 0)</f>
        <v>1</v>
      </c>
      <c r="AW119" t="str">
        <f>IFERROR(VLOOKUP($B119, duel!$BE:$BF, 2, FALSE), 0)</f>
        <v>1</v>
      </c>
      <c r="AX119" t="str">
        <f>IFERROR(VLOOKUP($B119, blitz!$BE:$BF, 2, FALSE), 0)</f>
        <v>1</v>
      </c>
      <c r="AY119" t="b">
        <f t="shared" si="38"/>
        <v>1</v>
      </c>
      <c r="AZ119" t="str">
        <f>IFERROR(VLOOKUP($B119, aegis!$BJ:$BK, 2, FALSE), 0)</f>
        <v>1</v>
      </c>
      <c r="BA119" t="str">
        <f>IFERROR(VLOOKUP($B119, duel!$BJ:$BK, 2, FALSE), 0)</f>
        <v>1</v>
      </c>
      <c r="BB119" t="str">
        <f>IFERROR(VLOOKUP($B119, blitz!$BJ:$BK, 2, FALSE), 0)</f>
        <v>1</v>
      </c>
      <c r="BC119" t="b">
        <f t="shared" si="39"/>
        <v>1</v>
      </c>
      <c r="BD119">
        <f>IFERROR(VLOOKUP($B119, aegis!$BO:$BP, 2, FALSE), 0)</f>
        <v>0</v>
      </c>
      <c r="BE119">
        <f>IFERROR(VLOOKUP($B119, duel!$BO:$BP, 2, FALSE), 0)</f>
        <v>0</v>
      </c>
      <c r="BF119">
        <f>IFERROR(VLOOKUP($B119, blitz!$BO:$BP, 2, FALSE), 0)</f>
        <v>0</v>
      </c>
      <c r="BG119" t="b">
        <f t="shared" si="40"/>
        <v>1</v>
      </c>
      <c r="BH119" t="str">
        <f>IFERROR(VLOOKUP($B119, aegis!$BT:$BU, 2, FALSE), 0)</f>
        <v>22</v>
      </c>
      <c r="BI119" t="str">
        <f>IFERROR(VLOOKUP($B119, duel!$BT:$BU, 2, FALSE), 0)</f>
        <v>22</v>
      </c>
      <c r="BJ119" t="str">
        <f>IFERROR(VLOOKUP($B119, blitz!$BT:$BU, 2, FALSE), 0)</f>
        <v>22</v>
      </c>
      <c r="BK119" t="b">
        <f t="shared" si="41"/>
        <v>1</v>
      </c>
      <c r="BL119" t="str">
        <f>IFERROR(VLOOKUP($B119, aegis!$BY:$BZ, 2, FALSE), 0)</f>
        <v>1</v>
      </c>
      <c r="BM119" t="str">
        <f>IFERROR(VLOOKUP($B119, duel!$BY:$BZ, 2, FALSE), 0)</f>
        <v>1</v>
      </c>
      <c r="BN119" t="str">
        <f>IFERROR(VLOOKUP($B119, blitz!$BY:$BZ, 2, FALSE), 0)</f>
        <v>1</v>
      </c>
      <c r="BO119" t="b">
        <f t="shared" si="42"/>
        <v>1</v>
      </c>
      <c r="BP119" t="str">
        <f>IFERROR(VLOOKUP($B119, aegis!$CD:$CE, 2, FALSE), 0)</f>
        <v>3</v>
      </c>
      <c r="BQ119" t="str">
        <f>IFERROR(VLOOKUP($B119, duel!$CD:$CE, 2, FALSE), 0)</f>
        <v>3</v>
      </c>
      <c r="BR119" t="str">
        <f>IFERROR(VLOOKUP($B119, blitz!$CD:$CE, 2, FALSE), 0)</f>
        <v>3</v>
      </c>
      <c r="BS119" t="b">
        <f t="shared" si="43"/>
        <v>1</v>
      </c>
      <c r="BT119">
        <f>IFERROR(VLOOKUP($B119, aegis!$CI:$CJ, 2, FALSE), 0)</f>
        <v>0</v>
      </c>
      <c r="BU119">
        <f>IFERROR(VLOOKUP($B119, duel!$CI:$CJ, 2, FALSE), 0)</f>
        <v>0</v>
      </c>
      <c r="BV119">
        <f>IFERROR(VLOOKUP($B119, blitz!$CI:$CJ, 2, FALSE), 0)</f>
        <v>0</v>
      </c>
      <c r="BW119" t="b">
        <f t="shared" si="44"/>
        <v>1</v>
      </c>
      <c r="BX119">
        <f>IFERROR(VLOOKUP($B119, aegis!$CN:$CO, 2, FALSE), 0)</f>
        <v>0</v>
      </c>
      <c r="BY119">
        <f>IFERROR(VLOOKUP($B119, duel!$CN:$CO, 2, FALSE), 0)</f>
        <v>0</v>
      </c>
      <c r="BZ119">
        <f>IFERROR(VLOOKUP($B119, blitz!$CN:$CO, 2, FALSE), 0)</f>
        <v>0</v>
      </c>
      <c r="CA119" t="b">
        <f t="shared" si="45"/>
        <v>1</v>
      </c>
      <c r="CB119">
        <f>IFERROR(VLOOKUP($B119, aegis!$CS:$CT, 2, FALSE), 0)</f>
        <v>0</v>
      </c>
      <c r="CC119">
        <f>IFERROR(VLOOKUP($B119, duel!$CS:$CT, 2, FALSE), 0)</f>
        <v>0</v>
      </c>
      <c r="CD119">
        <f>IFERROR(VLOOKUP($B119, blitz!$CS:$CT, 2, FALSE), 0)</f>
        <v>0</v>
      </c>
      <c r="CE119" t="b">
        <f t="shared" si="46"/>
        <v>1</v>
      </c>
      <c r="CF119" t="str">
        <f>IFERROR(VLOOKUP($B119, aegis!$CX:$CY, 2, FALSE), 0)</f>
        <v>2939</v>
      </c>
      <c r="CG119" t="str">
        <f>IFERROR(VLOOKUP($B119, duel!$CX:$CY, 2, FALSE), 0)</f>
        <v>2937</v>
      </c>
      <c r="CH119" t="str">
        <f>IFERROR(VLOOKUP($B119, blitz!$CX:$CY, 2, FALSE), 0)</f>
        <v>2939</v>
      </c>
      <c r="CI119" t="b">
        <f t="shared" si="47"/>
        <v>0</v>
      </c>
      <c r="CJ119" t="str">
        <f>IFERROR(VLOOKUP($B119, aegis!$DC:$DD, 2, FALSE), 0)</f>
        <v>1</v>
      </c>
      <c r="CK119" t="str">
        <f>IFERROR(VLOOKUP($B119, duel!$DC:$DD, 2, FALSE), 0)</f>
        <v>1</v>
      </c>
      <c r="CL119" t="str">
        <f>IFERROR(VLOOKUP($B119, blitz!$DC:$DD, 2, FALSE), 0)</f>
        <v>1</v>
      </c>
      <c r="CM119" t="b">
        <f t="shared" si="48"/>
        <v>1</v>
      </c>
      <c r="CN119" t="str">
        <f>IFERROR(VLOOKUP($B119, aegis!$DH:$DI, 2, FALSE), 0)</f>
        <v>1</v>
      </c>
      <c r="CO119" t="str">
        <f>IFERROR(VLOOKUP($B119, duel!$DH:$DI, 2, FALSE), 0)</f>
        <v>1</v>
      </c>
      <c r="CP119" s="13">
        <f>IFERROR(VLOOKUP($B119, blitz!$DH:$DI, 2, FALSE), 0)</f>
        <v>0</v>
      </c>
      <c r="CQ119" t="b">
        <f t="shared" si="49"/>
        <v>1</v>
      </c>
      <c r="CR119" t="str">
        <f>IFERROR(VLOOKUP($B119, aegis!$DM:$DN, 2, FALSE), 0)</f>
        <v>1</v>
      </c>
      <c r="CS119" t="str">
        <f>IFERROR(VLOOKUP($B119, duel!$DM:$DN, 2, FALSE), 0)</f>
        <v>1</v>
      </c>
      <c r="CT119" t="str">
        <f>IFERROR(VLOOKUP($B119, blitz!$DM:$DN, 2, FALSE), 0)</f>
        <v>1</v>
      </c>
      <c r="CU119" t="b">
        <f t="shared" si="50"/>
        <v>1</v>
      </c>
      <c r="CV119" t="str">
        <f>IFERROR(VLOOKUP($B119, aegis!$DR:$DS, 2, FALSE), 0)</f>
        <v>52</v>
      </c>
      <c r="CW119" t="str">
        <f>IFERROR(VLOOKUP($B119, duel!$DR:$DS, 2, FALSE), 0)</f>
        <v>52</v>
      </c>
      <c r="CX119" t="str">
        <f>IFERROR(VLOOKUP($B119, blitz!$DR:$DS, 2, FALSE), 0)</f>
        <v>52</v>
      </c>
      <c r="CY119" t="b">
        <f t="shared" si="51"/>
        <v>1</v>
      </c>
    </row>
    <row r="120" spans="1:103">
      <c r="B120" s="6" t="s">
        <v>222</v>
      </c>
      <c r="C120" s="5" t="b">
        <f t="shared" si="26"/>
        <v>0</v>
      </c>
      <c r="D120" t="str">
        <f>IFERROR(VLOOKUP($B120, aegis!$B:$C, 2, FALSE), 0)</f>
        <v>24</v>
      </c>
      <c r="E120" t="str">
        <f>IFERROR(VLOOKUP($B120, duel!$B:$C, 2, FALSE), 0)</f>
        <v>24</v>
      </c>
      <c r="F120" t="str">
        <f>IFERROR(VLOOKUP($B120, blitz!$B:$C, 2, FALSE), 0)</f>
        <v>24</v>
      </c>
      <c r="G120" t="b">
        <f t="shared" si="27"/>
        <v>1</v>
      </c>
      <c r="H120" t="str">
        <f>IFERROR(VLOOKUP($B120, aegis!$G:$H, 2, FALSE), 0)</f>
        <v>14</v>
      </c>
      <c r="I120" t="str">
        <f>IFERROR(VLOOKUP($B120, duel!$G:$H, 2, FALSE), 0)</f>
        <v>14</v>
      </c>
      <c r="J120" t="str">
        <f>IFERROR(VLOOKUP($B120, blitz!$G:$H, 2, FALSE), 0)</f>
        <v>14</v>
      </c>
      <c r="K120" t="b">
        <f t="shared" si="28"/>
        <v>1</v>
      </c>
      <c r="L120" t="str">
        <f>IFERROR(VLOOKUP($B120, aegis!$L:$M, 2, FALSE), 0)</f>
        <v>24</v>
      </c>
      <c r="M120" t="str">
        <f>IFERROR(VLOOKUP($B120, duel!$L:$M, 2, FALSE), 0)</f>
        <v>24</v>
      </c>
      <c r="N120" t="str">
        <f>IFERROR(VLOOKUP($B120, blitz!$L:$M, 2, FALSE), 0)</f>
        <v>24</v>
      </c>
      <c r="O120" t="b">
        <f t="shared" si="29"/>
        <v>1</v>
      </c>
      <c r="P120" t="str">
        <f>IFERROR(VLOOKUP($B120, aegis!$Q:$R, 2, FALSE), 0)</f>
        <v>14</v>
      </c>
      <c r="Q120" t="str">
        <f>IFERROR(VLOOKUP($B120, duel!$Q:$R, 2, FALSE), 0)</f>
        <v>14</v>
      </c>
      <c r="R120" t="str">
        <f>IFERROR(VLOOKUP($B120, blitz!$Q:$R, 2, FALSE), 0)</f>
        <v>14</v>
      </c>
      <c r="S120" t="b">
        <f t="shared" si="30"/>
        <v>1</v>
      </c>
      <c r="T120">
        <f>IFERROR(VLOOKUP($B120, aegis!$V:$W, 2, FALSE), 0)</f>
        <v>0</v>
      </c>
      <c r="U120">
        <f>IFERROR(VLOOKUP($B120, duel!$V:$W, 2, FALSE), 0)</f>
        <v>0</v>
      </c>
      <c r="V120">
        <f>IFERROR(VLOOKUP($B120, blitz!$V:$W, 2, FALSE), 0)</f>
        <v>0</v>
      </c>
      <c r="W120" t="b">
        <f t="shared" si="31"/>
        <v>1</v>
      </c>
      <c r="X120" t="str">
        <f>IFERROR(VLOOKUP($B120, aegis!$AA:$AB, 2, FALSE), 0)</f>
        <v>2</v>
      </c>
      <c r="Y120" t="str">
        <f>IFERROR(VLOOKUP($B120, duel!$AA:$AB, 2, FALSE), 0)</f>
        <v>2</v>
      </c>
      <c r="Z120" t="str">
        <f>IFERROR(VLOOKUP($B120, blitz!$AA:$AB, 2, FALSE), 0)</f>
        <v>2</v>
      </c>
      <c r="AA120" t="b">
        <f t="shared" si="32"/>
        <v>1</v>
      </c>
      <c r="AB120" t="str">
        <f>IFERROR(VLOOKUP($B120, aegis!$AF:$AG, 2, FALSE), 0)</f>
        <v>45</v>
      </c>
      <c r="AC120" t="str">
        <f>IFERROR(VLOOKUP($B120, duel!$AF:$AG, 2, FALSE), 0)</f>
        <v>45</v>
      </c>
      <c r="AD120" t="str">
        <f>IFERROR(VLOOKUP($B120, blitz!$AF:$AG, 2, FALSE), 0)</f>
        <v>45</v>
      </c>
      <c r="AE120" t="b">
        <f t="shared" si="33"/>
        <v>1</v>
      </c>
      <c r="AF120" t="str">
        <f>IFERROR(VLOOKUP($B120, aegis!$AK:$AL, 2, FALSE), 0)</f>
        <v>3</v>
      </c>
      <c r="AG120" t="str">
        <f>IFERROR(VLOOKUP($B120, duel!$AK:$AL, 2, FALSE), 0)</f>
        <v>1</v>
      </c>
      <c r="AH120" t="str">
        <f>IFERROR(VLOOKUP($B120, blitz!$AK:$AL, 2, FALSE), 0)</f>
        <v>1</v>
      </c>
      <c r="AI120" t="b">
        <f t="shared" si="34"/>
        <v>0</v>
      </c>
      <c r="AJ120" t="str">
        <f>IFERROR(VLOOKUP($B120, aegis!$AP:$AQ, 2, FALSE), 0)</f>
        <v>1</v>
      </c>
      <c r="AK120" t="str">
        <f>IFERROR(VLOOKUP($B120, duel!$AP:$AQ, 2, FALSE), 0)</f>
        <v>1</v>
      </c>
      <c r="AL120" t="str">
        <f>IFERROR(VLOOKUP($B120, blitz!$AP:$AQ, 2, FALSE), 0)</f>
        <v>1</v>
      </c>
      <c r="AM120" t="b">
        <f t="shared" si="35"/>
        <v>1</v>
      </c>
      <c r="AN120">
        <f>IFERROR(VLOOKUP($B120, aegis!$AU:$AV, 2, FALSE), 0)</f>
        <v>0</v>
      </c>
      <c r="AO120">
        <f>IFERROR(VLOOKUP($B120, duel!$AU:$AV, 2, FALSE), 0)</f>
        <v>0</v>
      </c>
      <c r="AP120">
        <f>IFERROR(VLOOKUP($B120, blitz!$AU:$AV, 2, FALSE), 0)</f>
        <v>0</v>
      </c>
      <c r="AQ120" t="b">
        <f t="shared" si="36"/>
        <v>1</v>
      </c>
      <c r="AR120" t="str">
        <f>IFERROR(VLOOKUP($B120, aegis!$AZ:$BA, 2, FALSE), 0)</f>
        <v>2</v>
      </c>
      <c r="AS120" t="str">
        <f>IFERROR(VLOOKUP($B120, duel!$AZ:$BA, 2, FALSE), 0)</f>
        <v>2</v>
      </c>
      <c r="AT120" t="str">
        <f>IFERROR(VLOOKUP($B120, blitz!$AZ:$BA, 2, FALSE), 0)</f>
        <v>2</v>
      </c>
      <c r="AU120" t="b">
        <f t="shared" si="37"/>
        <v>1</v>
      </c>
      <c r="AV120" t="str">
        <f>IFERROR(VLOOKUP($B120, aegis!$BE:$BF, 2, FALSE), 0)</f>
        <v>1</v>
      </c>
      <c r="AW120" t="str">
        <f>IFERROR(VLOOKUP($B120, duel!$BE:$BF, 2, FALSE), 0)</f>
        <v>1</v>
      </c>
      <c r="AX120" t="str">
        <f>IFERROR(VLOOKUP($B120, blitz!$BE:$BF, 2, FALSE), 0)</f>
        <v>1</v>
      </c>
      <c r="AY120" t="b">
        <f t="shared" si="38"/>
        <v>1</v>
      </c>
      <c r="AZ120" t="str">
        <f>IFERROR(VLOOKUP($B120, aegis!$BJ:$BK, 2, FALSE), 0)</f>
        <v>1</v>
      </c>
      <c r="BA120" t="str">
        <f>IFERROR(VLOOKUP($B120, duel!$BJ:$BK, 2, FALSE), 0)</f>
        <v>1</v>
      </c>
      <c r="BB120" t="str">
        <f>IFERROR(VLOOKUP($B120, blitz!$BJ:$BK, 2, FALSE), 0)</f>
        <v>1</v>
      </c>
      <c r="BC120" t="b">
        <f t="shared" si="39"/>
        <v>1</v>
      </c>
      <c r="BD120">
        <f>IFERROR(VLOOKUP($B120, aegis!$BO:$BP, 2, FALSE), 0)</f>
        <v>0</v>
      </c>
      <c r="BE120">
        <f>IFERROR(VLOOKUP($B120, duel!$BO:$BP, 2, FALSE), 0)</f>
        <v>0</v>
      </c>
      <c r="BF120">
        <f>IFERROR(VLOOKUP($B120, blitz!$BO:$BP, 2, FALSE), 0)</f>
        <v>0</v>
      </c>
      <c r="BG120" t="b">
        <f t="shared" si="40"/>
        <v>1</v>
      </c>
      <c r="BH120" t="str">
        <f>IFERROR(VLOOKUP($B120, aegis!$BT:$BU, 2, FALSE), 0)</f>
        <v>22</v>
      </c>
      <c r="BI120" t="str">
        <f>IFERROR(VLOOKUP($B120, duel!$BT:$BU, 2, FALSE), 0)</f>
        <v>22</v>
      </c>
      <c r="BJ120" t="str">
        <f>IFERROR(VLOOKUP($B120, blitz!$BT:$BU, 2, FALSE), 0)</f>
        <v>22</v>
      </c>
      <c r="BK120" t="b">
        <f t="shared" si="41"/>
        <v>1</v>
      </c>
      <c r="BL120" t="str">
        <f>IFERROR(VLOOKUP($B120, aegis!$BY:$BZ, 2, FALSE), 0)</f>
        <v>1</v>
      </c>
      <c r="BM120" t="str">
        <f>IFERROR(VLOOKUP($B120, duel!$BY:$BZ, 2, FALSE), 0)</f>
        <v>1</v>
      </c>
      <c r="BN120" t="str">
        <f>IFERROR(VLOOKUP($B120, blitz!$BY:$BZ, 2, FALSE), 0)</f>
        <v>1</v>
      </c>
      <c r="BO120" t="b">
        <f t="shared" si="42"/>
        <v>1</v>
      </c>
      <c r="BP120" t="str">
        <f>IFERROR(VLOOKUP($B120, aegis!$CD:$CE, 2, FALSE), 0)</f>
        <v>3</v>
      </c>
      <c r="BQ120" t="str">
        <f>IFERROR(VLOOKUP($B120, duel!$CD:$CE, 2, FALSE), 0)</f>
        <v>3</v>
      </c>
      <c r="BR120" t="str">
        <f>IFERROR(VLOOKUP($B120, blitz!$CD:$CE, 2, FALSE), 0)</f>
        <v>3</v>
      </c>
      <c r="BS120" t="b">
        <f t="shared" si="43"/>
        <v>1</v>
      </c>
      <c r="BT120">
        <f>IFERROR(VLOOKUP($B120, aegis!$CI:$CJ, 2, FALSE), 0)</f>
        <v>0</v>
      </c>
      <c r="BU120">
        <f>IFERROR(VLOOKUP($B120, duel!$CI:$CJ, 2, FALSE), 0)</f>
        <v>0</v>
      </c>
      <c r="BV120">
        <f>IFERROR(VLOOKUP($B120, blitz!$CI:$CJ, 2, FALSE), 0)</f>
        <v>0</v>
      </c>
      <c r="BW120" t="b">
        <f t="shared" si="44"/>
        <v>1</v>
      </c>
      <c r="BX120">
        <f>IFERROR(VLOOKUP($B120, aegis!$CN:$CO, 2, FALSE), 0)</f>
        <v>0</v>
      </c>
      <c r="BY120">
        <f>IFERROR(VLOOKUP($B120, duel!$CN:$CO, 2, FALSE), 0)</f>
        <v>0</v>
      </c>
      <c r="BZ120">
        <f>IFERROR(VLOOKUP($B120, blitz!$CN:$CO, 2, FALSE), 0)</f>
        <v>0</v>
      </c>
      <c r="CA120" t="b">
        <f t="shared" si="45"/>
        <v>1</v>
      </c>
      <c r="CB120">
        <f>IFERROR(VLOOKUP($B120, aegis!$CS:$CT, 2, FALSE), 0)</f>
        <v>0</v>
      </c>
      <c r="CC120">
        <f>IFERROR(VLOOKUP($B120, duel!$CS:$CT, 2, FALSE), 0)</f>
        <v>0</v>
      </c>
      <c r="CD120">
        <f>IFERROR(VLOOKUP($B120, blitz!$CS:$CT, 2, FALSE), 0)</f>
        <v>0</v>
      </c>
      <c r="CE120" t="b">
        <f t="shared" si="46"/>
        <v>1</v>
      </c>
      <c r="CF120" t="str">
        <f>IFERROR(VLOOKUP($B120, aegis!$CX:$CY, 2, FALSE), 0)</f>
        <v>2318</v>
      </c>
      <c r="CG120" t="str">
        <f>IFERROR(VLOOKUP($B120, duel!$CX:$CY, 2, FALSE), 0)</f>
        <v>2318</v>
      </c>
      <c r="CH120" t="str">
        <f>IFERROR(VLOOKUP($B120, blitz!$CX:$CY, 2, FALSE), 0)</f>
        <v>2318</v>
      </c>
      <c r="CI120" t="b">
        <f t="shared" si="47"/>
        <v>1</v>
      </c>
      <c r="CJ120" t="str">
        <f>IFERROR(VLOOKUP($B120, aegis!$DC:$DD, 2, FALSE), 0)</f>
        <v>1</v>
      </c>
      <c r="CK120" t="str">
        <f>IFERROR(VLOOKUP($B120, duel!$DC:$DD, 2, FALSE), 0)</f>
        <v>1</v>
      </c>
      <c r="CL120" t="str">
        <f>IFERROR(VLOOKUP($B120, blitz!$DC:$DD, 2, FALSE), 0)</f>
        <v>1</v>
      </c>
      <c r="CM120" t="b">
        <f t="shared" si="48"/>
        <v>1</v>
      </c>
      <c r="CN120" t="str">
        <f>IFERROR(VLOOKUP($B120, aegis!$DH:$DI, 2, FALSE), 0)</f>
        <v>1</v>
      </c>
      <c r="CO120" t="str">
        <f>IFERROR(VLOOKUP($B120, duel!$DH:$DI, 2, FALSE), 0)</f>
        <v>1</v>
      </c>
      <c r="CP120" s="13">
        <f>IFERROR(VLOOKUP($B120, blitz!$DH:$DI, 2, FALSE), 0)</f>
        <v>0</v>
      </c>
      <c r="CQ120" t="b">
        <f t="shared" si="49"/>
        <v>1</v>
      </c>
      <c r="CR120" t="str">
        <f>IFERROR(VLOOKUP($B120, aegis!$DM:$DN, 2, FALSE), 0)</f>
        <v>1</v>
      </c>
      <c r="CS120" t="str">
        <f>IFERROR(VLOOKUP($B120, duel!$DM:$DN, 2, FALSE), 0)</f>
        <v>1</v>
      </c>
      <c r="CT120" t="str">
        <f>IFERROR(VLOOKUP($B120, blitz!$DM:$DN, 2, FALSE), 0)</f>
        <v>1</v>
      </c>
      <c r="CU120" t="b">
        <f t="shared" si="50"/>
        <v>1</v>
      </c>
      <c r="CV120" t="str">
        <f>IFERROR(VLOOKUP($B120, aegis!$DR:$DS, 2, FALSE), 0)</f>
        <v>45</v>
      </c>
      <c r="CW120" t="str">
        <f>IFERROR(VLOOKUP($B120, duel!$DR:$DS, 2, FALSE), 0)</f>
        <v>45</v>
      </c>
      <c r="CX120" t="str">
        <f>IFERROR(VLOOKUP($B120, blitz!$DR:$DS, 2, FALSE), 0)</f>
        <v>45</v>
      </c>
      <c r="CY120" t="b">
        <f t="shared" si="51"/>
        <v>1</v>
      </c>
    </row>
    <row r="121" spans="1:103">
      <c r="B121" s="6" t="s">
        <v>224</v>
      </c>
      <c r="C121" s="5" t="b">
        <f t="shared" si="26"/>
        <v>0</v>
      </c>
      <c r="D121" t="str">
        <f>IFERROR(VLOOKUP($B121, aegis!$B:$C, 2, FALSE), 0)</f>
        <v>24</v>
      </c>
      <c r="E121" t="str">
        <f>IFERROR(VLOOKUP($B121, duel!$B:$C, 2, FALSE), 0)</f>
        <v>24</v>
      </c>
      <c r="F121" t="str">
        <f>IFERROR(VLOOKUP($B121, blitz!$B:$C, 2, FALSE), 0)</f>
        <v>24</v>
      </c>
      <c r="G121" t="b">
        <f t="shared" si="27"/>
        <v>1</v>
      </c>
      <c r="H121" t="str">
        <f>IFERROR(VLOOKUP($B121, aegis!$G:$H, 2, FALSE), 0)</f>
        <v>14</v>
      </c>
      <c r="I121" t="str">
        <f>IFERROR(VLOOKUP($B121, duel!$G:$H, 2, FALSE), 0)</f>
        <v>14</v>
      </c>
      <c r="J121" t="str">
        <f>IFERROR(VLOOKUP($B121, blitz!$G:$H, 2, FALSE), 0)</f>
        <v>14</v>
      </c>
      <c r="K121" t="b">
        <f t="shared" si="28"/>
        <v>1</v>
      </c>
      <c r="L121" t="str">
        <f>IFERROR(VLOOKUP($B121, aegis!$L:$M, 2, FALSE), 0)</f>
        <v>24</v>
      </c>
      <c r="M121" t="str">
        <f>IFERROR(VLOOKUP($B121, duel!$L:$M, 2, FALSE), 0)</f>
        <v>24</v>
      </c>
      <c r="N121" t="str">
        <f>IFERROR(VLOOKUP($B121, blitz!$L:$M, 2, FALSE), 0)</f>
        <v>24</v>
      </c>
      <c r="O121" t="b">
        <f t="shared" si="29"/>
        <v>1</v>
      </c>
      <c r="P121" t="str">
        <f>IFERROR(VLOOKUP($B121, aegis!$Q:$R, 2, FALSE), 0)</f>
        <v>14</v>
      </c>
      <c r="Q121" t="str">
        <f>IFERROR(VLOOKUP($B121, duel!$Q:$R, 2, FALSE), 0)</f>
        <v>14</v>
      </c>
      <c r="R121" t="str">
        <f>IFERROR(VLOOKUP($B121, blitz!$Q:$R, 2, FALSE), 0)</f>
        <v>14</v>
      </c>
      <c r="S121" t="b">
        <f t="shared" si="30"/>
        <v>1</v>
      </c>
      <c r="T121">
        <f>IFERROR(VLOOKUP($B121, aegis!$V:$W, 2, FALSE), 0)</f>
        <v>0</v>
      </c>
      <c r="U121">
        <f>IFERROR(VLOOKUP($B121, duel!$V:$W, 2, FALSE), 0)</f>
        <v>0</v>
      </c>
      <c r="V121">
        <f>IFERROR(VLOOKUP($B121, blitz!$V:$W, 2, FALSE), 0)</f>
        <v>0</v>
      </c>
      <c r="W121" t="b">
        <f t="shared" si="31"/>
        <v>1</v>
      </c>
      <c r="X121" t="str">
        <f>IFERROR(VLOOKUP($B121, aegis!$AA:$AB, 2, FALSE), 0)</f>
        <v>2</v>
      </c>
      <c r="Y121" t="str">
        <f>IFERROR(VLOOKUP($B121, duel!$AA:$AB, 2, FALSE), 0)</f>
        <v>2</v>
      </c>
      <c r="Z121" t="str">
        <f>IFERROR(VLOOKUP($B121, blitz!$AA:$AB, 2, FALSE), 0)</f>
        <v>2</v>
      </c>
      <c r="AA121" t="b">
        <f t="shared" si="32"/>
        <v>1</v>
      </c>
      <c r="AB121" t="str">
        <f>IFERROR(VLOOKUP($B121, aegis!$AF:$AG, 2, FALSE), 0)</f>
        <v>102</v>
      </c>
      <c r="AC121" t="str">
        <f>IFERROR(VLOOKUP($B121, duel!$AF:$AG, 2, FALSE), 0)</f>
        <v>102</v>
      </c>
      <c r="AD121" t="str">
        <f>IFERROR(VLOOKUP($B121, blitz!$AF:$AG, 2, FALSE), 0)</f>
        <v>102</v>
      </c>
      <c r="AE121" t="b">
        <f t="shared" si="33"/>
        <v>1</v>
      </c>
      <c r="AF121" t="str">
        <f>IFERROR(VLOOKUP($B121, aegis!$AK:$AL, 2, FALSE), 0)</f>
        <v>3</v>
      </c>
      <c r="AG121" t="str">
        <f>IFERROR(VLOOKUP($B121, duel!$AK:$AL, 2, FALSE), 0)</f>
        <v>1</v>
      </c>
      <c r="AH121" t="str">
        <f>IFERROR(VLOOKUP($B121, blitz!$AK:$AL, 2, FALSE), 0)</f>
        <v>1</v>
      </c>
      <c r="AI121" t="b">
        <f t="shared" si="34"/>
        <v>0</v>
      </c>
      <c r="AJ121" t="str">
        <f>IFERROR(VLOOKUP($B121, aegis!$AP:$AQ, 2, FALSE), 0)</f>
        <v>1</v>
      </c>
      <c r="AK121" t="str">
        <f>IFERROR(VLOOKUP($B121, duel!$AP:$AQ, 2, FALSE), 0)</f>
        <v>1</v>
      </c>
      <c r="AL121" t="str">
        <f>IFERROR(VLOOKUP($B121, blitz!$AP:$AQ, 2, FALSE), 0)</f>
        <v>1</v>
      </c>
      <c r="AM121" t="b">
        <f t="shared" si="35"/>
        <v>1</v>
      </c>
      <c r="AN121">
        <f>IFERROR(VLOOKUP($B121, aegis!$AU:$AV, 2, FALSE), 0)</f>
        <v>0</v>
      </c>
      <c r="AO121">
        <f>IFERROR(VLOOKUP($B121, duel!$AU:$AV, 2, FALSE), 0)</f>
        <v>0</v>
      </c>
      <c r="AP121">
        <f>IFERROR(VLOOKUP($B121, blitz!$AU:$AV, 2, FALSE), 0)</f>
        <v>0</v>
      </c>
      <c r="AQ121" t="b">
        <f t="shared" si="36"/>
        <v>1</v>
      </c>
      <c r="AR121" t="str">
        <f>IFERROR(VLOOKUP($B121, aegis!$AZ:$BA, 2, FALSE), 0)</f>
        <v>2</v>
      </c>
      <c r="AS121" t="str">
        <f>IFERROR(VLOOKUP($B121, duel!$AZ:$BA, 2, FALSE), 0)</f>
        <v>2</v>
      </c>
      <c r="AT121" t="str">
        <f>IFERROR(VLOOKUP($B121, blitz!$AZ:$BA, 2, FALSE), 0)</f>
        <v>2</v>
      </c>
      <c r="AU121" t="b">
        <f t="shared" si="37"/>
        <v>1</v>
      </c>
      <c r="AV121" t="str">
        <f>IFERROR(VLOOKUP($B121, aegis!$BE:$BF, 2, FALSE), 0)</f>
        <v>1</v>
      </c>
      <c r="AW121" t="str">
        <f>IFERROR(VLOOKUP($B121, duel!$BE:$BF, 2, FALSE), 0)</f>
        <v>1</v>
      </c>
      <c r="AX121" t="str">
        <f>IFERROR(VLOOKUP($B121, blitz!$BE:$BF, 2, FALSE), 0)</f>
        <v>1</v>
      </c>
      <c r="AY121" t="b">
        <f t="shared" si="38"/>
        <v>1</v>
      </c>
      <c r="AZ121" t="str">
        <f>IFERROR(VLOOKUP($B121, aegis!$BJ:$BK, 2, FALSE), 0)</f>
        <v>1</v>
      </c>
      <c r="BA121" t="str">
        <f>IFERROR(VLOOKUP($B121, duel!$BJ:$BK, 2, FALSE), 0)</f>
        <v>1</v>
      </c>
      <c r="BB121" t="str">
        <f>IFERROR(VLOOKUP($B121, blitz!$BJ:$BK, 2, FALSE), 0)</f>
        <v>1</v>
      </c>
      <c r="BC121" t="b">
        <f t="shared" si="39"/>
        <v>1</v>
      </c>
      <c r="BD121">
        <f>IFERROR(VLOOKUP($B121, aegis!$BO:$BP, 2, FALSE), 0)</f>
        <v>0</v>
      </c>
      <c r="BE121">
        <f>IFERROR(VLOOKUP($B121, duel!$BO:$BP, 2, FALSE), 0)</f>
        <v>0</v>
      </c>
      <c r="BF121">
        <f>IFERROR(VLOOKUP($B121, blitz!$BO:$BP, 2, FALSE), 0)</f>
        <v>0</v>
      </c>
      <c r="BG121" t="b">
        <f t="shared" si="40"/>
        <v>1</v>
      </c>
      <c r="BH121" t="str">
        <f>IFERROR(VLOOKUP($B121, aegis!$BT:$BU, 2, FALSE), 0)</f>
        <v>5</v>
      </c>
      <c r="BI121" t="str">
        <f>IFERROR(VLOOKUP($B121, duel!$BT:$BU, 2, FALSE), 0)</f>
        <v>5</v>
      </c>
      <c r="BJ121" t="str">
        <f>IFERROR(VLOOKUP($B121, blitz!$BT:$BU, 2, FALSE), 0)</f>
        <v>5</v>
      </c>
      <c r="BK121" t="b">
        <f t="shared" si="41"/>
        <v>1</v>
      </c>
      <c r="BL121" t="str">
        <f>IFERROR(VLOOKUP($B121, aegis!$BY:$BZ, 2, FALSE), 0)</f>
        <v>1</v>
      </c>
      <c r="BM121" t="str">
        <f>IFERROR(VLOOKUP($B121, duel!$BY:$BZ, 2, FALSE), 0)</f>
        <v>1</v>
      </c>
      <c r="BN121" t="str">
        <f>IFERROR(VLOOKUP($B121, blitz!$BY:$BZ, 2, FALSE), 0)</f>
        <v>1</v>
      </c>
      <c r="BO121" t="b">
        <f t="shared" si="42"/>
        <v>1</v>
      </c>
      <c r="BP121" t="str">
        <f>IFERROR(VLOOKUP($B121, aegis!$CD:$CE, 2, FALSE), 0)</f>
        <v>3</v>
      </c>
      <c r="BQ121" t="str">
        <f>IFERROR(VLOOKUP($B121, duel!$CD:$CE, 2, FALSE), 0)</f>
        <v>3</v>
      </c>
      <c r="BR121" t="str">
        <f>IFERROR(VLOOKUP($B121, blitz!$CD:$CE, 2, FALSE), 0)</f>
        <v>3</v>
      </c>
      <c r="BS121" t="b">
        <f t="shared" si="43"/>
        <v>1</v>
      </c>
      <c r="BT121">
        <f>IFERROR(VLOOKUP($B121, aegis!$CI:$CJ, 2, FALSE), 0)</f>
        <v>0</v>
      </c>
      <c r="BU121">
        <f>IFERROR(VLOOKUP($B121, duel!$CI:$CJ, 2, FALSE), 0)</f>
        <v>0</v>
      </c>
      <c r="BV121">
        <f>IFERROR(VLOOKUP($B121, blitz!$CI:$CJ, 2, FALSE), 0)</f>
        <v>0</v>
      </c>
      <c r="BW121" t="b">
        <f t="shared" si="44"/>
        <v>1</v>
      </c>
      <c r="BX121">
        <f>IFERROR(VLOOKUP($B121, aegis!$CN:$CO, 2, FALSE), 0)</f>
        <v>0</v>
      </c>
      <c r="BY121">
        <f>IFERROR(VLOOKUP($B121, duel!$CN:$CO, 2, FALSE), 0)</f>
        <v>0</v>
      </c>
      <c r="BZ121">
        <f>IFERROR(VLOOKUP($B121, blitz!$CN:$CO, 2, FALSE), 0)</f>
        <v>0</v>
      </c>
      <c r="CA121" t="b">
        <f t="shared" si="45"/>
        <v>1</v>
      </c>
      <c r="CB121">
        <f>IFERROR(VLOOKUP($B121, aegis!$CS:$CT, 2, FALSE), 0)</f>
        <v>0</v>
      </c>
      <c r="CC121">
        <f>IFERROR(VLOOKUP($B121, duel!$CS:$CT, 2, FALSE), 0)</f>
        <v>0</v>
      </c>
      <c r="CD121">
        <f>IFERROR(VLOOKUP($B121, blitz!$CS:$CT, 2, FALSE), 0)</f>
        <v>0</v>
      </c>
      <c r="CE121" t="b">
        <f t="shared" si="46"/>
        <v>1</v>
      </c>
      <c r="CF121" t="str">
        <f>IFERROR(VLOOKUP($B121, aegis!$CX:$CY, 2, FALSE), 0)</f>
        <v>514</v>
      </c>
      <c r="CG121" t="str">
        <f>IFERROR(VLOOKUP($B121, duel!$CX:$CY, 2, FALSE), 0)</f>
        <v>514</v>
      </c>
      <c r="CH121" t="str">
        <f>IFERROR(VLOOKUP($B121, blitz!$CX:$CY, 2, FALSE), 0)</f>
        <v>514</v>
      </c>
      <c r="CI121" t="b">
        <f t="shared" si="47"/>
        <v>1</v>
      </c>
      <c r="CJ121" t="str">
        <f>IFERROR(VLOOKUP($B121, aegis!$DC:$DD, 2, FALSE), 0)</f>
        <v>1</v>
      </c>
      <c r="CK121" t="str">
        <f>IFERROR(VLOOKUP($B121, duel!$DC:$DD, 2, FALSE), 0)</f>
        <v>1</v>
      </c>
      <c r="CL121" t="str">
        <f>IFERROR(VLOOKUP($B121, blitz!$DC:$DD, 2, FALSE), 0)</f>
        <v>1</v>
      </c>
      <c r="CM121" t="b">
        <f t="shared" si="48"/>
        <v>1</v>
      </c>
      <c r="CN121" t="str">
        <f>IFERROR(VLOOKUP($B121, aegis!$DH:$DI, 2, FALSE), 0)</f>
        <v>3</v>
      </c>
      <c r="CO121" t="str">
        <f>IFERROR(VLOOKUP($B121, duel!$DH:$DI, 2, FALSE), 0)</f>
        <v>3</v>
      </c>
      <c r="CP121" s="13">
        <f>IFERROR(VLOOKUP($B121, blitz!$DH:$DI, 2, FALSE), 0)</f>
        <v>0</v>
      </c>
      <c r="CQ121" t="b">
        <f t="shared" si="49"/>
        <v>1</v>
      </c>
      <c r="CR121" t="str">
        <f>IFERROR(VLOOKUP($B121, aegis!$DM:$DN, 2, FALSE), 0)</f>
        <v>1</v>
      </c>
      <c r="CS121" t="str">
        <f>IFERROR(VLOOKUP($B121, duel!$DM:$DN, 2, FALSE), 0)</f>
        <v>1</v>
      </c>
      <c r="CT121" t="str">
        <f>IFERROR(VLOOKUP($B121, blitz!$DM:$DN, 2, FALSE), 0)</f>
        <v>1</v>
      </c>
      <c r="CU121" t="b">
        <f t="shared" si="50"/>
        <v>1</v>
      </c>
      <c r="CV121" t="str">
        <f>IFERROR(VLOOKUP($B121, aegis!$DR:$DS, 2, FALSE), 0)</f>
        <v>102</v>
      </c>
      <c r="CW121" t="str">
        <f>IFERROR(VLOOKUP($B121, duel!$DR:$DS, 2, FALSE), 0)</f>
        <v>102</v>
      </c>
      <c r="CX121" t="str">
        <f>IFERROR(VLOOKUP($B121, blitz!$DR:$DS, 2, FALSE), 0)</f>
        <v>102</v>
      </c>
      <c r="CY121" t="b">
        <f t="shared" si="51"/>
        <v>1</v>
      </c>
    </row>
    <row r="122" spans="1:103">
      <c r="A122" t="s">
        <v>1733</v>
      </c>
      <c r="B122" s="6" t="s">
        <v>226</v>
      </c>
      <c r="C122" s="5" t="b">
        <f t="shared" si="26"/>
        <v>0</v>
      </c>
      <c r="D122" t="str">
        <f>IFERROR(VLOOKUP($B122, aegis!$B:$C, 2, FALSE), 0)</f>
        <v>24</v>
      </c>
      <c r="E122" t="str">
        <f>IFERROR(VLOOKUP($B122, duel!$B:$C, 2, FALSE), 0)</f>
        <v>24</v>
      </c>
      <c r="F122" t="str">
        <f>IFERROR(VLOOKUP($B122, blitz!$B:$C, 2, FALSE), 0)</f>
        <v>24</v>
      </c>
      <c r="G122" t="b">
        <f t="shared" si="27"/>
        <v>1</v>
      </c>
      <c r="H122" t="str">
        <f>IFERROR(VLOOKUP($B122, aegis!$G:$H, 2, FALSE), 0)</f>
        <v>14</v>
      </c>
      <c r="I122" t="str">
        <f>IFERROR(VLOOKUP($B122, duel!$G:$H, 2, FALSE), 0)</f>
        <v>14</v>
      </c>
      <c r="J122" t="str">
        <f>IFERROR(VLOOKUP($B122, blitz!$G:$H, 2, FALSE), 0)</f>
        <v>14</v>
      </c>
      <c r="K122" t="b">
        <f t="shared" si="28"/>
        <v>1</v>
      </c>
      <c r="L122" t="str">
        <f>IFERROR(VLOOKUP($B122, aegis!$L:$M, 2, FALSE), 0)</f>
        <v>24</v>
      </c>
      <c r="M122" t="str">
        <f>IFERROR(VLOOKUP($B122, duel!$L:$M, 2, FALSE), 0)</f>
        <v>24</v>
      </c>
      <c r="N122" t="str">
        <f>IFERROR(VLOOKUP($B122, blitz!$L:$M, 2, FALSE), 0)</f>
        <v>24</v>
      </c>
      <c r="O122" t="b">
        <f t="shared" si="29"/>
        <v>1</v>
      </c>
      <c r="P122" t="str">
        <f>IFERROR(VLOOKUP($B122, aegis!$Q:$R, 2, FALSE), 0)</f>
        <v>14</v>
      </c>
      <c r="Q122" t="str">
        <f>IFERROR(VLOOKUP($B122, duel!$Q:$R, 2, FALSE), 0)</f>
        <v>14</v>
      </c>
      <c r="R122" t="str">
        <f>IFERROR(VLOOKUP($B122, blitz!$Q:$R, 2, FALSE), 0)</f>
        <v>14</v>
      </c>
      <c r="S122" t="b">
        <f t="shared" si="30"/>
        <v>1</v>
      </c>
      <c r="T122">
        <f>IFERROR(VLOOKUP($B122, aegis!$V:$W, 2, FALSE), 0)</f>
        <v>0</v>
      </c>
      <c r="U122">
        <f>IFERROR(VLOOKUP($B122, duel!$V:$W, 2, FALSE), 0)</f>
        <v>0</v>
      </c>
      <c r="V122">
        <f>IFERROR(VLOOKUP($B122, blitz!$V:$W, 2, FALSE), 0)</f>
        <v>0</v>
      </c>
      <c r="W122" t="b">
        <f t="shared" si="31"/>
        <v>1</v>
      </c>
      <c r="X122" t="str">
        <f>IFERROR(VLOOKUP($B122, aegis!$AA:$AB, 2, FALSE), 0)</f>
        <v>2</v>
      </c>
      <c r="Y122" t="str">
        <f>IFERROR(VLOOKUP($B122, duel!$AA:$AB, 2, FALSE), 0)</f>
        <v>2</v>
      </c>
      <c r="Z122" t="str">
        <f>IFERROR(VLOOKUP($B122, blitz!$AA:$AB, 2, FALSE), 0)</f>
        <v>2</v>
      </c>
      <c r="AA122" t="b">
        <f t="shared" si="32"/>
        <v>1</v>
      </c>
      <c r="AB122" t="str">
        <f>IFERROR(VLOOKUP($B122, aegis!$AF:$AG, 2, FALSE), 0)</f>
        <v>26</v>
      </c>
      <c r="AC122" t="str">
        <f>IFERROR(VLOOKUP($B122, duel!$AF:$AG, 2, FALSE), 0)</f>
        <v>26</v>
      </c>
      <c r="AD122" t="str">
        <f>IFERROR(VLOOKUP($B122, blitz!$AF:$AG, 2, FALSE), 0)</f>
        <v>26</v>
      </c>
      <c r="AE122" t="b">
        <f t="shared" si="33"/>
        <v>1</v>
      </c>
      <c r="AF122" t="str">
        <f>IFERROR(VLOOKUP($B122, aegis!$AK:$AL, 2, FALSE), 0)</f>
        <v>3</v>
      </c>
      <c r="AG122" t="str">
        <f>IFERROR(VLOOKUP($B122, duel!$AK:$AL, 2, FALSE), 0)</f>
        <v>1</v>
      </c>
      <c r="AH122" t="str">
        <f>IFERROR(VLOOKUP($B122, blitz!$AK:$AL, 2, FALSE), 0)</f>
        <v>1</v>
      </c>
      <c r="AI122" t="b">
        <f t="shared" si="34"/>
        <v>0</v>
      </c>
      <c r="AJ122" t="str">
        <f>IFERROR(VLOOKUP($B122, aegis!$AP:$AQ, 2, FALSE), 0)</f>
        <v>1</v>
      </c>
      <c r="AK122" t="str">
        <f>IFERROR(VLOOKUP($B122, duel!$AP:$AQ, 2, FALSE), 0)</f>
        <v>1</v>
      </c>
      <c r="AL122" t="str">
        <f>IFERROR(VLOOKUP($B122, blitz!$AP:$AQ, 2, FALSE), 0)</f>
        <v>1</v>
      </c>
      <c r="AM122" t="b">
        <f t="shared" si="35"/>
        <v>1</v>
      </c>
      <c r="AN122">
        <f>IFERROR(VLOOKUP($B122, aegis!$AU:$AV, 2, FALSE), 0)</f>
        <v>0</v>
      </c>
      <c r="AO122">
        <f>IFERROR(VLOOKUP($B122, duel!$AU:$AV, 2, FALSE), 0)</f>
        <v>0</v>
      </c>
      <c r="AP122">
        <f>IFERROR(VLOOKUP($B122, blitz!$AU:$AV, 2, FALSE), 0)</f>
        <v>0</v>
      </c>
      <c r="AQ122" t="b">
        <f t="shared" si="36"/>
        <v>1</v>
      </c>
      <c r="AR122" t="str">
        <f>IFERROR(VLOOKUP($B122, aegis!$AZ:$BA, 2, FALSE), 0)</f>
        <v>2</v>
      </c>
      <c r="AS122" t="str">
        <f>IFERROR(VLOOKUP($B122, duel!$AZ:$BA, 2, FALSE), 0)</f>
        <v>2</v>
      </c>
      <c r="AT122" t="str">
        <f>IFERROR(VLOOKUP($B122, blitz!$AZ:$BA, 2, FALSE), 0)</f>
        <v>2</v>
      </c>
      <c r="AU122" t="b">
        <f t="shared" si="37"/>
        <v>1</v>
      </c>
      <c r="AV122" t="str">
        <f>IFERROR(VLOOKUP($B122, aegis!$BE:$BF, 2, FALSE), 0)</f>
        <v>1</v>
      </c>
      <c r="AW122" t="str">
        <f>IFERROR(VLOOKUP($B122, duel!$BE:$BF, 2, FALSE), 0)</f>
        <v>1</v>
      </c>
      <c r="AX122" t="str">
        <f>IFERROR(VLOOKUP($B122, blitz!$BE:$BF, 2, FALSE), 0)</f>
        <v>1</v>
      </c>
      <c r="AY122" t="b">
        <f t="shared" si="38"/>
        <v>1</v>
      </c>
      <c r="AZ122" t="str">
        <f>IFERROR(VLOOKUP($B122, aegis!$BJ:$BK, 2, FALSE), 0)</f>
        <v>1</v>
      </c>
      <c r="BA122" t="str">
        <f>IFERROR(VLOOKUP($B122, duel!$BJ:$BK, 2, FALSE), 0)</f>
        <v>1</v>
      </c>
      <c r="BB122" t="str">
        <f>IFERROR(VLOOKUP($B122, blitz!$BJ:$BK, 2, FALSE), 0)</f>
        <v>1</v>
      </c>
      <c r="BC122" t="b">
        <f t="shared" si="39"/>
        <v>1</v>
      </c>
      <c r="BD122">
        <f>IFERROR(VLOOKUP($B122, aegis!$BO:$BP, 2, FALSE), 0)</f>
        <v>0</v>
      </c>
      <c r="BE122">
        <f>IFERROR(VLOOKUP($B122, duel!$BO:$BP, 2, FALSE), 0)</f>
        <v>0</v>
      </c>
      <c r="BF122">
        <f>IFERROR(VLOOKUP($B122, blitz!$BO:$BP, 2, FALSE), 0)</f>
        <v>0</v>
      </c>
      <c r="BG122" t="b">
        <f t="shared" si="40"/>
        <v>1</v>
      </c>
      <c r="BH122" t="str">
        <f>IFERROR(VLOOKUP($B122, aegis!$BT:$BU, 2, FALSE), 0)</f>
        <v>16</v>
      </c>
      <c r="BI122" t="str">
        <f>IFERROR(VLOOKUP($B122, duel!$BT:$BU, 2, FALSE), 0)</f>
        <v>16</v>
      </c>
      <c r="BJ122" t="str">
        <f>IFERROR(VLOOKUP($B122, blitz!$BT:$BU, 2, FALSE), 0)</f>
        <v>16</v>
      </c>
      <c r="BK122" t="b">
        <f t="shared" si="41"/>
        <v>1</v>
      </c>
      <c r="BL122" t="str">
        <f>IFERROR(VLOOKUP($B122, aegis!$BY:$BZ, 2, FALSE), 0)</f>
        <v>1</v>
      </c>
      <c r="BM122" t="str">
        <f>IFERROR(VLOOKUP($B122, duel!$BY:$BZ, 2, FALSE), 0)</f>
        <v>1</v>
      </c>
      <c r="BN122" t="str">
        <f>IFERROR(VLOOKUP($B122, blitz!$BY:$BZ, 2, FALSE), 0)</f>
        <v>1</v>
      </c>
      <c r="BO122" t="b">
        <f t="shared" si="42"/>
        <v>1</v>
      </c>
      <c r="BP122" t="str">
        <f>IFERROR(VLOOKUP($B122, aegis!$CD:$CE, 2, FALSE), 0)</f>
        <v>5</v>
      </c>
      <c r="BQ122" t="str">
        <f>IFERROR(VLOOKUP($B122, duel!$CD:$CE, 2, FALSE), 0)</f>
        <v>5</v>
      </c>
      <c r="BR122" t="str">
        <f>IFERROR(VLOOKUP($B122, blitz!$CD:$CE, 2, FALSE), 0)</f>
        <v>5</v>
      </c>
      <c r="BS122" t="b">
        <f t="shared" si="43"/>
        <v>1</v>
      </c>
      <c r="BT122">
        <f>IFERROR(VLOOKUP($B122, aegis!$CI:$CJ, 2, FALSE), 0)</f>
        <v>0</v>
      </c>
      <c r="BU122">
        <f>IFERROR(VLOOKUP($B122, duel!$CI:$CJ, 2, FALSE), 0)</f>
        <v>0</v>
      </c>
      <c r="BV122">
        <f>IFERROR(VLOOKUP($B122, blitz!$CI:$CJ, 2, FALSE), 0)</f>
        <v>0</v>
      </c>
      <c r="BW122" t="b">
        <f t="shared" si="44"/>
        <v>1</v>
      </c>
      <c r="BX122">
        <f>IFERROR(VLOOKUP($B122, aegis!$CN:$CO, 2, FALSE), 0)</f>
        <v>0</v>
      </c>
      <c r="BY122">
        <f>IFERROR(VLOOKUP($B122, duel!$CN:$CO, 2, FALSE), 0)</f>
        <v>0</v>
      </c>
      <c r="BZ122">
        <f>IFERROR(VLOOKUP($B122, blitz!$CN:$CO, 2, FALSE), 0)</f>
        <v>0</v>
      </c>
      <c r="CA122" t="b">
        <f t="shared" si="45"/>
        <v>1</v>
      </c>
      <c r="CB122">
        <f>IFERROR(VLOOKUP($B122, aegis!$CS:$CT, 2, FALSE), 0)</f>
        <v>0</v>
      </c>
      <c r="CC122">
        <f>IFERROR(VLOOKUP($B122, duel!$CS:$CT, 2, FALSE), 0)</f>
        <v>0</v>
      </c>
      <c r="CD122">
        <f>IFERROR(VLOOKUP($B122, blitz!$CS:$CT, 2, FALSE), 0)</f>
        <v>0</v>
      </c>
      <c r="CE122" t="b">
        <f t="shared" si="46"/>
        <v>1</v>
      </c>
      <c r="CF122" t="str">
        <f>IFERROR(VLOOKUP($B122, aegis!$CX:$CY, 2, FALSE), 0)</f>
        <v>1661</v>
      </c>
      <c r="CG122" t="str">
        <f>IFERROR(VLOOKUP($B122, duel!$CX:$CY, 2, FALSE), 0)</f>
        <v>1662</v>
      </c>
      <c r="CH122" t="str">
        <f>IFERROR(VLOOKUP($B122, blitz!$CX:$CY, 2, FALSE), 0)</f>
        <v>1661</v>
      </c>
      <c r="CI122" t="b">
        <f t="shared" si="47"/>
        <v>0</v>
      </c>
      <c r="CJ122" t="str">
        <f>IFERROR(VLOOKUP($B122, aegis!$DC:$DD, 2, FALSE), 0)</f>
        <v>1</v>
      </c>
      <c r="CK122" t="str">
        <f>IFERROR(VLOOKUP($B122, duel!$DC:$DD, 2, FALSE), 0)</f>
        <v>1</v>
      </c>
      <c r="CL122" t="str">
        <f>IFERROR(VLOOKUP($B122, blitz!$DC:$DD, 2, FALSE), 0)</f>
        <v>1</v>
      </c>
      <c r="CM122" t="b">
        <f t="shared" si="48"/>
        <v>1</v>
      </c>
      <c r="CN122" t="str">
        <f>IFERROR(VLOOKUP($B122, aegis!$DH:$DI, 2, FALSE), 0)</f>
        <v>4</v>
      </c>
      <c r="CO122" t="str">
        <f>IFERROR(VLOOKUP($B122, duel!$DH:$DI, 2, FALSE), 0)</f>
        <v>4</v>
      </c>
      <c r="CP122" s="13">
        <f>IFERROR(VLOOKUP($B122, blitz!$DH:$DI, 2, FALSE), 0)</f>
        <v>0</v>
      </c>
      <c r="CQ122" t="b">
        <f t="shared" si="49"/>
        <v>1</v>
      </c>
      <c r="CR122" t="str">
        <f>IFERROR(VLOOKUP($B122, aegis!$DM:$DN, 2, FALSE), 0)</f>
        <v>1</v>
      </c>
      <c r="CS122" t="str">
        <f>IFERROR(VLOOKUP($B122, duel!$DM:$DN, 2, FALSE), 0)</f>
        <v>1</v>
      </c>
      <c r="CT122" t="str">
        <f>IFERROR(VLOOKUP($B122, blitz!$DM:$DN, 2, FALSE), 0)</f>
        <v>1</v>
      </c>
      <c r="CU122" t="b">
        <f t="shared" si="50"/>
        <v>1</v>
      </c>
      <c r="CV122" t="str">
        <f>IFERROR(VLOOKUP($B122, aegis!$DR:$DS, 2, FALSE), 0)</f>
        <v>26</v>
      </c>
      <c r="CW122" t="str">
        <f>IFERROR(VLOOKUP($B122, duel!$DR:$DS, 2, FALSE), 0)</f>
        <v>26</v>
      </c>
      <c r="CX122" t="str">
        <f>IFERROR(VLOOKUP($B122, blitz!$DR:$DS, 2, FALSE), 0)</f>
        <v>26</v>
      </c>
      <c r="CY122" t="b">
        <f t="shared" si="51"/>
        <v>1</v>
      </c>
    </row>
    <row r="123" spans="1:103">
      <c r="A123" t="s">
        <v>1733</v>
      </c>
      <c r="B123" s="6" t="s">
        <v>227</v>
      </c>
      <c r="C123" s="5" t="b">
        <f t="shared" si="26"/>
        <v>0</v>
      </c>
      <c r="D123" t="str">
        <f>IFERROR(VLOOKUP($B123, aegis!$B:$C, 2, FALSE), 0)</f>
        <v>24</v>
      </c>
      <c r="E123" t="str">
        <f>IFERROR(VLOOKUP($B123, duel!$B:$C, 2, FALSE), 0)</f>
        <v>24</v>
      </c>
      <c r="F123" t="str">
        <f>IFERROR(VLOOKUP($B123, blitz!$B:$C, 2, FALSE), 0)</f>
        <v>24</v>
      </c>
      <c r="G123" t="b">
        <f t="shared" si="27"/>
        <v>1</v>
      </c>
      <c r="H123" t="str">
        <f>IFERROR(VLOOKUP($B123, aegis!$G:$H, 2, FALSE), 0)</f>
        <v>14</v>
      </c>
      <c r="I123" t="str">
        <f>IFERROR(VLOOKUP($B123, duel!$G:$H, 2, FALSE), 0)</f>
        <v>14</v>
      </c>
      <c r="J123" t="str">
        <f>IFERROR(VLOOKUP($B123, blitz!$G:$H, 2, FALSE), 0)</f>
        <v>14</v>
      </c>
      <c r="K123" t="b">
        <f t="shared" si="28"/>
        <v>1</v>
      </c>
      <c r="L123" t="str">
        <f>IFERROR(VLOOKUP($B123, aegis!$L:$M, 2, FALSE), 0)</f>
        <v>24</v>
      </c>
      <c r="M123" t="str">
        <f>IFERROR(VLOOKUP($B123, duel!$L:$M, 2, FALSE), 0)</f>
        <v>24</v>
      </c>
      <c r="N123" t="str">
        <f>IFERROR(VLOOKUP($B123, blitz!$L:$M, 2, FALSE), 0)</f>
        <v>24</v>
      </c>
      <c r="O123" t="b">
        <f t="shared" si="29"/>
        <v>1</v>
      </c>
      <c r="P123" t="str">
        <f>IFERROR(VLOOKUP($B123, aegis!$Q:$R, 2, FALSE), 0)</f>
        <v>14</v>
      </c>
      <c r="Q123" t="str">
        <f>IFERROR(VLOOKUP($B123, duel!$Q:$R, 2, FALSE), 0)</f>
        <v>14</v>
      </c>
      <c r="R123" t="str">
        <f>IFERROR(VLOOKUP($B123, blitz!$Q:$R, 2, FALSE), 0)</f>
        <v>14</v>
      </c>
      <c r="S123" t="b">
        <f t="shared" si="30"/>
        <v>1</v>
      </c>
      <c r="T123">
        <f>IFERROR(VLOOKUP($B123, aegis!$V:$W, 2, FALSE), 0)</f>
        <v>0</v>
      </c>
      <c r="U123">
        <f>IFERROR(VLOOKUP($B123, duel!$V:$W, 2, FALSE), 0)</f>
        <v>0</v>
      </c>
      <c r="V123">
        <f>IFERROR(VLOOKUP($B123, blitz!$V:$W, 2, FALSE), 0)</f>
        <v>0</v>
      </c>
      <c r="W123" t="b">
        <f t="shared" si="31"/>
        <v>1</v>
      </c>
      <c r="X123" t="str">
        <f>IFERROR(VLOOKUP($B123, aegis!$AA:$AB, 2, FALSE), 0)</f>
        <v>2</v>
      </c>
      <c r="Y123" t="str">
        <f>IFERROR(VLOOKUP($B123, duel!$AA:$AB, 2, FALSE), 0)</f>
        <v>2</v>
      </c>
      <c r="Z123" t="str">
        <f>IFERROR(VLOOKUP($B123, blitz!$AA:$AB, 2, FALSE), 0)</f>
        <v>2</v>
      </c>
      <c r="AA123" t="b">
        <f t="shared" si="32"/>
        <v>1</v>
      </c>
      <c r="AB123" t="str">
        <f>IFERROR(VLOOKUP($B123, aegis!$AF:$AG, 2, FALSE), 0)</f>
        <v>107</v>
      </c>
      <c r="AC123" t="str">
        <f>IFERROR(VLOOKUP($B123, duel!$AF:$AG, 2, FALSE), 0)</f>
        <v>107</v>
      </c>
      <c r="AD123" t="str">
        <f>IFERROR(VLOOKUP($B123, blitz!$AF:$AG, 2, FALSE), 0)</f>
        <v>107</v>
      </c>
      <c r="AE123" t="b">
        <f t="shared" si="33"/>
        <v>1</v>
      </c>
      <c r="AF123" t="str">
        <f>IFERROR(VLOOKUP($B123, aegis!$AK:$AL, 2, FALSE), 0)</f>
        <v>3</v>
      </c>
      <c r="AG123" t="str">
        <f>IFERROR(VLOOKUP($B123, duel!$AK:$AL, 2, FALSE), 0)</f>
        <v>1</v>
      </c>
      <c r="AH123" t="str">
        <f>IFERROR(VLOOKUP($B123, blitz!$AK:$AL, 2, FALSE), 0)</f>
        <v>1</v>
      </c>
      <c r="AI123" t="b">
        <f t="shared" si="34"/>
        <v>0</v>
      </c>
      <c r="AJ123" t="str">
        <f>IFERROR(VLOOKUP($B123, aegis!$AP:$AQ, 2, FALSE), 0)</f>
        <v>1</v>
      </c>
      <c r="AK123" t="str">
        <f>IFERROR(VLOOKUP($B123, duel!$AP:$AQ, 2, FALSE), 0)</f>
        <v>1</v>
      </c>
      <c r="AL123" t="str">
        <f>IFERROR(VLOOKUP($B123, blitz!$AP:$AQ, 2, FALSE), 0)</f>
        <v>1</v>
      </c>
      <c r="AM123" t="b">
        <f t="shared" si="35"/>
        <v>1</v>
      </c>
      <c r="AN123">
        <f>IFERROR(VLOOKUP($B123, aegis!$AU:$AV, 2, FALSE), 0)</f>
        <v>0</v>
      </c>
      <c r="AO123">
        <f>IFERROR(VLOOKUP($B123, duel!$AU:$AV, 2, FALSE), 0)</f>
        <v>0</v>
      </c>
      <c r="AP123">
        <f>IFERROR(VLOOKUP($B123, blitz!$AU:$AV, 2, FALSE), 0)</f>
        <v>0</v>
      </c>
      <c r="AQ123" t="b">
        <f t="shared" si="36"/>
        <v>1</v>
      </c>
      <c r="AR123" t="str">
        <f>IFERROR(VLOOKUP($B123, aegis!$AZ:$BA, 2, FALSE), 0)</f>
        <v>2</v>
      </c>
      <c r="AS123" t="str">
        <f>IFERROR(VLOOKUP($B123, duel!$AZ:$BA, 2, FALSE), 0)</f>
        <v>2</v>
      </c>
      <c r="AT123" t="str">
        <f>IFERROR(VLOOKUP($B123, blitz!$AZ:$BA, 2, FALSE), 0)</f>
        <v>2</v>
      </c>
      <c r="AU123" t="b">
        <f t="shared" si="37"/>
        <v>1</v>
      </c>
      <c r="AV123" t="str">
        <f>IFERROR(VLOOKUP($B123, aegis!$BE:$BF, 2, FALSE), 0)</f>
        <v>1</v>
      </c>
      <c r="AW123" t="str">
        <f>IFERROR(VLOOKUP($B123, duel!$BE:$BF, 2, FALSE), 0)</f>
        <v>1</v>
      </c>
      <c r="AX123" t="str">
        <f>IFERROR(VLOOKUP($B123, blitz!$BE:$BF, 2, FALSE), 0)</f>
        <v>1</v>
      </c>
      <c r="AY123" t="b">
        <f t="shared" si="38"/>
        <v>1</v>
      </c>
      <c r="AZ123" t="str">
        <f>IFERROR(VLOOKUP($B123, aegis!$BJ:$BK, 2, FALSE), 0)</f>
        <v>1</v>
      </c>
      <c r="BA123" t="str">
        <f>IFERROR(VLOOKUP($B123, duel!$BJ:$BK, 2, FALSE), 0)</f>
        <v>1</v>
      </c>
      <c r="BB123" t="str">
        <f>IFERROR(VLOOKUP($B123, blitz!$BJ:$BK, 2, FALSE), 0)</f>
        <v>1</v>
      </c>
      <c r="BC123" t="b">
        <f t="shared" si="39"/>
        <v>1</v>
      </c>
      <c r="BD123">
        <f>IFERROR(VLOOKUP($B123, aegis!$BO:$BP, 2, FALSE), 0)</f>
        <v>0</v>
      </c>
      <c r="BE123">
        <f>IFERROR(VLOOKUP($B123, duel!$BO:$BP, 2, FALSE), 0)</f>
        <v>0</v>
      </c>
      <c r="BF123">
        <f>IFERROR(VLOOKUP($B123, blitz!$BO:$BP, 2, FALSE), 0)</f>
        <v>0</v>
      </c>
      <c r="BG123" t="b">
        <f t="shared" si="40"/>
        <v>1</v>
      </c>
      <c r="BH123" t="str">
        <f>IFERROR(VLOOKUP($B123, aegis!$BT:$BU, 2, FALSE), 0)</f>
        <v>85</v>
      </c>
      <c r="BI123" t="str">
        <f>IFERROR(VLOOKUP($B123, duel!$BT:$BU, 2, FALSE), 0)</f>
        <v>85</v>
      </c>
      <c r="BJ123" t="str">
        <f>IFERROR(VLOOKUP($B123, blitz!$BT:$BU, 2, FALSE), 0)</f>
        <v>85</v>
      </c>
      <c r="BK123" t="b">
        <f t="shared" si="41"/>
        <v>1</v>
      </c>
      <c r="BL123" t="str">
        <f>IFERROR(VLOOKUP($B123, aegis!$BY:$BZ, 2, FALSE), 0)</f>
        <v>1</v>
      </c>
      <c r="BM123" t="str">
        <f>IFERROR(VLOOKUP($B123, duel!$BY:$BZ, 2, FALSE), 0)</f>
        <v>1</v>
      </c>
      <c r="BN123" t="str">
        <f>IFERROR(VLOOKUP($B123, blitz!$BY:$BZ, 2, FALSE), 0)</f>
        <v>1</v>
      </c>
      <c r="BO123" t="b">
        <f t="shared" si="42"/>
        <v>1</v>
      </c>
      <c r="BP123" t="str">
        <f>IFERROR(VLOOKUP($B123, aegis!$CD:$CE, 2, FALSE), 0)</f>
        <v>5</v>
      </c>
      <c r="BQ123" t="str">
        <f>IFERROR(VLOOKUP($B123, duel!$CD:$CE, 2, FALSE), 0)</f>
        <v>5</v>
      </c>
      <c r="BR123" t="str">
        <f>IFERROR(VLOOKUP($B123, blitz!$CD:$CE, 2, FALSE), 0)</f>
        <v>5</v>
      </c>
      <c r="BS123" t="b">
        <f t="shared" si="43"/>
        <v>1</v>
      </c>
      <c r="BT123">
        <f>IFERROR(VLOOKUP($B123, aegis!$CI:$CJ, 2, FALSE), 0)</f>
        <v>0</v>
      </c>
      <c r="BU123">
        <f>IFERROR(VLOOKUP($B123, duel!$CI:$CJ, 2, FALSE), 0)</f>
        <v>0</v>
      </c>
      <c r="BV123">
        <f>IFERROR(VLOOKUP($B123, blitz!$CI:$CJ, 2, FALSE), 0)</f>
        <v>0</v>
      </c>
      <c r="BW123" t="b">
        <f t="shared" si="44"/>
        <v>1</v>
      </c>
      <c r="BX123">
        <f>IFERROR(VLOOKUP($B123, aegis!$CN:$CO, 2, FALSE), 0)</f>
        <v>0</v>
      </c>
      <c r="BY123">
        <f>IFERROR(VLOOKUP($B123, duel!$CN:$CO, 2, FALSE), 0)</f>
        <v>0</v>
      </c>
      <c r="BZ123">
        <f>IFERROR(VLOOKUP($B123, blitz!$CN:$CO, 2, FALSE), 0)</f>
        <v>0</v>
      </c>
      <c r="CA123" t="b">
        <f t="shared" si="45"/>
        <v>1</v>
      </c>
      <c r="CB123">
        <f>IFERROR(VLOOKUP($B123, aegis!$CS:$CT, 2, FALSE), 0)</f>
        <v>0</v>
      </c>
      <c r="CC123">
        <f>IFERROR(VLOOKUP($B123, duel!$CS:$CT, 2, FALSE), 0)</f>
        <v>0</v>
      </c>
      <c r="CD123">
        <f>IFERROR(VLOOKUP($B123, blitz!$CS:$CT, 2, FALSE), 0)</f>
        <v>0</v>
      </c>
      <c r="CE123" t="b">
        <f t="shared" si="46"/>
        <v>1</v>
      </c>
      <c r="CF123" t="str">
        <f>IFERROR(VLOOKUP($B123, aegis!$CX:$CY, 2, FALSE), 0)</f>
        <v>5347</v>
      </c>
      <c r="CG123" t="str">
        <f>IFERROR(VLOOKUP($B123, duel!$CX:$CY, 2, FALSE), 0)</f>
        <v>5347</v>
      </c>
      <c r="CH123" t="str">
        <f>IFERROR(VLOOKUP($B123, blitz!$CX:$CY, 2, FALSE), 0)</f>
        <v>5345</v>
      </c>
      <c r="CI123" t="b">
        <f t="shared" si="47"/>
        <v>0</v>
      </c>
      <c r="CJ123" t="str">
        <f>IFERROR(VLOOKUP($B123, aegis!$DC:$DD, 2, FALSE), 0)</f>
        <v>1</v>
      </c>
      <c r="CK123" t="str">
        <f>IFERROR(VLOOKUP($B123, duel!$DC:$DD, 2, FALSE), 0)</f>
        <v>1</v>
      </c>
      <c r="CL123" t="str">
        <f>IFERROR(VLOOKUP($B123, blitz!$DC:$DD, 2, FALSE), 0)</f>
        <v>1</v>
      </c>
      <c r="CM123" t="b">
        <f t="shared" si="48"/>
        <v>1</v>
      </c>
      <c r="CN123" t="str">
        <f>IFERROR(VLOOKUP($B123, aegis!$DH:$DI, 2, FALSE), 0)</f>
        <v>4</v>
      </c>
      <c r="CO123" t="str">
        <f>IFERROR(VLOOKUP($B123, duel!$DH:$DI, 2, FALSE), 0)</f>
        <v>4</v>
      </c>
      <c r="CP123" s="13">
        <f>IFERROR(VLOOKUP($B123, blitz!$DH:$DI, 2, FALSE), 0)</f>
        <v>0</v>
      </c>
      <c r="CQ123" t="b">
        <f t="shared" si="49"/>
        <v>1</v>
      </c>
      <c r="CR123" t="str">
        <f>IFERROR(VLOOKUP($B123, aegis!$DM:$DN, 2, FALSE), 0)</f>
        <v>1</v>
      </c>
      <c r="CS123" t="str">
        <f>IFERROR(VLOOKUP($B123, duel!$DM:$DN, 2, FALSE), 0)</f>
        <v>1</v>
      </c>
      <c r="CT123" t="str">
        <f>IFERROR(VLOOKUP($B123, blitz!$DM:$DN, 2, FALSE), 0)</f>
        <v>1</v>
      </c>
      <c r="CU123" t="b">
        <f t="shared" si="50"/>
        <v>1</v>
      </c>
      <c r="CV123" t="str">
        <f>IFERROR(VLOOKUP($B123, aegis!$DR:$DS, 2, FALSE), 0)</f>
        <v>107</v>
      </c>
      <c r="CW123" t="str">
        <f>IFERROR(VLOOKUP($B123, duel!$DR:$DS, 2, FALSE), 0)</f>
        <v>107</v>
      </c>
      <c r="CX123" t="str">
        <f>IFERROR(VLOOKUP($B123, blitz!$DR:$DS, 2, FALSE), 0)</f>
        <v>107</v>
      </c>
      <c r="CY123" t="b">
        <f t="shared" si="51"/>
        <v>1</v>
      </c>
    </row>
    <row r="124" spans="1:103">
      <c r="A124" t="s">
        <v>1733</v>
      </c>
      <c r="B124" s="6" t="s">
        <v>228</v>
      </c>
      <c r="C124" s="5" t="b">
        <f t="shared" si="26"/>
        <v>0</v>
      </c>
      <c r="D124" t="str">
        <f>IFERROR(VLOOKUP($B124, aegis!$B:$C, 2, FALSE), 0)</f>
        <v>24</v>
      </c>
      <c r="E124" t="str">
        <f>IFERROR(VLOOKUP($B124, duel!$B:$C, 2, FALSE), 0)</f>
        <v>24</v>
      </c>
      <c r="F124" t="str">
        <f>IFERROR(VLOOKUP($B124, blitz!$B:$C, 2, FALSE), 0)</f>
        <v>24</v>
      </c>
      <c r="G124" t="b">
        <f t="shared" si="27"/>
        <v>1</v>
      </c>
      <c r="H124" t="str">
        <f>IFERROR(VLOOKUP($B124, aegis!$G:$H, 2, FALSE), 0)</f>
        <v>14</v>
      </c>
      <c r="I124" t="str">
        <f>IFERROR(VLOOKUP($B124, duel!$G:$H, 2, FALSE), 0)</f>
        <v>14</v>
      </c>
      <c r="J124" t="str">
        <f>IFERROR(VLOOKUP($B124, blitz!$G:$H, 2, FALSE), 0)</f>
        <v>14</v>
      </c>
      <c r="K124" t="b">
        <f t="shared" si="28"/>
        <v>1</v>
      </c>
      <c r="L124" t="str">
        <f>IFERROR(VLOOKUP($B124, aegis!$L:$M, 2, FALSE), 0)</f>
        <v>24</v>
      </c>
      <c r="M124" t="str">
        <f>IFERROR(VLOOKUP($B124, duel!$L:$M, 2, FALSE), 0)</f>
        <v>24</v>
      </c>
      <c r="N124" t="str">
        <f>IFERROR(VLOOKUP($B124, blitz!$L:$M, 2, FALSE), 0)</f>
        <v>24</v>
      </c>
      <c r="O124" t="b">
        <f t="shared" si="29"/>
        <v>1</v>
      </c>
      <c r="P124" t="str">
        <f>IFERROR(VLOOKUP($B124, aegis!$Q:$R, 2, FALSE), 0)</f>
        <v>14</v>
      </c>
      <c r="Q124" t="str">
        <f>IFERROR(VLOOKUP($B124, duel!$Q:$R, 2, FALSE), 0)</f>
        <v>14</v>
      </c>
      <c r="R124" t="str">
        <f>IFERROR(VLOOKUP($B124, blitz!$Q:$R, 2, FALSE), 0)</f>
        <v>14</v>
      </c>
      <c r="S124" t="b">
        <f t="shared" si="30"/>
        <v>1</v>
      </c>
      <c r="T124">
        <f>IFERROR(VLOOKUP($B124, aegis!$V:$W, 2, FALSE), 0)</f>
        <v>0</v>
      </c>
      <c r="U124">
        <f>IFERROR(VLOOKUP($B124, duel!$V:$W, 2, FALSE), 0)</f>
        <v>0</v>
      </c>
      <c r="V124">
        <f>IFERROR(VLOOKUP($B124, blitz!$V:$W, 2, FALSE), 0)</f>
        <v>0</v>
      </c>
      <c r="W124" t="b">
        <f t="shared" si="31"/>
        <v>1</v>
      </c>
      <c r="X124" t="str">
        <f>IFERROR(VLOOKUP($B124, aegis!$AA:$AB, 2, FALSE), 0)</f>
        <v>2</v>
      </c>
      <c r="Y124" t="str">
        <f>IFERROR(VLOOKUP($B124, duel!$AA:$AB, 2, FALSE), 0)</f>
        <v>2</v>
      </c>
      <c r="Z124" t="str">
        <f>IFERROR(VLOOKUP($B124, blitz!$AA:$AB, 2, FALSE), 0)</f>
        <v>2</v>
      </c>
      <c r="AA124" t="b">
        <f t="shared" si="32"/>
        <v>1</v>
      </c>
      <c r="AB124" t="str">
        <f>IFERROR(VLOOKUP($B124, aegis!$AF:$AG, 2, FALSE), 0)</f>
        <v>77</v>
      </c>
      <c r="AC124" t="str">
        <f>IFERROR(VLOOKUP($B124, duel!$AF:$AG, 2, FALSE), 0)</f>
        <v>77</v>
      </c>
      <c r="AD124" t="str">
        <f>IFERROR(VLOOKUP($B124, blitz!$AF:$AG, 2, FALSE), 0)</f>
        <v>77</v>
      </c>
      <c r="AE124" t="b">
        <f t="shared" si="33"/>
        <v>1</v>
      </c>
      <c r="AF124" t="str">
        <f>IFERROR(VLOOKUP($B124, aegis!$AK:$AL, 2, FALSE), 0)</f>
        <v>3</v>
      </c>
      <c r="AG124" t="str">
        <f>IFERROR(VLOOKUP($B124, duel!$AK:$AL, 2, FALSE), 0)</f>
        <v>1</v>
      </c>
      <c r="AH124" t="str">
        <f>IFERROR(VLOOKUP($B124, blitz!$AK:$AL, 2, FALSE), 0)</f>
        <v>1</v>
      </c>
      <c r="AI124" t="b">
        <f t="shared" si="34"/>
        <v>0</v>
      </c>
      <c r="AJ124" t="str">
        <f>IFERROR(VLOOKUP($B124, aegis!$AP:$AQ, 2, FALSE), 0)</f>
        <v>1</v>
      </c>
      <c r="AK124" t="str">
        <f>IFERROR(VLOOKUP($B124, duel!$AP:$AQ, 2, FALSE), 0)</f>
        <v>1</v>
      </c>
      <c r="AL124" t="str">
        <f>IFERROR(VLOOKUP($B124, blitz!$AP:$AQ, 2, FALSE), 0)</f>
        <v>1</v>
      </c>
      <c r="AM124" t="b">
        <f t="shared" si="35"/>
        <v>1</v>
      </c>
      <c r="AN124">
        <f>IFERROR(VLOOKUP($B124, aegis!$AU:$AV, 2, FALSE), 0)</f>
        <v>0</v>
      </c>
      <c r="AO124">
        <f>IFERROR(VLOOKUP($B124, duel!$AU:$AV, 2, FALSE), 0)</f>
        <v>0</v>
      </c>
      <c r="AP124">
        <f>IFERROR(VLOOKUP($B124, blitz!$AU:$AV, 2, FALSE), 0)</f>
        <v>0</v>
      </c>
      <c r="AQ124" t="b">
        <f t="shared" si="36"/>
        <v>1</v>
      </c>
      <c r="AR124" t="str">
        <f>IFERROR(VLOOKUP($B124, aegis!$AZ:$BA, 2, FALSE), 0)</f>
        <v>2</v>
      </c>
      <c r="AS124" t="str">
        <f>IFERROR(VLOOKUP($B124, duel!$AZ:$BA, 2, FALSE), 0)</f>
        <v>2</v>
      </c>
      <c r="AT124" t="str">
        <f>IFERROR(VLOOKUP($B124, blitz!$AZ:$BA, 2, FALSE), 0)</f>
        <v>2</v>
      </c>
      <c r="AU124" t="b">
        <f t="shared" si="37"/>
        <v>1</v>
      </c>
      <c r="AV124" t="str">
        <f>IFERROR(VLOOKUP($B124, aegis!$BE:$BF, 2, FALSE), 0)</f>
        <v>1</v>
      </c>
      <c r="AW124" t="str">
        <f>IFERROR(VLOOKUP($B124, duel!$BE:$BF, 2, FALSE), 0)</f>
        <v>1</v>
      </c>
      <c r="AX124" t="str">
        <f>IFERROR(VLOOKUP($B124, blitz!$BE:$BF, 2, FALSE), 0)</f>
        <v>1</v>
      </c>
      <c r="AY124" t="b">
        <f t="shared" si="38"/>
        <v>1</v>
      </c>
      <c r="AZ124" t="str">
        <f>IFERROR(VLOOKUP($B124, aegis!$BJ:$BK, 2, FALSE), 0)</f>
        <v>1</v>
      </c>
      <c r="BA124" t="str">
        <f>IFERROR(VLOOKUP($B124, duel!$BJ:$BK, 2, FALSE), 0)</f>
        <v>1</v>
      </c>
      <c r="BB124" t="str">
        <f>IFERROR(VLOOKUP($B124, blitz!$BJ:$BK, 2, FALSE), 0)</f>
        <v>1</v>
      </c>
      <c r="BC124" t="b">
        <f t="shared" si="39"/>
        <v>1</v>
      </c>
      <c r="BD124">
        <f>IFERROR(VLOOKUP($B124, aegis!$BO:$BP, 2, FALSE), 0)</f>
        <v>0</v>
      </c>
      <c r="BE124">
        <f>IFERROR(VLOOKUP($B124, duel!$BO:$BP, 2, FALSE), 0)</f>
        <v>0</v>
      </c>
      <c r="BF124">
        <f>IFERROR(VLOOKUP($B124, blitz!$BO:$BP, 2, FALSE), 0)</f>
        <v>0</v>
      </c>
      <c r="BG124" t="b">
        <f t="shared" si="40"/>
        <v>1</v>
      </c>
      <c r="BH124" t="str">
        <f>IFERROR(VLOOKUP($B124, aegis!$BT:$BU, 2, FALSE), 0)</f>
        <v>82</v>
      </c>
      <c r="BI124" t="str">
        <f>IFERROR(VLOOKUP($B124, duel!$BT:$BU, 2, FALSE), 0)</f>
        <v>82</v>
      </c>
      <c r="BJ124" t="str">
        <f>IFERROR(VLOOKUP($B124, blitz!$BT:$BU, 2, FALSE), 0)</f>
        <v>82</v>
      </c>
      <c r="BK124" t="b">
        <f t="shared" si="41"/>
        <v>1</v>
      </c>
      <c r="BL124" t="str">
        <f>IFERROR(VLOOKUP($B124, aegis!$BY:$BZ, 2, FALSE), 0)</f>
        <v>1</v>
      </c>
      <c r="BM124" t="str">
        <f>IFERROR(VLOOKUP($B124, duel!$BY:$BZ, 2, FALSE), 0)</f>
        <v>1</v>
      </c>
      <c r="BN124" t="str">
        <f>IFERROR(VLOOKUP($B124, blitz!$BY:$BZ, 2, FALSE), 0)</f>
        <v>1</v>
      </c>
      <c r="BO124" t="b">
        <f t="shared" si="42"/>
        <v>1</v>
      </c>
      <c r="BP124" t="str">
        <f>IFERROR(VLOOKUP($B124, aegis!$CD:$CE, 2, FALSE), 0)</f>
        <v>5</v>
      </c>
      <c r="BQ124" t="str">
        <f>IFERROR(VLOOKUP($B124, duel!$CD:$CE, 2, FALSE), 0)</f>
        <v>5</v>
      </c>
      <c r="BR124" t="str">
        <f>IFERROR(VLOOKUP($B124, blitz!$CD:$CE, 2, FALSE), 0)</f>
        <v>5</v>
      </c>
      <c r="BS124" t="b">
        <f t="shared" si="43"/>
        <v>1</v>
      </c>
      <c r="BT124">
        <f>IFERROR(VLOOKUP($B124, aegis!$CI:$CJ, 2, FALSE), 0)</f>
        <v>0</v>
      </c>
      <c r="BU124">
        <f>IFERROR(VLOOKUP($B124, duel!$CI:$CJ, 2, FALSE), 0)</f>
        <v>0</v>
      </c>
      <c r="BV124">
        <f>IFERROR(VLOOKUP($B124, blitz!$CI:$CJ, 2, FALSE), 0)</f>
        <v>0</v>
      </c>
      <c r="BW124" t="b">
        <f t="shared" si="44"/>
        <v>1</v>
      </c>
      <c r="BX124">
        <f>IFERROR(VLOOKUP($B124, aegis!$CN:$CO, 2, FALSE), 0)</f>
        <v>0</v>
      </c>
      <c r="BY124">
        <f>IFERROR(VLOOKUP($B124, duel!$CN:$CO, 2, FALSE), 0)</f>
        <v>0</v>
      </c>
      <c r="BZ124">
        <f>IFERROR(VLOOKUP($B124, blitz!$CN:$CO, 2, FALSE), 0)</f>
        <v>0</v>
      </c>
      <c r="CA124" t="b">
        <f t="shared" si="45"/>
        <v>1</v>
      </c>
      <c r="CB124">
        <f>IFERROR(VLOOKUP($B124, aegis!$CS:$CT, 2, FALSE), 0)</f>
        <v>0</v>
      </c>
      <c r="CC124">
        <f>IFERROR(VLOOKUP($B124, duel!$CS:$CT, 2, FALSE), 0)</f>
        <v>0</v>
      </c>
      <c r="CD124">
        <f>IFERROR(VLOOKUP($B124, blitz!$CS:$CT, 2, FALSE), 0)</f>
        <v>0</v>
      </c>
      <c r="CE124" t="b">
        <f t="shared" si="46"/>
        <v>1</v>
      </c>
      <c r="CF124" t="str">
        <f>IFERROR(VLOOKUP($B124, aegis!$CX:$CY, 2, FALSE), 0)</f>
        <v>4676</v>
      </c>
      <c r="CG124" t="str">
        <f>IFERROR(VLOOKUP($B124, duel!$CX:$CY, 2, FALSE), 0)</f>
        <v>4674</v>
      </c>
      <c r="CH124" t="str">
        <f>IFERROR(VLOOKUP($B124, blitz!$CX:$CY, 2, FALSE), 0)</f>
        <v>4675</v>
      </c>
      <c r="CI124" t="b">
        <f t="shared" si="47"/>
        <v>0</v>
      </c>
      <c r="CJ124" t="str">
        <f>IFERROR(VLOOKUP($B124, aegis!$DC:$DD, 2, FALSE), 0)</f>
        <v>1</v>
      </c>
      <c r="CK124" t="str">
        <f>IFERROR(VLOOKUP($B124, duel!$DC:$DD, 2, FALSE), 0)</f>
        <v>1</v>
      </c>
      <c r="CL124" t="str">
        <f>IFERROR(VLOOKUP($B124, blitz!$DC:$DD, 2, FALSE), 0)</f>
        <v>1</v>
      </c>
      <c r="CM124" t="b">
        <f t="shared" si="48"/>
        <v>1</v>
      </c>
      <c r="CN124" t="str">
        <f>IFERROR(VLOOKUP($B124, aegis!$DH:$DI, 2, FALSE), 0)</f>
        <v>4</v>
      </c>
      <c r="CO124" t="str">
        <f>IFERROR(VLOOKUP($B124, duel!$DH:$DI, 2, FALSE), 0)</f>
        <v>4</v>
      </c>
      <c r="CP124" s="13">
        <f>IFERROR(VLOOKUP($B124, blitz!$DH:$DI, 2, FALSE), 0)</f>
        <v>0</v>
      </c>
      <c r="CQ124" t="b">
        <f t="shared" si="49"/>
        <v>1</v>
      </c>
      <c r="CR124" t="str">
        <f>IFERROR(VLOOKUP($B124, aegis!$DM:$DN, 2, FALSE), 0)</f>
        <v>1</v>
      </c>
      <c r="CS124" t="str">
        <f>IFERROR(VLOOKUP($B124, duel!$DM:$DN, 2, FALSE), 0)</f>
        <v>1</v>
      </c>
      <c r="CT124" t="str">
        <f>IFERROR(VLOOKUP($B124, blitz!$DM:$DN, 2, FALSE), 0)</f>
        <v>1</v>
      </c>
      <c r="CU124" t="b">
        <f t="shared" si="50"/>
        <v>1</v>
      </c>
      <c r="CV124" t="str">
        <f>IFERROR(VLOOKUP($B124, aegis!$DR:$DS, 2, FALSE), 0)</f>
        <v>77</v>
      </c>
      <c r="CW124" t="str">
        <f>IFERROR(VLOOKUP($B124, duel!$DR:$DS, 2, FALSE), 0)</f>
        <v>77</v>
      </c>
      <c r="CX124" t="str">
        <f>IFERROR(VLOOKUP($B124, blitz!$DR:$DS, 2, FALSE), 0)</f>
        <v>77</v>
      </c>
      <c r="CY124" t="b">
        <f t="shared" si="51"/>
        <v>1</v>
      </c>
    </row>
    <row r="125" spans="1:103">
      <c r="B125" s="6" t="s">
        <v>229</v>
      </c>
      <c r="C125" s="5" t="b">
        <f t="shared" si="26"/>
        <v>0</v>
      </c>
      <c r="D125" t="str">
        <f>IFERROR(VLOOKUP($B125, aegis!$B:$C, 2, FALSE), 0)</f>
        <v>12</v>
      </c>
      <c r="E125" t="str">
        <f>IFERROR(VLOOKUP($B125, duel!$B:$C, 2, FALSE), 0)</f>
        <v>12</v>
      </c>
      <c r="F125" t="str">
        <f>IFERROR(VLOOKUP($B125, blitz!$B:$C, 2, FALSE), 0)</f>
        <v>12</v>
      </c>
      <c r="G125" t="b">
        <f t="shared" si="27"/>
        <v>1</v>
      </c>
      <c r="H125" t="str">
        <f>IFERROR(VLOOKUP($B125, aegis!$G:$H, 2, FALSE), 0)</f>
        <v>7</v>
      </c>
      <c r="I125" t="str">
        <f>IFERROR(VLOOKUP($B125, duel!$G:$H, 2, FALSE), 0)</f>
        <v>7</v>
      </c>
      <c r="J125" t="str">
        <f>IFERROR(VLOOKUP($B125, blitz!$G:$H, 2, FALSE), 0)</f>
        <v>7</v>
      </c>
      <c r="K125" t="b">
        <f t="shared" si="28"/>
        <v>1</v>
      </c>
      <c r="L125" t="str">
        <f>IFERROR(VLOOKUP($B125, aegis!$L:$M, 2, FALSE), 0)</f>
        <v>12</v>
      </c>
      <c r="M125" t="str">
        <f>IFERROR(VLOOKUP($B125, duel!$L:$M, 2, FALSE), 0)</f>
        <v>12</v>
      </c>
      <c r="N125" t="str">
        <f>IFERROR(VLOOKUP($B125, blitz!$L:$M, 2, FALSE), 0)</f>
        <v>12</v>
      </c>
      <c r="O125" t="b">
        <f t="shared" si="29"/>
        <v>1</v>
      </c>
      <c r="P125" t="str">
        <f>IFERROR(VLOOKUP($B125, aegis!$Q:$R, 2, FALSE), 0)</f>
        <v>7</v>
      </c>
      <c r="Q125" t="str">
        <f>IFERROR(VLOOKUP($B125, duel!$Q:$R, 2, FALSE), 0)</f>
        <v>7</v>
      </c>
      <c r="R125" t="str">
        <f>IFERROR(VLOOKUP($B125, blitz!$Q:$R, 2, FALSE), 0)</f>
        <v>7</v>
      </c>
      <c r="S125" t="b">
        <f t="shared" si="30"/>
        <v>1</v>
      </c>
      <c r="T125">
        <f>IFERROR(VLOOKUP($B125, aegis!$V:$W, 2, FALSE), 0)</f>
        <v>0</v>
      </c>
      <c r="U125">
        <f>IFERROR(VLOOKUP($B125, duel!$V:$W, 2, FALSE), 0)</f>
        <v>0</v>
      </c>
      <c r="V125">
        <f>IFERROR(VLOOKUP($B125, blitz!$V:$W, 2, FALSE), 0)</f>
        <v>0</v>
      </c>
      <c r="W125" t="b">
        <f t="shared" si="31"/>
        <v>1</v>
      </c>
      <c r="X125" t="str">
        <f>IFERROR(VLOOKUP($B125, aegis!$AA:$AB, 2, FALSE), 0)</f>
        <v>1</v>
      </c>
      <c r="Y125" t="str">
        <f>IFERROR(VLOOKUP($B125, duel!$AA:$AB, 2, FALSE), 0)</f>
        <v>1</v>
      </c>
      <c r="Z125" t="str">
        <f>IFERROR(VLOOKUP($B125, blitz!$AA:$AB, 2, FALSE), 0)</f>
        <v>1</v>
      </c>
      <c r="AA125" t="b">
        <f t="shared" si="32"/>
        <v>1</v>
      </c>
      <c r="AB125">
        <f>IFERROR(VLOOKUP($B125, aegis!$AF:$AG, 2, FALSE), 0)</f>
        <v>0</v>
      </c>
      <c r="AC125">
        <f>IFERROR(VLOOKUP($B125, duel!$AF:$AG, 2, FALSE), 0)</f>
        <v>0</v>
      </c>
      <c r="AD125">
        <f>IFERROR(VLOOKUP($B125, blitz!$AF:$AG, 2, FALSE), 0)</f>
        <v>0</v>
      </c>
      <c r="AE125" t="b">
        <f t="shared" si="33"/>
        <v>1</v>
      </c>
      <c r="AF125" t="str">
        <f>IFERROR(VLOOKUP($B125, aegis!$AK:$AL, 2, FALSE), 0)</f>
        <v>2</v>
      </c>
      <c r="AG125" t="str">
        <f>IFERROR(VLOOKUP($B125, duel!$AK:$AL, 2, FALSE), 0)</f>
        <v>1</v>
      </c>
      <c r="AH125" t="str">
        <f>IFERROR(VLOOKUP($B125, blitz!$AK:$AL, 2, FALSE), 0)</f>
        <v>1</v>
      </c>
      <c r="AI125" t="b">
        <f t="shared" si="34"/>
        <v>0</v>
      </c>
      <c r="AJ125">
        <f>IFERROR(VLOOKUP($B125, aegis!$AP:$AQ, 2, FALSE), 0)</f>
        <v>0</v>
      </c>
      <c r="AK125">
        <f>IFERROR(VLOOKUP($B125, duel!$AP:$AQ, 2, FALSE), 0)</f>
        <v>0</v>
      </c>
      <c r="AL125">
        <f>IFERROR(VLOOKUP($B125, blitz!$AP:$AQ, 2, FALSE), 0)</f>
        <v>0</v>
      </c>
      <c r="AM125" t="b">
        <f t="shared" si="35"/>
        <v>1</v>
      </c>
      <c r="AN125">
        <f>IFERROR(VLOOKUP($B125, aegis!$AU:$AV, 2, FALSE), 0)</f>
        <v>0</v>
      </c>
      <c r="AO125">
        <f>IFERROR(VLOOKUP($B125, duel!$AU:$AV, 2, FALSE), 0)</f>
        <v>0</v>
      </c>
      <c r="AP125">
        <f>IFERROR(VLOOKUP($B125, blitz!$AU:$AV, 2, FALSE), 0)</f>
        <v>0</v>
      </c>
      <c r="AQ125" t="b">
        <f t="shared" si="36"/>
        <v>1</v>
      </c>
      <c r="AR125" t="str">
        <f>IFERROR(VLOOKUP($B125, aegis!$AZ:$BA, 2, FALSE), 0)</f>
        <v>1</v>
      </c>
      <c r="AS125" t="str">
        <f>IFERROR(VLOOKUP($B125, duel!$AZ:$BA, 2, FALSE), 0)</f>
        <v>1</v>
      </c>
      <c r="AT125" t="str">
        <f>IFERROR(VLOOKUP($B125, blitz!$AZ:$BA, 2, FALSE), 0)</f>
        <v>1</v>
      </c>
      <c r="AU125" t="b">
        <f t="shared" si="37"/>
        <v>1</v>
      </c>
      <c r="AV125">
        <f>IFERROR(VLOOKUP($B125, aegis!$BE:$BF, 2, FALSE), 0)</f>
        <v>0</v>
      </c>
      <c r="AW125">
        <f>IFERROR(VLOOKUP($B125, duel!$BE:$BF, 2, FALSE), 0)</f>
        <v>0</v>
      </c>
      <c r="AX125">
        <f>IFERROR(VLOOKUP($B125, blitz!$BE:$BF, 2, FALSE), 0)</f>
        <v>0</v>
      </c>
      <c r="AY125" t="b">
        <f t="shared" si="38"/>
        <v>1</v>
      </c>
      <c r="AZ125" t="str">
        <f>IFERROR(VLOOKUP($B125, aegis!$BJ:$BK, 2, FALSE), 0)</f>
        <v>1</v>
      </c>
      <c r="BA125" t="str">
        <f>IFERROR(VLOOKUP($B125, duel!$BJ:$BK, 2, FALSE), 0)</f>
        <v>1</v>
      </c>
      <c r="BB125" t="str">
        <f>IFERROR(VLOOKUP($B125, blitz!$BJ:$BK, 2, FALSE), 0)</f>
        <v>1</v>
      </c>
      <c r="BC125" t="b">
        <f t="shared" si="39"/>
        <v>1</v>
      </c>
      <c r="BD125">
        <f>IFERROR(VLOOKUP($B125, aegis!$BO:$BP, 2, FALSE), 0)</f>
        <v>0</v>
      </c>
      <c r="BE125">
        <f>IFERROR(VLOOKUP($B125, duel!$BO:$BP, 2, FALSE), 0)</f>
        <v>0</v>
      </c>
      <c r="BF125">
        <f>IFERROR(VLOOKUP($B125, blitz!$BO:$BP, 2, FALSE), 0)</f>
        <v>0</v>
      </c>
      <c r="BG125" t="b">
        <f t="shared" si="40"/>
        <v>1</v>
      </c>
      <c r="BH125">
        <f>IFERROR(VLOOKUP($B125, aegis!$BT:$BU, 2, FALSE), 0)</f>
        <v>0</v>
      </c>
      <c r="BI125">
        <f>IFERROR(VLOOKUP($B125, duel!$BT:$BU, 2, FALSE), 0)</f>
        <v>0</v>
      </c>
      <c r="BJ125">
        <f>IFERROR(VLOOKUP($B125, blitz!$BT:$BU, 2, FALSE), 0)</f>
        <v>0</v>
      </c>
      <c r="BK125" t="b">
        <f t="shared" si="41"/>
        <v>1</v>
      </c>
      <c r="BL125">
        <f>IFERROR(VLOOKUP($B125, aegis!$BY:$BZ, 2, FALSE), 0)</f>
        <v>0</v>
      </c>
      <c r="BM125">
        <f>IFERROR(VLOOKUP($B125, duel!$BY:$BZ, 2, FALSE), 0)</f>
        <v>0</v>
      </c>
      <c r="BN125">
        <f>IFERROR(VLOOKUP($B125, blitz!$BY:$BZ, 2, FALSE), 0)</f>
        <v>0</v>
      </c>
      <c r="BO125" t="b">
        <f t="shared" si="42"/>
        <v>1</v>
      </c>
      <c r="BP125" t="str">
        <f>IFERROR(VLOOKUP($B125, aegis!$CD:$CE, 2, FALSE), 0)</f>
        <v>1</v>
      </c>
      <c r="BQ125" t="str">
        <f>IFERROR(VLOOKUP($B125, duel!$CD:$CE, 2, FALSE), 0)</f>
        <v>1</v>
      </c>
      <c r="BR125" t="str">
        <f>IFERROR(VLOOKUP($B125, blitz!$CD:$CE, 2, FALSE), 0)</f>
        <v>1</v>
      </c>
      <c r="BS125" t="b">
        <f t="shared" si="43"/>
        <v>1</v>
      </c>
      <c r="BT125">
        <f>IFERROR(VLOOKUP($B125, aegis!$CI:$CJ, 2, FALSE), 0)</f>
        <v>0</v>
      </c>
      <c r="BU125">
        <f>IFERROR(VLOOKUP($B125, duel!$CI:$CJ, 2, FALSE), 0)</f>
        <v>0</v>
      </c>
      <c r="BV125">
        <f>IFERROR(VLOOKUP($B125, blitz!$CI:$CJ, 2, FALSE), 0)</f>
        <v>0</v>
      </c>
      <c r="BW125" t="b">
        <f t="shared" si="44"/>
        <v>1</v>
      </c>
      <c r="BX125">
        <f>IFERROR(VLOOKUP($B125, aegis!$CN:$CO, 2, FALSE), 0)</f>
        <v>0</v>
      </c>
      <c r="BY125">
        <f>IFERROR(VLOOKUP($B125, duel!$CN:$CO, 2, FALSE), 0)</f>
        <v>0</v>
      </c>
      <c r="BZ125">
        <f>IFERROR(VLOOKUP($B125, blitz!$CN:$CO, 2, FALSE), 0)</f>
        <v>0</v>
      </c>
      <c r="CA125" t="b">
        <f t="shared" si="45"/>
        <v>1</v>
      </c>
      <c r="CB125">
        <f>IFERROR(VLOOKUP($B125, aegis!$CS:$CT, 2, FALSE), 0)</f>
        <v>0</v>
      </c>
      <c r="CC125">
        <f>IFERROR(VLOOKUP($B125, duel!$CS:$CT, 2, FALSE), 0)</f>
        <v>0</v>
      </c>
      <c r="CD125">
        <f>IFERROR(VLOOKUP($B125, blitz!$CS:$CT, 2, FALSE), 0)</f>
        <v>0</v>
      </c>
      <c r="CE125" t="b">
        <f t="shared" si="46"/>
        <v>1</v>
      </c>
      <c r="CF125">
        <f>IFERROR(VLOOKUP($B125, aegis!$CX:$CY, 2, FALSE), 0)</f>
        <v>0</v>
      </c>
      <c r="CG125">
        <f>IFERROR(VLOOKUP($B125, duel!$CX:$CY, 2, FALSE), 0)</f>
        <v>0</v>
      </c>
      <c r="CH125">
        <f>IFERROR(VLOOKUP($B125, blitz!$CX:$CY, 2, FALSE), 0)</f>
        <v>0</v>
      </c>
      <c r="CI125" t="b">
        <f t="shared" si="47"/>
        <v>1</v>
      </c>
      <c r="CJ125" t="str">
        <f>IFERROR(VLOOKUP($B125, aegis!$DC:$DD, 2, FALSE), 0)</f>
        <v>1</v>
      </c>
      <c r="CK125" t="str">
        <f>IFERROR(VLOOKUP($B125, duel!$DC:$DD, 2, FALSE), 0)</f>
        <v>1</v>
      </c>
      <c r="CL125" t="str">
        <f>IFERROR(VLOOKUP($B125, blitz!$DC:$DD, 2, FALSE), 0)</f>
        <v>1</v>
      </c>
      <c r="CM125" t="b">
        <f t="shared" si="48"/>
        <v>1</v>
      </c>
      <c r="CN125">
        <f>IFERROR(VLOOKUP($B125, aegis!$DH:$DI, 2, FALSE), 0)</f>
        <v>0</v>
      </c>
      <c r="CO125">
        <f>IFERROR(VLOOKUP($B125, duel!$DH:$DI, 2, FALSE), 0)</f>
        <v>0</v>
      </c>
      <c r="CP125" s="13">
        <f>IFERROR(VLOOKUP($B125, blitz!$DH:$DI, 2, FALSE), 0)</f>
        <v>0</v>
      </c>
      <c r="CQ125" t="b">
        <f t="shared" si="49"/>
        <v>1</v>
      </c>
      <c r="CR125">
        <f>IFERROR(VLOOKUP($B125, aegis!$DM:$DN, 2, FALSE), 0)</f>
        <v>0</v>
      </c>
      <c r="CS125">
        <f>IFERROR(VLOOKUP($B125, duel!$DM:$DN, 2, FALSE), 0)</f>
        <v>0</v>
      </c>
      <c r="CT125">
        <f>IFERROR(VLOOKUP($B125, blitz!$DM:$DN, 2, FALSE), 0)</f>
        <v>0</v>
      </c>
      <c r="CU125" t="b">
        <f t="shared" si="50"/>
        <v>1</v>
      </c>
      <c r="CV125">
        <f>IFERROR(VLOOKUP($B125, aegis!$DR:$DS, 2, FALSE), 0)</f>
        <v>0</v>
      </c>
      <c r="CW125">
        <f>IFERROR(VLOOKUP($B125, duel!$DR:$DS, 2, FALSE), 0)</f>
        <v>0</v>
      </c>
      <c r="CX125">
        <f>IFERROR(VLOOKUP($B125, blitz!$DR:$DS, 2, FALSE), 0)</f>
        <v>0</v>
      </c>
      <c r="CY125" t="b">
        <f t="shared" si="51"/>
        <v>1</v>
      </c>
    </row>
    <row r="126" spans="1:103">
      <c r="B126" s="6" t="s">
        <v>231</v>
      </c>
      <c r="C126" s="5" t="b">
        <f t="shared" si="26"/>
        <v>0</v>
      </c>
      <c r="D126" t="str">
        <f>IFERROR(VLOOKUP($B126, aegis!$B:$C, 2, FALSE), 0)</f>
        <v>24</v>
      </c>
      <c r="E126" t="str">
        <f>IFERROR(VLOOKUP($B126, duel!$B:$C, 2, FALSE), 0)</f>
        <v>24</v>
      </c>
      <c r="F126" t="str">
        <f>IFERROR(VLOOKUP($B126, blitz!$B:$C, 2, FALSE), 0)</f>
        <v>24</v>
      </c>
      <c r="G126" t="b">
        <f t="shared" si="27"/>
        <v>1</v>
      </c>
      <c r="H126" t="str">
        <f>IFERROR(VLOOKUP($B126, aegis!$G:$H, 2, FALSE), 0)</f>
        <v>14</v>
      </c>
      <c r="I126" t="str">
        <f>IFERROR(VLOOKUP($B126, duel!$G:$H, 2, FALSE), 0)</f>
        <v>14</v>
      </c>
      <c r="J126" t="str">
        <f>IFERROR(VLOOKUP($B126, blitz!$G:$H, 2, FALSE), 0)</f>
        <v>14</v>
      </c>
      <c r="K126" t="b">
        <f t="shared" si="28"/>
        <v>1</v>
      </c>
      <c r="L126" t="str">
        <f>IFERROR(VLOOKUP($B126, aegis!$L:$M, 2, FALSE), 0)</f>
        <v>24</v>
      </c>
      <c r="M126" t="str">
        <f>IFERROR(VLOOKUP($B126, duel!$L:$M, 2, FALSE), 0)</f>
        <v>24</v>
      </c>
      <c r="N126" t="str">
        <f>IFERROR(VLOOKUP($B126, blitz!$L:$M, 2, FALSE), 0)</f>
        <v>24</v>
      </c>
      <c r="O126" t="b">
        <f t="shared" si="29"/>
        <v>1</v>
      </c>
      <c r="P126" t="str">
        <f>IFERROR(VLOOKUP($B126, aegis!$Q:$R, 2, FALSE), 0)</f>
        <v>14</v>
      </c>
      <c r="Q126" t="str">
        <f>IFERROR(VLOOKUP($B126, duel!$Q:$R, 2, FALSE), 0)</f>
        <v>14</v>
      </c>
      <c r="R126" t="str">
        <f>IFERROR(VLOOKUP($B126, blitz!$Q:$R, 2, FALSE), 0)</f>
        <v>14</v>
      </c>
      <c r="S126" t="b">
        <f t="shared" si="30"/>
        <v>1</v>
      </c>
      <c r="T126">
        <f>IFERROR(VLOOKUP($B126, aegis!$V:$W, 2, FALSE), 0)</f>
        <v>0</v>
      </c>
      <c r="U126">
        <f>IFERROR(VLOOKUP($B126, duel!$V:$W, 2, FALSE), 0)</f>
        <v>0</v>
      </c>
      <c r="V126">
        <f>IFERROR(VLOOKUP($B126, blitz!$V:$W, 2, FALSE), 0)</f>
        <v>0</v>
      </c>
      <c r="W126" t="b">
        <f t="shared" si="31"/>
        <v>1</v>
      </c>
      <c r="X126" t="str">
        <f>IFERROR(VLOOKUP($B126, aegis!$AA:$AB, 2, FALSE), 0)</f>
        <v>2</v>
      </c>
      <c r="Y126" t="str">
        <f>IFERROR(VLOOKUP($B126, duel!$AA:$AB, 2, FALSE), 0)</f>
        <v>2</v>
      </c>
      <c r="Z126" t="str">
        <f>IFERROR(VLOOKUP($B126, blitz!$AA:$AB, 2, FALSE), 0)</f>
        <v>2</v>
      </c>
      <c r="AA126" t="b">
        <f t="shared" si="32"/>
        <v>1</v>
      </c>
      <c r="AB126">
        <f>IFERROR(VLOOKUP($B126, aegis!$AF:$AG, 2, FALSE), 0)</f>
        <v>0</v>
      </c>
      <c r="AC126">
        <f>IFERROR(VLOOKUP($B126, duel!$AF:$AG, 2, FALSE), 0)</f>
        <v>0</v>
      </c>
      <c r="AD126">
        <f>IFERROR(VLOOKUP($B126, blitz!$AF:$AG, 2, FALSE), 0)</f>
        <v>0</v>
      </c>
      <c r="AE126" t="b">
        <f t="shared" si="33"/>
        <v>1</v>
      </c>
      <c r="AF126" t="str">
        <f>IFERROR(VLOOKUP($B126, aegis!$AK:$AL, 2, FALSE), 0)</f>
        <v>3</v>
      </c>
      <c r="AG126" t="str">
        <f>IFERROR(VLOOKUP($B126, duel!$AK:$AL, 2, FALSE), 0)</f>
        <v>1</v>
      </c>
      <c r="AH126" t="str">
        <f>IFERROR(VLOOKUP($B126, blitz!$AK:$AL, 2, FALSE), 0)</f>
        <v>1</v>
      </c>
      <c r="AI126" t="b">
        <f t="shared" si="34"/>
        <v>0</v>
      </c>
      <c r="AJ126" t="str">
        <f>IFERROR(VLOOKUP($B126, aegis!$AP:$AQ, 2, FALSE), 0)</f>
        <v>1</v>
      </c>
      <c r="AK126" t="str">
        <f>IFERROR(VLOOKUP($B126, duel!$AP:$AQ, 2, FALSE), 0)</f>
        <v>1</v>
      </c>
      <c r="AL126" t="str">
        <f>IFERROR(VLOOKUP($B126, blitz!$AP:$AQ, 2, FALSE), 0)</f>
        <v>1</v>
      </c>
      <c r="AM126" t="b">
        <f t="shared" si="35"/>
        <v>1</v>
      </c>
      <c r="AN126">
        <f>IFERROR(VLOOKUP($B126, aegis!$AU:$AV, 2, FALSE), 0)</f>
        <v>0</v>
      </c>
      <c r="AO126">
        <f>IFERROR(VLOOKUP($B126, duel!$AU:$AV, 2, FALSE), 0)</f>
        <v>0</v>
      </c>
      <c r="AP126">
        <f>IFERROR(VLOOKUP($B126, blitz!$AU:$AV, 2, FALSE), 0)</f>
        <v>0</v>
      </c>
      <c r="AQ126" t="b">
        <f t="shared" si="36"/>
        <v>1</v>
      </c>
      <c r="AR126" t="str">
        <f>IFERROR(VLOOKUP($B126, aegis!$AZ:$BA, 2, FALSE), 0)</f>
        <v>2</v>
      </c>
      <c r="AS126" t="str">
        <f>IFERROR(VLOOKUP($B126, duel!$AZ:$BA, 2, FALSE), 0)</f>
        <v>2</v>
      </c>
      <c r="AT126" t="str">
        <f>IFERROR(VLOOKUP($B126, blitz!$AZ:$BA, 2, FALSE), 0)</f>
        <v>2</v>
      </c>
      <c r="AU126" t="b">
        <f t="shared" si="37"/>
        <v>1</v>
      </c>
      <c r="AV126" t="str">
        <f>IFERROR(VLOOKUP($B126, aegis!$BE:$BF, 2, FALSE), 0)</f>
        <v>1</v>
      </c>
      <c r="AW126" t="str">
        <f>IFERROR(VLOOKUP($B126, duel!$BE:$BF, 2, FALSE), 0)</f>
        <v>1</v>
      </c>
      <c r="AX126" t="str">
        <f>IFERROR(VLOOKUP($B126, blitz!$BE:$BF, 2, FALSE), 0)</f>
        <v>1</v>
      </c>
      <c r="AY126" t="b">
        <f t="shared" si="38"/>
        <v>1</v>
      </c>
      <c r="AZ126" t="str">
        <f>IFERROR(VLOOKUP($B126, aegis!$BJ:$BK, 2, FALSE), 0)</f>
        <v>1</v>
      </c>
      <c r="BA126" t="str">
        <f>IFERROR(VLOOKUP($B126, duel!$BJ:$BK, 2, FALSE), 0)</f>
        <v>1</v>
      </c>
      <c r="BB126" t="str">
        <f>IFERROR(VLOOKUP($B126, blitz!$BJ:$BK, 2, FALSE), 0)</f>
        <v>1</v>
      </c>
      <c r="BC126" t="b">
        <f t="shared" si="39"/>
        <v>1</v>
      </c>
      <c r="BD126">
        <f>IFERROR(VLOOKUP($B126, aegis!$BO:$BP, 2, FALSE), 0)</f>
        <v>0</v>
      </c>
      <c r="BE126">
        <f>IFERROR(VLOOKUP($B126, duel!$BO:$BP, 2, FALSE), 0)</f>
        <v>0</v>
      </c>
      <c r="BF126">
        <f>IFERROR(VLOOKUP($B126, blitz!$BO:$BP, 2, FALSE), 0)</f>
        <v>0</v>
      </c>
      <c r="BG126" t="b">
        <f t="shared" si="40"/>
        <v>1</v>
      </c>
      <c r="BH126">
        <f>IFERROR(VLOOKUP($B126, aegis!$BT:$BU, 2, FALSE), 0)</f>
        <v>0</v>
      </c>
      <c r="BI126">
        <f>IFERROR(VLOOKUP($B126, duel!$BT:$BU, 2, FALSE), 0)</f>
        <v>0</v>
      </c>
      <c r="BJ126">
        <f>IFERROR(VLOOKUP($B126, blitz!$BT:$BU, 2, FALSE), 0)</f>
        <v>0</v>
      </c>
      <c r="BK126" t="b">
        <f t="shared" si="41"/>
        <v>1</v>
      </c>
      <c r="BL126" t="str">
        <f>IFERROR(VLOOKUP($B126, aegis!$BY:$BZ, 2, FALSE), 0)</f>
        <v>1</v>
      </c>
      <c r="BM126" t="str">
        <f>IFERROR(VLOOKUP($B126, duel!$BY:$BZ, 2, FALSE), 0)</f>
        <v>1</v>
      </c>
      <c r="BN126" t="str">
        <f>IFERROR(VLOOKUP($B126, blitz!$BY:$BZ, 2, FALSE), 0)</f>
        <v>1</v>
      </c>
      <c r="BO126" t="b">
        <f t="shared" si="42"/>
        <v>1</v>
      </c>
      <c r="BP126" t="str">
        <f>IFERROR(VLOOKUP($B126, aegis!$CD:$CE, 2, FALSE), 0)</f>
        <v>3</v>
      </c>
      <c r="BQ126" t="str">
        <f>IFERROR(VLOOKUP($B126, duel!$CD:$CE, 2, FALSE), 0)</f>
        <v>3</v>
      </c>
      <c r="BR126" t="str">
        <f>IFERROR(VLOOKUP($B126, blitz!$CD:$CE, 2, FALSE), 0)</f>
        <v>3</v>
      </c>
      <c r="BS126" t="b">
        <f t="shared" si="43"/>
        <v>1</v>
      </c>
      <c r="BT126">
        <f>IFERROR(VLOOKUP($B126, aegis!$CI:$CJ, 2, FALSE), 0)</f>
        <v>0</v>
      </c>
      <c r="BU126">
        <f>IFERROR(VLOOKUP($B126, duel!$CI:$CJ, 2, FALSE), 0)</f>
        <v>0</v>
      </c>
      <c r="BV126">
        <f>IFERROR(VLOOKUP($B126, blitz!$CI:$CJ, 2, FALSE), 0)</f>
        <v>0</v>
      </c>
      <c r="BW126" t="b">
        <f t="shared" si="44"/>
        <v>1</v>
      </c>
      <c r="BX126">
        <f>IFERROR(VLOOKUP($B126, aegis!$CN:$CO, 2, FALSE), 0)</f>
        <v>0</v>
      </c>
      <c r="BY126">
        <f>IFERROR(VLOOKUP($B126, duel!$CN:$CO, 2, FALSE), 0)</f>
        <v>0</v>
      </c>
      <c r="BZ126">
        <f>IFERROR(VLOOKUP($B126, blitz!$CN:$CO, 2, FALSE), 0)</f>
        <v>0</v>
      </c>
      <c r="CA126" t="b">
        <f t="shared" si="45"/>
        <v>1</v>
      </c>
      <c r="CB126">
        <f>IFERROR(VLOOKUP($B126, aegis!$CS:$CT, 2, FALSE), 0)</f>
        <v>0</v>
      </c>
      <c r="CC126">
        <f>IFERROR(VLOOKUP($B126, duel!$CS:$CT, 2, FALSE), 0)</f>
        <v>0</v>
      </c>
      <c r="CD126">
        <f>IFERROR(VLOOKUP($B126, blitz!$CS:$CT, 2, FALSE), 0)</f>
        <v>0</v>
      </c>
      <c r="CE126" t="b">
        <f t="shared" si="46"/>
        <v>1</v>
      </c>
      <c r="CF126">
        <f>IFERROR(VLOOKUP($B126, aegis!$CX:$CY, 2, FALSE), 0)</f>
        <v>0</v>
      </c>
      <c r="CG126">
        <f>IFERROR(VLOOKUP($B126, duel!$CX:$CY, 2, FALSE), 0)</f>
        <v>0</v>
      </c>
      <c r="CH126">
        <f>IFERROR(VLOOKUP($B126, blitz!$CX:$CY, 2, FALSE), 0)</f>
        <v>0</v>
      </c>
      <c r="CI126" t="b">
        <f t="shared" si="47"/>
        <v>1</v>
      </c>
      <c r="CJ126" t="str">
        <f>IFERROR(VLOOKUP($B126, aegis!$DC:$DD, 2, FALSE), 0)</f>
        <v>1</v>
      </c>
      <c r="CK126" t="str">
        <f>IFERROR(VLOOKUP($B126, duel!$DC:$DD, 2, FALSE), 0)</f>
        <v>1</v>
      </c>
      <c r="CL126" t="str">
        <f>IFERROR(VLOOKUP($B126, blitz!$DC:$DD, 2, FALSE), 0)</f>
        <v>1</v>
      </c>
      <c r="CM126" t="b">
        <f t="shared" si="48"/>
        <v>1</v>
      </c>
      <c r="CN126" t="str">
        <f>IFERROR(VLOOKUP($B126, aegis!$DH:$DI, 2, FALSE), 0)</f>
        <v>1</v>
      </c>
      <c r="CO126" t="str">
        <f>IFERROR(VLOOKUP($B126, duel!$DH:$DI, 2, FALSE), 0)</f>
        <v>1</v>
      </c>
      <c r="CP126" s="13">
        <f>IFERROR(VLOOKUP($B126, blitz!$DH:$DI, 2, FALSE), 0)</f>
        <v>0</v>
      </c>
      <c r="CQ126" t="b">
        <f t="shared" si="49"/>
        <v>1</v>
      </c>
      <c r="CR126" t="str">
        <f>IFERROR(VLOOKUP($B126, aegis!$DM:$DN, 2, FALSE), 0)</f>
        <v>1</v>
      </c>
      <c r="CS126" t="str">
        <f>IFERROR(VLOOKUP($B126, duel!$DM:$DN, 2, FALSE), 0)</f>
        <v>1</v>
      </c>
      <c r="CT126" t="str">
        <f>IFERROR(VLOOKUP($B126, blitz!$DM:$DN, 2, FALSE), 0)</f>
        <v>1</v>
      </c>
      <c r="CU126" t="b">
        <f t="shared" si="50"/>
        <v>1</v>
      </c>
      <c r="CV126">
        <f>IFERROR(VLOOKUP($B126, aegis!$DR:$DS, 2, FALSE), 0)</f>
        <v>0</v>
      </c>
      <c r="CW126">
        <f>IFERROR(VLOOKUP($B126, duel!$DR:$DS, 2, FALSE), 0)</f>
        <v>0</v>
      </c>
      <c r="CX126">
        <f>IFERROR(VLOOKUP($B126, blitz!$DR:$DS, 2, FALSE), 0)</f>
        <v>0</v>
      </c>
      <c r="CY126" t="b">
        <f t="shared" si="51"/>
        <v>1</v>
      </c>
    </row>
    <row r="127" spans="1:103">
      <c r="B127" s="6" t="s">
        <v>232</v>
      </c>
      <c r="C127" s="5" t="b">
        <f t="shared" si="26"/>
        <v>0</v>
      </c>
      <c r="D127" t="str">
        <f>IFERROR(VLOOKUP($B127, aegis!$B:$C, 2, FALSE), 0)</f>
        <v>24</v>
      </c>
      <c r="E127" t="str">
        <f>IFERROR(VLOOKUP($B127, duel!$B:$C, 2, FALSE), 0)</f>
        <v>24</v>
      </c>
      <c r="F127" t="str">
        <f>IFERROR(VLOOKUP($B127, blitz!$B:$C, 2, FALSE), 0)</f>
        <v>24</v>
      </c>
      <c r="G127" t="b">
        <f t="shared" si="27"/>
        <v>1</v>
      </c>
      <c r="H127" t="str">
        <f>IFERROR(VLOOKUP($B127, aegis!$G:$H, 2, FALSE), 0)</f>
        <v>14</v>
      </c>
      <c r="I127" t="str">
        <f>IFERROR(VLOOKUP($B127, duel!$G:$H, 2, FALSE), 0)</f>
        <v>14</v>
      </c>
      <c r="J127" t="str">
        <f>IFERROR(VLOOKUP($B127, blitz!$G:$H, 2, FALSE), 0)</f>
        <v>14</v>
      </c>
      <c r="K127" t="b">
        <f t="shared" si="28"/>
        <v>1</v>
      </c>
      <c r="L127" t="str">
        <f>IFERROR(VLOOKUP($B127, aegis!$L:$M, 2, FALSE), 0)</f>
        <v>24</v>
      </c>
      <c r="M127" t="str">
        <f>IFERROR(VLOOKUP($B127, duel!$L:$M, 2, FALSE), 0)</f>
        <v>24</v>
      </c>
      <c r="N127" t="str">
        <f>IFERROR(VLOOKUP($B127, blitz!$L:$M, 2, FALSE), 0)</f>
        <v>24</v>
      </c>
      <c r="O127" t="b">
        <f t="shared" si="29"/>
        <v>1</v>
      </c>
      <c r="P127" t="str">
        <f>IFERROR(VLOOKUP($B127, aegis!$Q:$R, 2, FALSE), 0)</f>
        <v>14</v>
      </c>
      <c r="Q127" t="str">
        <f>IFERROR(VLOOKUP($B127, duel!$Q:$R, 2, FALSE), 0)</f>
        <v>14</v>
      </c>
      <c r="R127" t="str">
        <f>IFERROR(VLOOKUP($B127, blitz!$Q:$R, 2, FALSE), 0)</f>
        <v>14</v>
      </c>
      <c r="S127" t="b">
        <f t="shared" si="30"/>
        <v>1</v>
      </c>
      <c r="T127">
        <f>IFERROR(VLOOKUP($B127, aegis!$V:$W, 2, FALSE), 0)</f>
        <v>0</v>
      </c>
      <c r="U127">
        <f>IFERROR(VLOOKUP($B127, duel!$V:$W, 2, FALSE), 0)</f>
        <v>0</v>
      </c>
      <c r="V127">
        <f>IFERROR(VLOOKUP($B127, blitz!$V:$W, 2, FALSE), 0)</f>
        <v>0</v>
      </c>
      <c r="W127" t="b">
        <f t="shared" si="31"/>
        <v>1</v>
      </c>
      <c r="X127" t="str">
        <f>IFERROR(VLOOKUP($B127, aegis!$AA:$AB, 2, FALSE), 0)</f>
        <v>2</v>
      </c>
      <c r="Y127" t="str">
        <f>IFERROR(VLOOKUP($B127, duel!$AA:$AB, 2, FALSE), 0)</f>
        <v>2</v>
      </c>
      <c r="Z127" t="str">
        <f>IFERROR(VLOOKUP($B127, blitz!$AA:$AB, 2, FALSE), 0)</f>
        <v>2</v>
      </c>
      <c r="AA127" t="b">
        <f t="shared" si="32"/>
        <v>1</v>
      </c>
      <c r="AB127" t="str">
        <f>IFERROR(VLOOKUP($B127, aegis!$AF:$AG, 2, FALSE), 0)</f>
        <v>3</v>
      </c>
      <c r="AC127" t="str">
        <f>IFERROR(VLOOKUP($B127, duel!$AF:$AG, 2, FALSE), 0)</f>
        <v>3</v>
      </c>
      <c r="AD127" t="str">
        <f>IFERROR(VLOOKUP($B127, blitz!$AF:$AG, 2, FALSE), 0)</f>
        <v>3</v>
      </c>
      <c r="AE127" t="b">
        <f t="shared" si="33"/>
        <v>1</v>
      </c>
      <c r="AF127" t="str">
        <f>IFERROR(VLOOKUP($B127, aegis!$AK:$AL, 2, FALSE), 0)</f>
        <v>3</v>
      </c>
      <c r="AG127" t="str">
        <f>IFERROR(VLOOKUP($B127, duel!$AK:$AL, 2, FALSE), 0)</f>
        <v>1</v>
      </c>
      <c r="AH127" t="str">
        <f>IFERROR(VLOOKUP($B127, blitz!$AK:$AL, 2, FALSE), 0)</f>
        <v>1</v>
      </c>
      <c r="AI127" t="b">
        <f t="shared" si="34"/>
        <v>0</v>
      </c>
      <c r="AJ127" t="str">
        <f>IFERROR(VLOOKUP($B127, aegis!$AP:$AQ, 2, FALSE), 0)</f>
        <v>1</v>
      </c>
      <c r="AK127" t="str">
        <f>IFERROR(VLOOKUP($B127, duel!$AP:$AQ, 2, FALSE), 0)</f>
        <v>1</v>
      </c>
      <c r="AL127" t="str">
        <f>IFERROR(VLOOKUP($B127, blitz!$AP:$AQ, 2, FALSE), 0)</f>
        <v>1</v>
      </c>
      <c r="AM127" t="b">
        <f t="shared" si="35"/>
        <v>1</v>
      </c>
      <c r="AN127">
        <f>IFERROR(VLOOKUP($B127, aegis!$AU:$AV, 2, FALSE), 0)</f>
        <v>0</v>
      </c>
      <c r="AO127">
        <f>IFERROR(VLOOKUP($B127, duel!$AU:$AV, 2, FALSE), 0)</f>
        <v>0</v>
      </c>
      <c r="AP127">
        <f>IFERROR(VLOOKUP($B127, blitz!$AU:$AV, 2, FALSE), 0)</f>
        <v>0</v>
      </c>
      <c r="AQ127" t="b">
        <f t="shared" si="36"/>
        <v>1</v>
      </c>
      <c r="AR127" t="str">
        <f>IFERROR(VLOOKUP($B127, aegis!$AZ:$BA, 2, FALSE), 0)</f>
        <v>2</v>
      </c>
      <c r="AS127" t="str">
        <f>IFERROR(VLOOKUP($B127, duel!$AZ:$BA, 2, FALSE), 0)</f>
        <v>2</v>
      </c>
      <c r="AT127" t="str">
        <f>IFERROR(VLOOKUP($B127, blitz!$AZ:$BA, 2, FALSE), 0)</f>
        <v>2</v>
      </c>
      <c r="AU127" t="b">
        <f t="shared" si="37"/>
        <v>1</v>
      </c>
      <c r="AV127" t="str">
        <f>IFERROR(VLOOKUP($B127, aegis!$BE:$BF, 2, FALSE), 0)</f>
        <v>1</v>
      </c>
      <c r="AW127" t="str">
        <f>IFERROR(VLOOKUP($B127, duel!$BE:$BF, 2, FALSE), 0)</f>
        <v>1</v>
      </c>
      <c r="AX127" t="str">
        <f>IFERROR(VLOOKUP($B127, blitz!$BE:$BF, 2, FALSE), 0)</f>
        <v>1</v>
      </c>
      <c r="AY127" t="b">
        <f t="shared" si="38"/>
        <v>1</v>
      </c>
      <c r="AZ127" t="str">
        <f>IFERROR(VLOOKUP($B127, aegis!$BJ:$BK, 2, FALSE), 0)</f>
        <v>1</v>
      </c>
      <c r="BA127" t="str">
        <f>IFERROR(VLOOKUP($B127, duel!$BJ:$BK, 2, FALSE), 0)</f>
        <v>1</v>
      </c>
      <c r="BB127" t="str">
        <f>IFERROR(VLOOKUP($B127, blitz!$BJ:$BK, 2, FALSE), 0)</f>
        <v>1</v>
      </c>
      <c r="BC127" t="b">
        <f t="shared" si="39"/>
        <v>1</v>
      </c>
      <c r="BD127">
        <f>IFERROR(VLOOKUP($B127, aegis!$BO:$BP, 2, FALSE), 0)</f>
        <v>0</v>
      </c>
      <c r="BE127">
        <f>IFERROR(VLOOKUP($B127, duel!$BO:$BP, 2, FALSE), 0)</f>
        <v>0</v>
      </c>
      <c r="BF127">
        <f>IFERROR(VLOOKUP($B127, blitz!$BO:$BP, 2, FALSE), 0)</f>
        <v>0</v>
      </c>
      <c r="BG127" t="b">
        <f t="shared" si="40"/>
        <v>1</v>
      </c>
      <c r="BH127" t="str">
        <f>IFERROR(VLOOKUP($B127, aegis!$BT:$BU, 2, FALSE), 0)</f>
        <v>2</v>
      </c>
      <c r="BI127" t="str">
        <f>IFERROR(VLOOKUP($B127, duel!$BT:$BU, 2, FALSE), 0)</f>
        <v>2</v>
      </c>
      <c r="BJ127" t="str">
        <f>IFERROR(VLOOKUP($B127, blitz!$BT:$BU, 2, FALSE), 0)</f>
        <v>2</v>
      </c>
      <c r="BK127" t="b">
        <f t="shared" si="41"/>
        <v>1</v>
      </c>
      <c r="BL127" t="str">
        <f>IFERROR(VLOOKUP($B127, aegis!$BY:$BZ, 2, FALSE), 0)</f>
        <v>1</v>
      </c>
      <c r="BM127" t="str">
        <f>IFERROR(VLOOKUP($B127, duel!$BY:$BZ, 2, FALSE), 0)</f>
        <v>1</v>
      </c>
      <c r="BN127" t="str">
        <f>IFERROR(VLOOKUP($B127, blitz!$BY:$BZ, 2, FALSE), 0)</f>
        <v>1</v>
      </c>
      <c r="BO127" t="b">
        <f t="shared" si="42"/>
        <v>1</v>
      </c>
      <c r="BP127" t="str">
        <f>IFERROR(VLOOKUP($B127, aegis!$CD:$CE, 2, FALSE), 0)</f>
        <v>3</v>
      </c>
      <c r="BQ127" t="str">
        <f>IFERROR(VLOOKUP($B127, duel!$CD:$CE, 2, FALSE), 0)</f>
        <v>3</v>
      </c>
      <c r="BR127" t="str">
        <f>IFERROR(VLOOKUP($B127, blitz!$CD:$CE, 2, FALSE), 0)</f>
        <v>3</v>
      </c>
      <c r="BS127" t="b">
        <f t="shared" si="43"/>
        <v>1</v>
      </c>
      <c r="BT127">
        <f>IFERROR(VLOOKUP($B127, aegis!$CI:$CJ, 2, FALSE), 0)</f>
        <v>0</v>
      </c>
      <c r="BU127">
        <f>IFERROR(VLOOKUP($B127, duel!$CI:$CJ, 2, FALSE), 0)</f>
        <v>0</v>
      </c>
      <c r="BV127">
        <f>IFERROR(VLOOKUP($B127, blitz!$CI:$CJ, 2, FALSE), 0)</f>
        <v>0</v>
      </c>
      <c r="BW127" t="b">
        <f t="shared" si="44"/>
        <v>1</v>
      </c>
      <c r="BX127">
        <f>IFERROR(VLOOKUP($B127, aegis!$CN:$CO, 2, FALSE), 0)</f>
        <v>0</v>
      </c>
      <c r="BY127">
        <f>IFERROR(VLOOKUP($B127, duel!$CN:$CO, 2, FALSE), 0)</f>
        <v>0</v>
      </c>
      <c r="BZ127">
        <f>IFERROR(VLOOKUP($B127, blitz!$CN:$CO, 2, FALSE), 0)</f>
        <v>0</v>
      </c>
      <c r="CA127" t="b">
        <f t="shared" si="45"/>
        <v>1</v>
      </c>
      <c r="CB127">
        <f>IFERROR(VLOOKUP($B127, aegis!$CS:$CT, 2, FALSE), 0)</f>
        <v>0</v>
      </c>
      <c r="CC127">
        <f>IFERROR(VLOOKUP($B127, duel!$CS:$CT, 2, FALSE), 0)</f>
        <v>0</v>
      </c>
      <c r="CD127">
        <f>IFERROR(VLOOKUP($B127, blitz!$CS:$CT, 2, FALSE), 0)</f>
        <v>0</v>
      </c>
      <c r="CE127" t="b">
        <f t="shared" si="46"/>
        <v>1</v>
      </c>
      <c r="CF127" t="str">
        <f>IFERROR(VLOOKUP($B127, aegis!$CX:$CY, 2, FALSE), 0)</f>
        <v>41</v>
      </c>
      <c r="CG127" t="str">
        <f>IFERROR(VLOOKUP($B127, duel!$CX:$CY, 2, FALSE), 0)</f>
        <v>41</v>
      </c>
      <c r="CH127" t="str">
        <f>IFERROR(VLOOKUP($B127, blitz!$CX:$CY, 2, FALSE), 0)</f>
        <v>41</v>
      </c>
      <c r="CI127" t="b">
        <f t="shared" si="47"/>
        <v>1</v>
      </c>
      <c r="CJ127" t="str">
        <f>IFERROR(VLOOKUP($B127, aegis!$DC:$DD, 2, FALSE), 0)</f>
        <v>1</v>
      </c>
      <c r="CK127" t="str">
        <f>IFERROR(VLOOKUP($B127, duel!$DC:$DD, 2, FALSE), 0)</f>
        <v>1</v>
      </c>
      <c r="CL127" t="str">
        <f>IFERROR(VLOOKUP($B127, blitz!$DC:$DD, 2, FALSE), 0)</f>
        <v>1</v>
      </c>
      <c r="CM127" t="b">
        <f t="shared" si="48"/>
        <v>1</v>
      </c>
      <c r="CN127" t="str">
        <f>IFERROR(VLOOKUP($B127, aegis!$DH:$DI, 2, FALSE), 0)</f>
        <v>4</v>
      </c>
      <c r="CO127" t="str">
        <f>IFERROR(VLOOKUP($B127, duel!$DH:$DI, 2, FALSE), 0)</f>
        <v>4</v>
      </c>
      <c r="CP127" s="13">
        <f>IFERROR(VLOOKUP($B127, blitz!$DH:$DI, 2, FALSE), 0)</f>
        <v>0</v>
      </c>
      <c r="CQ127" t="b">
        <f t="shared" si="49"/>
        <v>1</v>
      </c>
      <c r="CR127" t="str">
        <f>IFERROR(VLOOKUP($B127, aegis!$DM:$DN, 2, FALSE), 0)</f>
        <v>1</v>
      </c>
      <c r="CS127" t="str">
        <f>IFERROR(VLOOKUP($B127, duel!$DM:$DN, 2, FALSE), 0)</f>
        <v>1</v>
      </c>
      <c r="CT127" t="str">
        <f>IFERROR(VLOOKUP($B127, blitz!$DM:$DN, 2, FALSE), 0)</f>
        <v>1</v>
      </c>
      <c r="CU127" t="b">
        <f t="shared" si="50"/>
        <v>1</v>
      </c>
      <c r="CV127" t="str">
        <f>IFERROR(VLOOKUP($B127, aegis!$DR:$DS, 2, FALSE), 0)</f>
        <v>3</v>
      </c>
      <c r="CW127" t="str">
        <f>IFERROR(VLOOKUP($B127, duel!$DR:$DS, 2, FALSE), 0)</f>
        <v>3</v>
      </c>
      <c r="CX127" t="str">
        <f>IFERROR(VLOOKUP($B127, blitz!$DR:$DS, 2, FALSE), 0)</f>
        <v>3</v>
      </c>
      <c r="CY127" t="b">
        <f t="shared" si="51"/>
        <v>1</v>
      </c>
    </row>
    <row r="128" spans="1:103">
      <c r="B128" s="6" t="s">
        <v>234</v>
      </c>
      <c r="C128" s="5" t="b">
        <f t="shared" si="26"/>
        <v>0</v>
      </c>
      <c r="D128" t="str">
        <f>IFERROR(VLOOKUP($B128, aegis!$B:$C, 2, FALSE), 0)</f>
        <v>24</v>
      </c>
      <c r="E128" t="str">
        <f>IFERROR(VLOOKUP($B128, duel!$B:$C, 2, FALSE), 0)</f>
        <v>24</v>
      </c>
      <c r="F128" t="str">
        <f>IFERROR(VLOOKUP($B128, blitz!$B:$C, 2, FALSE), 0)</f>
        <v>24</v>
      </c>
      <c r="G128" t="b">
        <f t="shared" si="27"/>
        <v>1</v>
      </c>
      <c r="H128" t="str">
        <f>IFERROR(VLOOKUP($B128, aegis!$G:$H, 2, FALSE), 0)</f>
        <v>14</v>
      </c>
      <c r="I128" t="str">
        <f>IFERROR(VLOOKUP($B128, duel!$G:$H, 2, FALSE), 0)</f>
        <v>14</v>
      </c>
      <c r="J128" t="str">
        <f>IFERROR(VLOOKUP($B128, blitz!$G:$H, 2, FALSE), 0)</f>
        <v>14</v>
      </c>
      <c r="K128" t="b">
        <f t="shared" si="28"/>
        <v>1</v>
      </c>
      <c r="L128" t="str">
        <f>IFERROR(VLOOKUP($B128, aegis!$L:$M, 2, FALSE), 0)</f>
        <v>24</v>
      </c>
      <c r="M128" t="str">
        <f>IFERROR(VLOOKUP($B128, duel!$L:$M, 2, FALSE), 0)</f>
        <v>24</v>
      </c>
      <c r="N128" t="str">
        <f>IFERROR(VLOOKUP($B128, blitz!$L:$M, 2, FALSE), 0)</f>
        <v>24</v>
      </c>
      <c r="O128" t="b">
        <f t="shared" si="29"/>
        <v>1</v>
      </c>
      <c r="P128" t="str">
        <f>IFERROR(VLOOKUP($B128, aegis!$Q:$R, 2, FALSE), 0)</f>
        <v>14</v>
      </c>
      <c r="Q128" t="str">
        <f>IFERROR(VLOOKUP($B128, duel!$Q:$R, 2, FALSE), 0)</f>
        <v>14</v>
      </c>
      <c r="R128" t="str">
        <f>IFERROR(VLOOKUP($B128, blitz!$Q:$R, 2, FALSE), 0)</f>
        <v>14</v>
      </c>
      <c r="S128" t="b">
        <f t="shared" si="30"/>
        <v>1</v>
      </c>
      <c r="T128">
        <f>IFERROR(VLOOKUP($B128, aegis!$V:$W, 2, FALSE), 0)</f>
        <v>0</v>
      </c>
      <c r="U128">
        <f>IFERROR(VLOOKUP($B128, duel!$V:$W, 2, FALSE), 0)</f>
        <v>0</v>
      </c>
      <c r="V128">
        <f>IFERROR(VLOOKUP($B128, blitz!$V:$W, 2, FALSE), 0)</f>
        <v>0</v>
      </c>
      <c r="W128" t="b">
        <f t="shared" si="31"/>
        <v>1</v>
      </c>
      <c r="X128" t="str">
        <f>IFERROR(VLOOKUP($B128, aegis!$AA:$AB, 2, FALSE), 0)</f>
        <v>2</v>
      </c>
      <c r="Y128" t="str">
        <f>IFERROR(VLOOKUP($B128, duel!$AA:$AB, 2, FALSE), 0)</f>
        <v>2</v>
      </c>
      <c r="Z128" t="str">
        <f>IFERROR(VLOOKUP($B128, blitz!$AA:$AB, 2, FALSE), 0)</f>
        <v>2</v>
      </c>
      <c r="AA128" t="b">
        <f t="shared" si="32"/>
        <v>1</v>
      </c>
      <c r="AB128">
        <f>IFERROR(VLOOKUP($B128, aegis!$AF:$AG, 2, FALSE), 0)</f>
        <v>0</v>
      </c>
      <c r="AC128">
        <f>IFERROR(VLOOKUP($B128, duel!$AF:$AG, 2, FALSE), 0)</f>
        <v>0</v>
      </c>
      <c r="AD128">
        <f>IFERROR(VLOOKUP($B128, blitz!$AF:$AG, 2, FALSE), 0)</f>
        <v>0</v>
      </c>
      <c r="AE128" t="b">
        <f t="shared" si="33"/>
        <v>1</v>
      </c>
      <c r="AF128" t="str">
        <f>IFERROR(VLOOKUP($B128, aegis!$AK:$AL, 2, FALSE), 0)</f>
        <v>3</v>
      </c>
      <c r="AG128" t="str">
        <f>IFERROR(VLOOKUP($B128, duel!$AK:$AL, 2, FALSE), 0)</f>
        <v>1</v>
      </c>
      <c r="AH128" t="str">
        <f>IFERROR(VLOOKUP($B128, blitz!$AK:$AL, 2, FALSE), 0)</f>
        <v>1</v>
      </c>
      <c r="AI128" t="b">
        <f t="shared" si="34"/>
        <v>0</v>
      </c>
      <c r="AJ128" t="str">
        <f>IFERROR(VLOOKUP($B128, aegis!$AP:$AQ, 2, FALSE), 0)</f>
        <v>1</v>
      </c>
      <c r="AK128" t="str">
        <f>IFERROR(VLOOKUP($B128, duel!$AP:$AQ, 2, FALSE), 0)</f>
        <v>1</v>
      </c>
      <c r="AL128" t="str">
        <f>IFERROR(VLOOKUP($B128, blitz!$AP:$AQ, 2, FALSE), 0)</f>
        <v>1</v>
      </c>
      <c r="AM128" t="b">
        <f t="shared" si="35"/>
        <v>1</v>
      </c>
      <c r="AN128">
        <f>IFERROR(VLOOKUP($B128, aegis!$AU:$AV, 2, FALSE), 0)</f>
        <v>0</v>
      </c>
      <c r="AO128">
        <f>IFERROR(VLOOKUP($B128, duel!$AU:$AV, 2, FALSE), 0)</f>
        <v>0</v>
      </c>
      <c r="AP128">
        <f>IFERROR(VLOOKUP($B128, blitz!$AU:$AV, 2, FALSE), 0)</f>
        <v>0</v>
      </c>
      <c r="AQ128" t="b">
        <f t="shared" si="36"/>
        <v>1</v>
      </c>
      <c r="AR128" t="str">
        <f>IFERROR(VLOOKUP($B128, aegis!$AZ:$BA, 2, FALSE), 0)</f>
        <v>2</v>
      </c>
      <c r="AS128" t="str">
        <f>IFERROR(VLOOKUP($B128, duel!$AZ:$BA, 2, FALSE), 0)</f>
        <v>2</v>
      </c>
      <c r="AT128" t="str">
        <f>IFERROR(VLOOKUP($B128, blitz!$AZ:$BA, 2, FALSE), 0)</f>
        <v>2</v>
      </c>
      <c r="AU128" t="b">
        <f t="shared" si="37"/>
        <v>1</v>
      </c>
      <c r="AV128" t="str">
        <f>IFERROR(VLOOKUP($B128, aegis!$BE:$BF, 2, FALSE), 0)</f>
        <v>1</v>
      </c>
      <c r="AW128" t="str">
        <f>IFERROR(VLOOKUP($B128, duel!$BE:$BF, 2, FALSE), 0)</f>
        <v>1</v>
      </c>
      <c r="AX128" t="str">
        <f>IFERROR(VLOOKUP($B128, blitz!$BE:$BF, 2, FALSE), 0)</f>
        <v>1</v>
      </c>
      <c r="AY128" t="b">
        <f t="shared" si="38"/>
        <v>1</v>
      </c>
      <c r="AZ128" t="str">
        <f>IFERROR(VLOOKUP($B128, aegis!$BJ:$BK, 2, FALSE), 0)</f>
        <v>1</v>
      </c>
      <c r="BA128" t="str">
        <f>IFERROR(VLOOKUP($B128, duel!$BJ:$BK, 2, FALSE), 0)</f>
        <v>1</v>
      </c>
      <c r="BB128" t="str">
        <f>IFERROR(VLOOKUP($B128, blitz!$BJ:$BK, 2, FALSE), 0)</f>
        <v>1</v>
      </c>
      <c r="BC128" t="b">
        <f t="shared" si="39"/>
        <v>1</v>
      </c>
      <c r="BD128">
        <f>IFERROR(VLOOKUP($B128, aegis!$BO:$BP, 2, FALSE), 0)</f>
        <v>0</v>
      </c>
      <c r="BE128">
        <f>IFERROR(VLOOKUP($B128, duel!$BO:$BP, 2, FALSE), 0)</f>
        <v>0</v>
      </c>
      <c r="BF128">
        <f>IFERROR(VLOOKUP($B128, blitz!$BO:$BP, 2, FALSE), 0)</f>
        <v>0</v>
      </c>
      <c r="BG128" t="b">
        <f t="shared" si="40"/>
        <v>1</v>
      </c>
      <c r="BH128">
        <f>IFERROR(VLOOKUP($B128, aegis!$BT:$BU, 2, FALSE), 0)</f>
        <v>0</v>
      </c>
      <c r="BI128">
        <f>IFERROR(VLOOKUP($B128, duel!$BT:$BU, 2, FALSE), 0)</f>
        <v>0</v>
      </c>
      <c r="BJ128">
        <f>IFERROR(VLOOKUP($B128, blitz!$BT:$BU, 2, FALSE), 0)</f>
        <v>0</v>
      </c>
      <c r="BK128" t="b">
        <f t="shared" si="41"/>
        <v>1</v>
      </c>
      <c r="BL128" t="str">
        <f>IFERROR(VLOOKUP($B128, aegis!$BY:$BZ, 2, FALSE), 0)</f>
        <v>1</v>
      </c>
      <c r="BM128" t="str">
        <f>IFERROR(VLOOKUP($B128, duel!$BY:$BZ, 2, FALSE), 0)</f>
        <v>1</v>
      </c>
      <c r="BN128" t="str">
        <f>IFERROR(VLOOKUP($B128, blitz!$BY:$BZ, 2, FALSE), 0)</f>
        <v>1</v>
      </c>
      <c r="BO128" t="b">
        <f t="shared" si="42"/>
        <v>1</v>
      </c>
      <c r="BP128" t="str">
        <f>IFERROR(VLOOKUP($B128, aegis!$CD:$CE, 2, FALSE), 0)</f>
        <v>2</v>
      </c>
      <c r="BQ128" t="str">
        <f>IFERROR(VLOOKUP($B128, duel!$CD:$CE, 2, FALSE), 0)</f>
        <v>2</v>
      </c>
      <c r="BR128" t="str">
        <f>IFERROR(VLOOKUP($B128, blitz!$CD:$CE, 2, FALSE), 0)</f>
        <v>2</v>
      </c>
      <c r="BS128" t="b">
        <f t="shared" si="43"/>
        <v>1</v>
      </c>
      <c r="BT128">
        <f>IFERROR(VLOOKUP($B128, aegis!$CI:$CJ, 2, FALSE), 0)</f>
        <v>0</v>
      </c>
      <c r="BU128">
        <f>IFERROR(VLOOKUP($B128, duel!$CI:$CJ, 2, FALSE), 0)</f>
        <v>0</v>
      </c>
      <c r="BV128">
        <f>IFERROR(VLOOKUP($B128, blitz!$CI:$CJ, 2, FALSE), 0)</f>
        <v>0</v>
      </c>
      <c r="BW128" t="b">
        <f t="shared" si="44"/>
        <v>1</v>
      </c>
      <c r="BX128">
        <f>IFERROR(VLOOKUP($B128, aegis!$CN:$CO, 2, FALSE), 0)</f>
        <v>0</v>
      </c>
      <c r="BY128">
        <f>IFERROR(VLOOKUP($B128, duel!$CN:$CO, 2, FALSE), 0)</f>
        <v>0</v>
      </c>
      <c r="BZ128">
        <f>IFERROR(VLOOKUP($B128, blitz!$CN:$CO, 2, FALSE), 0)</f>
        <v>0</v>
      </c>
      <c r="CA128" t="b">
        <f t="shared" si="45"/>
        <v>1</v>
      </c>
      <c r="CB128">
        <f>IFERROR(VLOOKUP($B128, aegis!$CS:$CT, 2, FALSE), 0)</f>
        <v>0</v>
      </c>
      <c r="CC128">
        <f>IFERROR(VLOOKUP($B128, duel!$CS:$CT, 2, FALSE), 0)</f>
        <v>0</v>
      </c>
      <c r="CD128">
        <f>IFERROR(VLOOKUP($B128, blitz!$CS:$CT, 2, FALSE), 0)</f>
        <v>0</v>
      </c>
      <c r="CE128" t="b">
        <f t="shared" si="46"/>
        <v>1</v>
      </c>
      <c r="CF128">
        <f>IFERROR(VLOOKUP($B128, aegis!$CX:$CY, 2, FALSE), 0)</f>
        <v>0</v>
      </c>
      <c r="CG128">
        <f>IFERROR(VLOOKUP($B128, duel!$CX:$CY, 2, FALSE), 0)</f>
        <v>0</v>
      </c>
      <c r="CH128">
        <f>IFERROR(VLOOKUP($B128, blitz!$CX:$CY, 2, FALSE), 0)</f>
        <v>0</v>
      </c>
      <c r="CI128" t="b">
        <f t="shared" si="47"/>
        <v>1</v>
      </c>
      <c r="CJ128" t="str">
        <f>IFERROR(VLOOKUP($B128, aegis!$DC:$DD, 2, FALSE), 0)</f>
        <v>1</v>
      </c>
      <c r="CK128" t="str">
        <f>IFERROR(VLOOKUP($B128, duel!$DC:$DD, 2, FALSE), 0)</f>
        <v>1</v>
      </c>
      <c r="CL128" t="str">
        <f>IFERROR(VLOOKUP($B128, blitz!$DC:$DD, 2, FALSE), 0)</f>
        <v>1</v>
      </c>
      <c r="CM128" t="b">
        <f t="shared" si="48"/>
        <v>1</v>
      </c>
      <c r="CN128" t="str">
        <f>IFERROR(VLOOKUP($B128, aegis!$DH:$DI, 2, FALSE), 0)</f>
        <v>1</v>
      </c>
      <c r="CO128" t="str">
        <f>IFERROR(VLOOKUP($B128, duel!$DH:$DI, 2, FALSE), 0)</f>
        <v>1</v>
      </c>
      <c r="CP128" s="13">
        <f>IFERROR(VLOOKUP($B128, blitz!$DH:$DI, 2, FALSE), 0)</f>
        <v>0</v>
      </c>
      <c r="CQ128" t="b">
        <f t="shared" si="49"/>
        <v>1</v>
      </c>
      <c r="CR128" t="str">
        <f>IFERROR(VLOOKUP($B128, aegis!$DM:$DN, 2, FALSE), 0)</f>
        <v>1</v>
      </c>
      <c r="CS128" t="str">
        <f>IFERROR(VLOOKUP($B128, duel!$DM:$DN, 2, FALSE), 0)</f>
        <v>1</v>
      </c>
      <c r="CT128" t="str">
        <f>IFERROR(VLOOKUP($B128, blitz!$DM:$DN, 2, FALSE), 0)</f>
        <v>1</v>
      </c>
      <c r="CU128" t="b">
        <f t="shared" si="50"/>
        <v>1</v>
      </c>
      <c r="CV128">
        <f>IFERROR(VLOOKUP($B128, aegis!$DR:$DS, 2, FALSE), 0)</f>
        <v>0</v>
      </c>
      <c r="CW128">
        <f>IFERROR(VLOOKUP($B128, duel!$DR:$DS, 2, FALSE), 0)</f>
        <v>0</v>
      </c>
      <c r="CX128">
        <f>IFERROR(VLOOKUP($B128, blitz!$DR:$DS, 2, FALSE), 0)</f>
        <v>0</v>
      </c>
      <c r="CY128" t="b">
        <f t="shared" si="51"/>
        <v>1</v>
      </c>
    </row>
    <row r="129" spans="1:103">
      <c r="B129" s="6" t="s">
        <v>235</v>
      </c>
      <c r="C129" s="5" t="b">
        <f t="shared" si="26"/>
        <v>0</v>
      </c>
      <c r="D129" t="str">
        <f>IFERROR(VLOOKUP($B129, aegis!$B:$C, 2, FALSE), 0)</f>
        <v>24</v>
      </c>
      <c r="E129" t="str">
        <f>IFERROR(VLOOKUP($B129, duel!$B:$C, 2, FALSE), 0)</f>
        <v>24</v>
      </c>
      <c r="F129" t="str">
        <f>IFERROR(VLOOKUP($B129, blitz!$B:$C, 2, FALSE), 0)</f>
        <v>24</v>
      </c>
      <c r="G129" t="b">
        <f t="shared" si="27"/>
        <v>1</v>
      </c>
      <c r="H129" t="str">
        <f>IFERROR(VLOOKUP($B129, aegis!$G:$H, 2, FALSE), 0)</f>
        <v>14</v>
      </c>
      <c r="I129" t="str">
        <f>IFERROR(VLOOKUP($B129, duel!$G:$H, 2, FALSE), 0)</f>
        <v>14</v>
      </c>
      <c r="J129" t="str">
        <f>IFERROR(VLOOKUP($B129, blitz!$G:$H, 2, FALSE), 0)</f>
        <v>14</v>
      </c>
      <c r="K129" t="b">
        <f t="shared" si="28"/>
        <v>1</v>
      </c>
      <c r="L129" t="str">
        <f>IFERROR(VLOOKUP($B129, aegis!$L:$M, 2, FALSE), 0)</f>
        <v>24</v>
      </c>
      <c r="M129" t="str">
        <f>IFERROR(VLOOKUP($B129, duel!$L:$M, 2, FALSE), 0)</f>
        <v>24</v>
      </c>
      <c r="N129" t="str">
        <f>IFERROR(VLOOKUP($B129, blitz!$L:$M, 2, FALSE), 0)</f>
        <v>24</v>
      </c>
      <c r="O129" t="b">
        <f t="shared" si="29"/>
        <v>1</v>
      </c>
      <c r="P129" t="str">
        <f>IFERROR(VLOOKUP($B129, aegis!$Q:$R, 2, FALSE), 0)</f>
        <v>14</v>
      </c>
      <c r="Q129" t="str">
        <f>IFERROR(VLOOKUP($B129, duel!$Q:$R, 2, FALSE), 0)</f>
        <v>14</v>
      </c>
      <c r="R129" t="str">
        <f>IFERROR(VLOOKUP($B129, blitz!$Q:$R, 2, FALSE), 0)</f>
        <v>14</v>
      </c>
      <c r="S129" t="b">
        <f t="shared" si="30"/>
        <v>1</v>
      </c>
      <c r="T129">
        <f>IFERROR(VLOOKUP($B129, aegis!$V:$W, 2, FALSE), 0)</f>
        <v>0</v>
      </c>
      <c r="U129">
        <f>IFERROR(VLOOKUP($B129, duel!$V:$W, 2, FALSE), 0)</f>
        <v>0</v>
      </c>
      <c r="V129">
        <f>IFERROR(VLOOKUP($B129, blitz!$V:$W, 2, FALSE), 0)</f>
        <v>0</v>
      </c>
      <c r="W129" t="b">
        <f t="shared" si="31"/>
        <v>1</v>
      </c>
      <c r="X129" t="str">
        <f>IFERROR(VLOOKUP($B129, aegis!$AA:$AB, 2, FALSE), 0)</f>
        <v>2</v>
      </c>
      <c r="Y129" t="str">
        <f>IFERROR(VLOOKUP($B129, duel!$AA:$AB, 2, FALSE), 0)</f>
        <v>2</v>
      </c>
      <c r="Z129" t="str">
        <f>IFERROR(VLOOKUP($B129, blitz!$AA:$AB, 2, FALSE), 0)</f>
        <v>2</v>
      </c>
      <c r="AA129" t="b">
        <f t="shared" si="32"/>
        <v>1</v>
      </c>
      <c r="AB129" t="str">
        <f>IFERROR(VLOOKUP($B129, aegis!$AF:$AG, 2, FALSE), 0)</f>
        <v>18</v>
      </c>
      <c r="AC129" t="str">
        <f>IFERROR(VLOOKUP($B129, duel!$AF:$AG, 2, FALSE), 0)</f>
        <v>18</v>
      </c>
      <c r="AD129" t="str">
        <f>IFERROR(VLOOKUP($B129, blitz!$AF:$AG, 2, FALSE), 0)</f>
        <v>18</v>
      </c>
      <c r="AE129" t="b">
        <f t="shared" si="33"/>
        <v>1</v>
      </c>
      <c r="AF129" t="str">
        <f>IFERROR(VLOOKUP($B129, aegis!$AK:$AL, 2, FALSE), 0)</f>
        <v>3</v>
      </c>
      <c r="AG129" t="str">
        <f>IFERROR(VLOOKUP($B129, duel!$AK:$AL, 2, FALSE), 0)</f>
        <v>1</v>
      </c>
      <c r="AH129" t="str">
        <f>IFERROR(VLOOKUP($B129, blitz!$AK:$AL, 2, FALSE), 0)</f>
        <v>1</v>
      </c>
      <c r="AI129" t="b">
        <f t="shared" si="34"/>
        <v>0</v>
      </c>
      <c r="AJ129" t="str">
        <f>IFERROR(VLOOKUP($B129, aegis!$AP:$AQ, 2, FALSE), 0)</f>
        <v>1</v>
      </c>
      <c r="AK129" t="str">
        <f>IFERROR(VLOOKUP($B129, duel!$AP:$AQ, 2, FALSE), 0)</f>
        <v>1</v>
      </c>
      <c r="AL129" t="str">
        <f>IFERROR(VLOOKUP($B129, blitz!$AP:$AQ, 2, FALSE), 0)</f>
        <v>1</v>
      </c>
      <c r="AM129" t="b">
        <f t="shared" si="35"/>
        <v>1</v>
      </c>
      <c r="AN129">
        <f>IFERROR(VLOOKUP($B129, aegis!$AU:$AV, 2, FALSE), 0)</f>
        <v>0</v>
      </c>
      <c r="AO129">
        <f>IFERROR(VLOOKUP($B129, duel!$AU:$AV, 2, FALSE), 0)</f>
        <v>0</v>
      </c>
      <c r="AP129">
        <f>IFERROR(VLOOKUP($B129, blitz!$AU:$AV, 2, FALSE), 0)</f>
        <v>0</v>
      </c>
      <c r="AQ129" t="b">
        <f t="shared" si="36"/>
        <v>1</v>
      </c>
      <c r="AR129" t="str">
        <f>IFERROR(VLOOKUP($B129, aegis!$AZ:$BA, 2, FALSE), 0)</f>
        <v>2</v>
      </c>
      <c r="AS129" t="str">
        <f>IFERROR(VLOOKUP($B129, duel!$AZ:$BA, 2, FALSE), 0)</f>
        <v>2</v>
      </c>
      <c r="AT129" t="str">
        <f>IFERROR(VLOOKUP($B129, blitz!$AZ:$BA, 2, FALSE), 0)</f>
        <v>2</v>
      </c>
      <c r="AU129" t="b">
        <f t="shared" si="37"/>
        <v>1</v>
      </c>
      <c r="AV129" t="str">
        <f>IFERROR(VLOOKUP($B129, aegis!$BE:$BF, 2, FALSE), 0)</f>
        <v>1</v>
      </c>
      <c r="AW129" t="str">
        <f>IFERROR(VLOOKUP($B129, duel!$BE:$BF, 2, FALSE), 0)</f>
        <v>1</v>
      </c>
      <c r="AX129" t="str">
        <f>IFERROR(VLOOKUP($B129, blitz!$BE:$BF, 2, FALSE), 0)</f>
        <v>1</v>
      </c>
      <c r="AY129" t="b">
        <f t="shared" si="38"/>
        <v>1</v>
      </c>
      <c r="AZ129" t="str">
        <f>IFERROR(VLOOKUP($B129, aegis!$BJ:$BK, 2, FALSE), 0)</f>
        <v>1</v>
      </c>
      <c r="BA129" t="str">
        <f>IFERROR(VLOOKUP($B129, duel!$BJ:$BK, 2, FALSE), 0)</f>
        <v>1</v>
      </c>
      <c r="BB129" t="str">
        <f>IFERROR(VLOOKUP($B129, blitz!$BJ:$BK, 2, FALSE), 0)</f>
        <v>1</v>
      </c>
      <c r="BC129" t="b">
        <f t="shared" si="39"/>
        <v>1</v>
      </c>
      <c r="BD129">
        <f>IFERROR(VLOOKUP($B129, aegis!$BO:$BP, 2, FALSE), 0)</f>
        <v>0</v>
      </c>
      <c r="BE129">
        <f>IFERROR(VLOOKUP($B129, duel!$BO:$BP, 2, FALSE), 0)</f>
        <v>0</v>
      </c>
      <c r="BF129">
        <f>IFERROR(VLOOKUP($B129, blitz!$BO:$BP, 2, FALSE), 0)</f>
        <v>0</v>
      </c>
      <c r="BG129" t="b">
        <f t="shared" si="40"/>
        <v>1</v>
      </c>
      <c r="BH129" t="str">
        <f>IFERROR(VLOOKUP($B129, aegis!$BT:$BU, 2, FALSE), 0)</f>
        <v>4</v>
      </c>
      <c r="BI129" t="str">
        <f>IFERROR(VLOOKUP($B129, duel!$BT:$BU, 2, FALSE), 0)</f>
        <v>4</v>
      </c>
      <c r="BJ129" t="str">
        <f>IFERROR(VLOOKUP($B129, blitz!$BT:$BU, 2, FALSE), 0)</f>
        <v>4</v>
      </c>
      <c r="BK129" t="b">
        <f t="shared" si="41"/>
        <v>1</v>
      </c>
      <c r="BL129" t="str">
        <f>IFERROR(VLOOKUP($B129, aegis!$BY:$BZ, 2, FALSE), 0)</f>
        <v>1</v>
      </c>
      <c r="BM129" t="str">
        <f>IFERROR(VLOOKUP($B129, duel!$BY:$BZ, 2, FALSE), 0)</f>
        <v>1</v>
      </c>
      <c r="BN129" t="str">
        <f>IFERROR(VLOOKUP($B129, blitz!$BY:$BZ, 2, FALSE), 0)</f>
        <v>1</v>
      </c>
      <c r="BO129" t="b">
        <f t="shared" si="42"/>
        <v>1</v>
      </c>
      <c r="BP129" t="str">
        <f>IFERROR(VLOOKUP($B129, aegis!$CD:$CE, 2, FALSE), 0)</f>
        <v>3</v>
      </c>
      <c r="BQ129" t="str">
        <f>IFERROR(VLOOKUP($B129, duel!$CD:$CE, 2, FALSE), 0)</f>
        <v>3</v>
      </c>
      <c r="BR129" t="str">
        <f>IFERROR(VLOOKUP($B129, blitz!$CD:$CE, 2, FALSE), 0)</f>
        <v>3</v>
      </c>
      <c r="BS129" t="b">
        <f t="shared" si="43"/>
        <v>1</v>
      </c>
      <c r="BT129">
        <f>IFERROR(VLOOKUP($B129, aegis!$CI:$CJ, 2, FALSE), 0)</f>
        <v>0</v>
      </c>
      <c r="BU129">
        <f>IFERROR(VLOOKUP($B129, duel!$CI:$CJ, 2, FALSE), 0)</f>
        <v>0</v>
      </c>
      <c r="BV129">
        <f>IFERROR(VLOOKUP($B129, blitz!$CI:$CJ, 2, FALSE), 0)</f>
        <v>0</v>
      </c>
      <c r="BW129" t="b">
        <f t="shared" si="44"/>
        <v>1</v>
      </c>
      <c r="BX129">
        <f>IFERROR(VLOOKUP($B129, aegis!$CN:$CO, 2, FALSE), 0)</f>
        <v>0</v>
      </c>
      <c r="BY129">
        <f>IFERROR(VLOOKUP($B129, duel!$CN:$CO, 2, FALSE), 0)</f>
        <v>0</v>
      </c>
      <c r="BZ129">
        <f>IFERROR(VLOOKUP($B129, blitz!$CN:$CO, 2, FALSE), 0)</f>
        <v>0</v>
      </c>
      <c r="CA129" t="b">
        <f t="shared" si="45"/>
        <v>1</v>
      </c>
      <c r="CB129">
        <f>IFERROR(VLOOKUP($B129, aegis!$CS:$CT, 2, FALSE), 0)</f>
        <v>0</v>
      </c>
      <c r="CC129">
        <f>IFERROR(VLOOKUP($B129, duel!$CS:$CT, 2, FALSE), 0)</f>
        <v>0</v>
      </c>
      <c r="CD129">
        <f>IFERROR(VLOOKUP($B129, blitz!$CS:$CT, 2, FALSE), 0)</f>
        <v>0</v>
      </c>
      <c r="CE129" t="b">
        <f t="shared" si="46"/>
        <v>1</v>
      </c>
      <c r="CF129" t="str">
        <f>IFERROR(VLOOKUP($B129, aegis!$CX:$CY, 2, FALSE), 0)</f>
        <v>128</v>
      </c>
      <c r="CG129" t="str">
        <f>IFERROR(VLOOKUP($B129, duel!$CX:$CY, 2, FALSE), 0)</f>
        <v>128</v>
      </c>
      <c r="CH129" t="str">
        <f>IFERROR(VLOOKUP($B129, blitz!$CX:$CY, 2, FALSE), 0)</f>
        <v>128</v>
      </c>
      <c r="CI129" t="b">
        <f t="shared" si="47"/>
        <v>1</v>
      </c>
      <c r="CJ129" t="str">
        <f>IFERROR(VLOOKUP($B129, aegis!$DC:$DD, 2, FALSE), 0)</f>
        <v>1</v>
      </c>
      <c r="CK129" t="str">
        <f>IFERROR(VLOOKUP($B129, duel!$DC:$DD, 2, FALSE), 0)</f>
        <v>1</v>
      </c>
      <c r="CL129" t="str">
        <f>IFERROR(VLOOKUP($B129, blitz!$DC:$DD, 2, FALSE), 0)</f>
        <v>1</v>
      </c>
      <c r="CM129" t="b">
        <f t="shared" si="48"/>
        <v>1</v>
      </c>
      <c r="CN129" t="str">
        <f>IFERROR(VLOOKUP($B129, aegis!$DH:$DI, 2, FALSE), 0)</f>
        <v>1</v>
      </c>
      <c r="CO129" t="str">
        <f>IFERROR(VLOOKUP($B129, duel!$DH:$DI, 2, FALSE), 0)</f>
        <v>1</v>
      </c>
      <c r="CP129" s="13">
        <f>IFERROR(VLOOKUP($B129, blitz!$DH:$DI, 2, FALSE), 0)</f>
        <v>0</v>
      </c>
      <c r="CQ129" t="b">
        <f t="shared" si="49"/>
        <v>1</v>
      </c>
      <c r="CR129" t="str">
        <f>IFERROR(VLOOKUP($B129, aegis!$DM:$DN, 2, FALSE), 0)</f>
        <v>1</v>
      </c>
      <c r="CS129" t="str">
        <f>IFERROR(VLOOKUP($B129, duel!$DM:$DN, 2, FALSE), 0)</f>
        <v>1</v>
      </c>
      <c r="CT129" t="str">
        <f>IFERROR(VLOOKUP($B129, blitz!$DM:$DN, 2, FALSE), 0)</f>
        <v>1</v>
      </c>
      <c r="CU129" t="b">
        <f t="shared" si="50"/>
        <v>1</v>
      </c>
      <c r="CV129" t="str">
        <f>IFERROR(VLOOKUP($B129, aegis!$DR:$DS, 2, FALSE), 0)</f>
        <v>18</v>
      </c>
      <c r="CW129" t="str">
        <f>IFERROR(VLOOKUP($B129, duel!$DR:$DS, 2, FALSE), 0)</f>
        <v>18</v>
      </c>
      <c r="CX129" t="str">
        <f>IFERROR(VLOOKUP($B129, blitz!$DR:$DS, 2, FALSE), 0)</f>
        <v>18</v>
      </c>
      <c r="CY129" t="b">
        <f t="shared" si="51"/>
        <v>1</v>
      </c>
    </row>
    <row r="130" spans="1:103">
      <c r="B130" s="6" t="s">
        <v>237</v>
      </c>
      <c r="C130" s="5" t="b">
        <f t="shared" si="26"/>
        <v>0</v>
      </c>
      <c r="D130" t="str">
        <f>IFERROR(VLOOKUP($B130, aegis!$B:$C, 2, FALSE), 0)</f>
        <v>24</v>
      </c>
      <c r="E130" t="str">
        <f>IFERROR(VLOOKUP($B130, duel!$B:$C, 2, FALSE), 0)</f>
        <v>24</v>
      </c>
      <c r="F130" t="str">
        <f>IFERROR(VLOOKUP($B130, blitz!$B:$C, 2, FALSE), 0)</f>
        <v>24</v>
      </c>
      <c r="G130" t="b">
        <f t="shared" si="27"/>
        <v>1</v>
      </c>
      <c r="H130" t="str">
        <f>IFERROR(VLOOKUP($B130, aegis!$G:$H, 2, FALSE), 0)</f>
        <v>14</v>
      </c>
      <c r="I130" t="str">
        <f>IFERROR(VLOOKUP($B130, duel!$G:$H, 2, FALSE), 0)</f>
        <v>14</v>
      </c>
      <c r="J130" t="str">
        <f>IFERROR(VLOOKUP($B130, blitz!$G:$H, 2, FALSE), 0)</f>
        <v>14</v>
      </c>
      <c r="K130" t="b">
        <f t="shared" si="28"/>
        <v>1</v>
      </c>
      <c r="L130" t="str">
        <f>IFERROR(VLOOKUP($B130, aegis!$L:$M, 2, FALSE), 0)</f>
        <v>24</v>
      </c>
      <c r="M130" t="str">
        <f>IFERROR(VLOOKUP($B130, duel!$L:$M, 2, FALSE), 0)</f>
        <v>24</v>
      </c>
      <c r="N130" t="str">
        <f>IFERROR(VLOOKUP($B130, blitz!$L:$M, 2, FALSE), 0)</f>
        <v>24</v>
      </c>
      <c r="O130" t="b">
        <f t="shared" si="29"/>
        <v>1</v>
      </c>
      <c r="P130" t="str">
        <f>IFERROR(VLOOKUP($B130, aegis!$Q:$R, 2, FALSE), 0)</f>
        <v>14</v>
      </c>
      <c r="Q130" t="str">
        <f>IFERROR(VLOOKUP($B130, duel!$Q:$R, 2, FALSE), 0)</f>
        <v>14</v>
      </c>
      <c r="R130" t="str">
        <f>IFERROR(VLOOKUP($B130, blitz!$Q:$R, 2, FALSE), 0)</f>
        <v>14</v>
      </c>
      <c r="S130" t="b">
        <f t="shared" si="30"/>
        <v>1</v>
      </c>
      <c r="T130">
        <f>IFERROR(VLOOKUP($B130, aegis!$V:$W, 2, FALSE), 0)</f>
        <v>0</v>
      </c>
      <c r="U130">
        <f>IFERROR(VLOOKUP($B130, duel!$V:$W, 2, FALSE), 0)</f>
        <v>0</v>
      </c>
      <c r="V130">
        <f>IFERROR(VLOOKUP($B130, blitz!$V:$W, 2, FALSE), 0)</f>
        <v>0</v>
      </c>
      <c r="W130" t="b">
        <f t="shared" si="31"/>
        <v>1</v>
      </c>
      <c r="X130" t="str">
        <f>IFERROR(VLOOKUP($B130, aegis!$AA:$AB, 2, FALSE), 0)</f>
        <v>2</v>
      </c>
      <c r="Y130" t="str">
        <f>IFERROR(VLOOKUP($B130, duel!$AA:$AB, 2, FALSE), 0)</f>
        <v>2</v>
      </c>
      <c r="Z130" t="str">
        <f>IFERROR(VLOOKUP($B130, blitz!$AA:$AB, 2, FALSE), 0)</f>
        <v>2</v>
      </c>
      <c r="AA130" t="b">
        <f t="shared" si="32"/>
        <v>1</v>
      </c>
      <c r="AB130" t="str">
        <f>IFERROR(VLOOKUP($B130, aegis!$AF:$AG, 2, FALSE), 0)</f>
        <v>3</v>
      </c>
      <c r="AC130" t="str">
        <f>IFERROR(VLOOKUP($B130, duel!$AF:$AG, 2, FALSE), 0)</f>
        <v>3</v>
      </c>
      <c r="AD130" t="str">
        <f>IFERROR(VLOOKUP($B130, blitz!$AF:$AG, 2, FALSE), 0)</f>
        <v>3</v>
      </c>
      <c r="AE130" t="b">
        <f t="shared" si="33"/>
        <v>1</v>
      </c>
      <c r="AF130" t="str">
        <f>IFERROR(VLOOKUP($B130, aegis!$AK:$AL, 2, FALSE), 0)</f>
        <v>3</v>
      </c>
      <c r="AG130" t="str">
        <f>IFERROR(VLOOKUP($B130, duel!$AK:$AL, 2, FALSE), 0)</f>
        <v>1</v>
      </c>
      <c r="AH130" t="str">
        <f>IFERROR(VLOOKUP($B130, blitz!$AK:$AL, 2, FALSE), 0)</f>
        <v>1</v>
      </c>
      <c r="AI130" t="b">
        <f t="shared" si="34"/>
        <v>0</v>
      </c>
      <c r="AJ130" t="str">
        <f>IFERROR(VLOOKUP($B130, aegis!$AP:$AQ, 2, FALSE), 0)</f>
        <v>2</v>
      </c>
      <c r="AK130" t="str">
        <f>IFERROR(VLOOKUP($B130, duel!$AP:$AQ, 2, FALSE), 0)</f>
        <v>2</v>
      </c>
      <c r="AL130" t="str">
        <f>IFERROR(VLOOKUP($B130, blitz!$AP:$AQ, 2, FALSE), 0)</f>
        <v>2</v>
      </c>
      <c r="AM130" t="b">
        <f t="shared" si="35"/>
        <v>1</v>
      </c>
      <c r="AN130">
        <f>IFERROR(VLOOKUP($B130, aegis!$AU:$AV, 2, FALSE), 0)</f>
        <v>0</v>
      </c>
      <c r="AO130">
        <f>IFERROR(VLOOKUP($B130, duel!$AU:$AV, 2, FALSE), 0)</f>
        <v>0</v>
      </c>
      <c r="AP130">
        <f>IFERROR(VLOOKUP($B130, blitz!$AU:$AV, 2, FALSE), 0)</f>
        <v>0</v>
      </c>
      <c r="AQ130" t="b">
        <f t="shared" si="36"/>
        <v>1</v>
      </c>
      <c r="AR130" t="str">
        <f>IFERROR(VLOOKUP($B130, aegis!$AZ:$BA, 2, FALSE), 0)</f>
        <v>2</v>
      </c>
      <c r="AS130" t="str">
        <f>IFERROR(VLOOKUP($B130, duel!$AZ:$BA, 2, FALSE), 0)</f>
        <v>2</v>
      </c>
      <c r="AT130" t="str">
        <f>IFERROR(VLOOKUP($B130, blitz!$AZ:$BA, 2, FALSE), 0)</f>
        <v>2</v>
      </c>
      <c r="AU130" t="b">
        <f t="shared" si="37"/>
        <v>1</v>
      </c>
      <c r="AV130" t="str">
        <f>IFERROR(VLOOKUP($B130, aegis!$BE:$BF, 2, FALSE), 0)</f>
        <v>1</v>
      </c>
      <c r="AW130" t="str">
        <f>IFERROR(VLOOKUP($B130, duel!$BE:$BF, 2, FALSE), 0)</f>
        <v>1</v>
      </c>
      <c r="AX130" t="str">
        <f>IFERROR(VLOOKUP($B130, blitz!$BE:$BF, 2, FALSE), 0)</f>
        <v>1</v>
      </c>
      <c r="AY130" t="b">
        <f t="shared" si="38"/>
        <v>1</v>
      </c>
      <c r="AZ130" t="str">
        <f>IFERROR(VLOOKUP($B130, aegis!$BJ:$BK, 2, FALSE), 0)</f>
        <v>1</v>
      </c>
      <c r="BA130" t="str">
        <f>IFERROR(VLOOKUP($B130, duel!$BJ:$BK, 2, FALSE), 0)</f>
        <v>1</v>
      </c>
      <c r="BB130" t="str">
        <f>IFERROR(VLOOKUP($B130, blitz!$BJ:$BK, 2, FALSE), 0)</f>
        <v>1</v>
      </c>
      <c r="BC130" t="b">
        <f t="shared" si="39"/>
        <v>1</v>
      </c>
      <c r="BD130">
        <f>IFERROR(VLOOKUP($B130, aegis!$BO:$BP, 2, FALSE), 0)</f>
        <v>0</v>
      </c>
      <c r="BE130">
        <f>IFERROR(VLOOKUP($B130, duel!$BO:$BP, 2, FALSE), 0)</f>
        <v>0</v>
      </c>
      <c r="BF130">
        <f>IFERROR(VLOOKUP($B130, blitz!$BO:$BP, 2, FALSE), 0)</f>
        <v>0</v>
      </c>
      <c r="BG130" t="b">
        <f t="shared" si="40"/>
        <v>1</v>
      </c>
      <c r="BH130" t="str">
        <f>IFERROR(VLOOKUP($B130, aegis!$BT:$BU, 2, FALSE), 0)</f>
        <v>1</v>
      </c>
      <c r="BI130" t="str">
        <f>IFERROR(VLOOKUP($B130, duel!$BT:$BU, 2, FALSE), 0)</f>
        <v>1</v>
      </c>
      <c r="BJ130" t="str">
        <f>IFERROR(VLOOKUP($B130, blitz!$BT:$BU, 2, FALSE), 0)</f>
        <v>1</v>
      </c>
      <c r="BK130" t="b">
        <f t="shared" si="41"/>
        <v>1</v>
      </c>
      <c r="BL130" t="str">
        <f>IFERROR(VLOOKUP($B130, aegis!$BY:$BZ, 2, FALSE), 0)</f>
        <v>1</v>
      </c>
      <c r="BM130" t="str">
        <f>IFERROR(VLOOKUP($B130, duel!$BY:$BZ, 2, FALSE), 0)</f>
        <v>1</v>
      </c>
      <c r="BN130" t="str">
        <f>IFERROR(VLOOKUP($B130, blitz!$BY:$BZ, 2, FALSE), 0)</f>
        <v>1</v>
      </c>
      <c r="BO130" t="b">
        <f t="shared" si="42"/>
        <v>1</v>
      </c>
      <c r="BP130" t="str">
        <f>IFERROR(VLOOKUP($B130, aegis!$CD:$CE, 2, FALSE), 0)</f>
        <v>2</v>
      </c>
      <c r="BQ130" t="str">
        <f>IFERROR(VLOOKUP($B130, duel!$CD:$CE, 2, FALSE), 0)</f>
        <v>2</v>
      </c>
      <c r="BR130" t="str">
        <f>IFERROR(VLOOKUP($B130, blitz!$CD:$CE, 2, FALSE), 0)</f>
        <v>2</v>
      </c>
      <c r="BS130" t="b">
        <f t="shared" si="43"/>
        <v>1</v>
      </c>
      <c r="BT130">
        <f>IFERROR(VLOOKUP($B130, aegis!$CI:$CJ, 2, FALSE), 0)</f>
        <v>0</v>
      </c>
      <c r="BU130">
        <f>IFERROR(VLOOKUP($B130, duel!$CI:$CJ, 2, FALSE), 0)</f>
        <v>0</v>
      </c>
      <c r="BV130">
        <f>IFERROR(VLOOKUP($B130, blitz!$CI:$CJ, 2, FALSE), 0)</f>
        <v>0</v>
      </c>
      <c r="BW130" t="b">
        <f t="shared" si="44"/>
        <v>1</v>
      </c>
      <c r="BX130">
        <f>IFERROR(VLOOKUP($B130, aegis!$CN:$CO, 2, FALSE), 0)</f>
        <v>0</v>
      </c>
      <c r="BY130">
        <f>IFERROR(VLOOKUP($B130, duel!$CN:$CO, 2, FALSE), 0)</f>
        <v>0</v>
      </c>
      <c r="BZ130">
        <f>IFERROR(VLOOKUP($B130, blitz!$CN:$CO, 2, FALSE), 0)</f>
        <v>0</v>
      </c>
      <c r="CA130" t="b">
        <f t="shared" si="45"/>
        <v>1</v>
      </c>
      <c r="CB130">
        <f>IFERROR(VLOOKUP($B130, aegis!$CS:$CT, 2, FALSE), 0)</f>
        <v>0</v>
      </c>
      <c r="CC130">
        <f>IFERROR(VLOOKUP($B130, duel!$CS:$CT, 2, FALSE), 0)</f>
        <v>0</v>
      </c>
      <c r="CD130">
        <f>IFERROR(VLOOKUP($B130, blitz!$CS:$CT, 2, FALSE), 0)</f>
        <v>0</v>
      </c>
      <c r="CE130" t="b">
        <f t="shared" si="46"/>
        <v>1</v>
      </c>
      <c r="CF130" t="str">
        <f>IFERROR(VLOOKUP($B130, aegis!$CX:$CY, 2, FALSE), 0)</f>
        <v>10</v>
      </c>
      <c r="CG130" t="str">
        <f>IFERROR(VLOOKUP($B130, duel!$CX:$CY, 2, FALSE), 0)</f>
        <v>10</v>
      </c>
      <c r="CH130" t="str">
        <f>IFERROR(VLOOKUP($B130, blitz!$CX:$CY, 2, FALSE), 0)</f>
        <v>10</v>
      </c>
      <c r="CI130" t="b">
        <f t="shared" si="47"/>
        <v>1</v>
      </c>
      <c r="CJ130" t="str">
        <f>IFERROR(VLOOKUP($B130, aegis!$DC:$DD, 2, FALSE), 0)</f>
        <v>1</v>
      </c>
      <c r="CK130" t="str">
        <f>IFERROR(VLOOKUP($B130, duel!$DC:$DD, 2, FALSE), 0)</f>
        <v>1</v>
      </c>
      <c r="CL130" t="str">
        <f>IFERROR(VLOOKUP($B130, blitz!$DC:$DD, 2, FALSE), 0)</f>
        <v>1</v>
      </c>
      <c r="CM130" t="b">
        <f t="shared" si="48"/>
        <v>1</v>
      </c>
      <c r="CN130" t="str">
        <f>IFERROR(VLOOKUP($B130, aegis!$DH:$DI, 2, FALSE), 0)</f>
        <v>1</v>
      </c>
      <c r="CO130" t="str">
        <f>IFERROR(VLOOKUP($B130, duel!$DH:$DI, 2, FALSE), 0)</f>
        <v>1</v>
      </c>
      <c r="CP130" s="13">
        <f>IFERROR(VLOOKUP($B130, blitz!$DH:$DI, 2, FALSE), 0)</f>
        <v>0</v>
      </c>
      <c r="CQ130" t="b">
        <f t="shared" si="49"/>
        <v>1</v>
      </c>
      <c r="CR130" t="str">
        <f>IFERROR(VLOOKUP($B130, aegis!$DM:$DN, 2, FALSE), 0)</f>
        <v>1</v>
      </c>
      <c r="CS130" t="str">
        <f>IFERROR(VLOOKUP($B130, duel!$DM:$DN, 2, FALSE), 0)</f>
        <v>1</v>
      </c>
      <c r="CT130" t="str">
        <f>IFERROR(VLOOKUP($B130, blitz!$DM:$DN, 2, FALSE), 0)</f>
        <v>1</v>
      </c>
      <c r="CU130" t="b">
        <f t="shared" si="50"/>
        <v>1</v>
      </c>
      <c r="CV130" t="str">
        <f>IFERROR(VLOOKUP($B130, aegis!$DR:$DS, 2, FALSE), 0)</f>
        <v>3</v>
      </c>
      <c r="CW130" t="str">
        <f>IFERROR(VLOOKUP($B130, duel!$DR:$DS, 2, FALSE), 0)</f>
        <v>3</v>
      </c>
      <c r="CX130" t="str">
        <f>IFERROR(VLOOKUP($B130, blitz!$DR:$DS, 2, FALSE), 0)</f>
        <v>3</v>
      </c>
      <c r="CY130" t="b">
        <f t="shared" si="51"/>
        <v>1</v>
      </c>
    </row>
    <row r="131" spans="1:103">
      <c r="B131" s="6" t="s">
        <v>239</v>
      </c>
      <c r="C131" s="5" t="b">
        <f t="shared" si="26"/>
        <v>0</v>
      </c>
      <c r="D131" t="str">
        <f>IFERROR(VLOOKUP($B131, aegis!$B:$C, 2, FALSE), 0)</f>
        <v>24</v>
      </c>
      <c r="E131" t="str">
        <f>IFERROR(VLOOKUP($B131, duel!$B:$C, 2, FALSE), 0)</f>
        <v>24</v>
      </c>
      <c r="F131" t="str">
        <f>IFERROR(VLOOKUP($B131, blitz!$B:$C, 2, FALSE), 0)</f>
        <v>24</v>
      </c>
      <c r="G131" t="b">
        <f t="shared" si="27"/>
        <v>1</v>
      </c>
      <c r="H131" t="str">
        <f>IFERROR(VLOOKUP($B131, aegis!$G:$H, 2, FALSE), 0)</f>
        <v>14</v>
      </c>
      <c r="I131" t="str">
        <f>IFERROR(VLOOKUP($B131, duel!$G:$H, 2, FALSE), 0)</f>
        <v>14</v>
      </c>
      <c r="J131" t="str">
        <f>IFERROR(VLOOKUP($B131, blitz!$G:$H, 2, FALSE), 0)</f>
        <v>14</v>
      </c>
      <c r="K131" t="b">
        <f t="shared" si="28"/>
        <v>1</v>
      </c>
      <c r="L131" t="str">
        <f>IFERROR(VLOOKUP($B131, aegis!$L:$M, 2, FALSE), 0)</f>
        <v>36</v>
      </c>
      <c r="M131" t="str">
        <f>IFERROR(VLOOKUP($B131, duel!$L:$M, 2, FALSE), 0)</f>
        <v>36</v>
      </c>
      <c r="N131" t="str">
        <f>IFERROR(VLOOKUP($B131, blitz!$L:$M, 2, FALSE), 0)</f>
        <v>36</v>
      </c>
      <c r="O131" t="b">
        <f t="shared" si="29"/>
        <v>1</v>
      </c>
      <c r="P131" t="str">
        <f>IFERROR(VLOOKUP($B131, aegis!$Q:$R, 2, FALSE), 0)</f>
        <v>21</v>
      </c>
      <c r="Q131" t="str">
        <f>IFERROR(VLOOKUP($B131, duel!$Q:$R, 2, FALSE), 0)</f>
        <v>21</v>
      </c>
      <c r="R131" t="str">
        <f>IFERROR(VLOOKUP($B131, blitz!$Q:$R, 2, FALSE), 0)</f>
        <v>21</v>
      </c>
      <c r="S131" t="b">
        <f t="shared" si="30"/>
        <v>1</v>
      </c>
      <c r="T131">
        <f>IFERROR(VLOOKUP($B131, aegis!$V:$W, 2, FALSE), 0)</f>
        <v>0</v>
      </c>
      <c r="U131">
        <f>IFERROR(VLOOKUP($B131, duel!$V:$W, 2, FALSE), 0)</f>
        <v>0</v>
      </c>
      <c r="V131">
        <f>IFERROR(VLOOKUP($B131, blitz!$V:$W, 2, FALSE), 0)</f>
        <v>0</v>
      </c>
      <c r="W131" t="b">
        <f t="shared" si="31"/>
        <v>1</v>
      </c>
      <c r="X131" t="str">
        <f>IFERROR(VLOOKUP($B131, aegis!$AA:$AB, 2, FALSE), 0)</f>
        <v>2</v>
      </c>
      <c r="Y131" t="str">
        <f>IFERROR(VLOOKUP($B131, duel!$AA:$AB, 2, FALSE), 0)</f>
        <v>2</v>
      </c>
      <c r="Z131" t="str">
        <f>IFERROR(VLOOKUP($B131, blitz!$AA:$AB, 2, FALSE), 0)</f>
        <v>2</v>
      </c>
      <c r="AA131" t="b">
        <f t="shared" si="32"/>
        <v>1</v>
      </c>
      <c r="AB131" t="str">
        <f>IFERROR(VLOOKUP($B131, aegis!$AF:$AG, 2, FALSE), 0)</f>
        <v>11</v>
      </c>
      <c r="AC131" t="str">
        <f>IFERROR(VLOOKUP($B131, duel!$AF:$AG, 2, FALSE), 0)</f>
        <v>11</v>
      </c>
      <c r="AD131" t="str">
        <f>IFERROR(VLOOKUP($B131, blitz!$AF:$AG, 2, FALSE), 0)</f>
        <v>11</v>
      </c>
      <c r="AE131" t="b">
        <f t="shared" si="33"/>
        <v>1</v>
      </c>
      <c r="AF131" t="str">
        <f>IFERROR(VLOOKUP($B131, aegis!$AK:$AL, 2, FALSE), 0)</f>
        <v>3</v>
      </c>
      <c r="AG131" t="str">
        <f>IFERROR(VLOOKUP($B131, duel!$AK:$AL, 2, FALSE), 0)</f>
        <v>1</v>
      </c>
      <c r="AH131" t="str">
        <f>IFERROR(VLOOKUP($B131, blitz!$AK:$AL, 2, FALSE), 0)</f>
        <v>1</v>
      </c>
      <c r="AI131" t="b">
        <f t="shared" si="34"/>
        <v>0</v>
      </c>
      <c r="AJ131" t="str">
        <f>IFERROR(VLOOKUP($B131, aegis!$AP:$AQ, 2, FALSE), 0)</f>
        <v>1</v>
      </c>
      <c r="AK131" t="str">
        <f>IFERROR(VLOOKUP($B131, duel!$AP:$AQ, 2, FALSE), 0)</f>
        <v>1</v>
      </c>
      <c r="AL131" t="str">
        <f>IFERROR(VLOOKUP($B131, blitz!$AP:$AQ, 2, FALSE), 0)</f>
        <v>1</v>
      </c>
      <c r="AM131" t="b">
        <f t="shared" si="35"/>
        <v>1</v>
      </c>
      <c r="AN131">
        <f>IFERROR(VLOOKUP($B131, aegis!$AU:$AV, 2, FALSE), 0)</f>
        <v>0</v>
      </c>
      <c r="AO131">
        <f>IFERROR(VLOOKUP($B131, duel!$AU:$AV, 2, FALSE), 0)</f>
        <v>0</v>
      </c>
      <c r="AP131">
        <f>IFERROR(VLOOKUP($B131, blitz!$AU:$AV, 2, FALSE), 0)</f>
        <v>0</v>
      </c>
      <c r="AQ131" t="b">
        <f t="shared" si="36"/>
        <v>1</v>
      </c>
      <c r="AR131" t="str">
        <f>IFERROR(VLOOKUP($B131, aegis!$AZ:$BA, 2, FALSE), 0)</f>
        <v>2</v>
      </c>
      <c r="AS131" t="str">
        <f>IFERROR(VLOOKUP($B131, duel!$AZ:$BA, 2, FALSE), 0)</f>
        <v>2</v>
      </c>
      <c r="AT131" t="str">
        <f>IFERROR(VLOOKUP($B131, blitz!$AZ:$BA, 2, FALSE), 0)</f>
        <v>2</v>
      </c>
      <c r="AU131" t="b">
        <f t="shared" si="37"/>
        <v>1</v>
      </c>
      <c r="AV131" t="str">
        <f>IFERROR(VLOOKUP($B131, aegis!$BE:$BF, 2, FALSE), 0)</f>
        <v>1</v>
      </c>
      <c r="AW131" t="str">
        <f>IFERROR(VLOOKUP($B131, duel!$BE:$BF, 2, FALSE), 0)</f>
        <v>1</v>
      </c>
      <c r="AX131" t="str">
        <f>IFERROR(VLOOKUP($B131, blitz!$BE:$BF, 2, FALSE), 0)</f>
        <v>1</v>
      </c>
      <c r="AY131" t="b">
        <f t="shared" si="38"/>
        <v>1</v>
      </c>
      <c r="AZ131" t="str">
        <f>IFERROR(VLOOKUP($B131, aegis!$BJ:$BK, 2, FALSE), 0)</f>
        <v>1</v>
      </c>
      <c r="BA131" t="str">
        <f>IFERROR(VLOOKUP($B131, duel!$BJ:$BK, 2, FALSE), 0)</f>
        <v>1</v>
      </c>
      <c r="BB131" t="str">
        <f>IFERROR(VLOOKUP($B131, blitz!$BJ:$BK, 2, FALSE), 0)</f>
        <v>1</v>
      </c>
      <c r="BC131" t="b">
        <f t="shared" si="39"/>
        <v>1</v>
      </c>
      <c r="BD131">
        <f>IFERROR(VLOOKUP($B131, aegis!$BO:$BP, 2, FALSE), 0)</f>
        <v>0</v>
      </c>
      <c r="BE131">
        <f>IFERROR(VLOOKUP($B131, duel!$BO:$BP, 2, FALSE), 0)</f>
        <v>0</v>
      </c>
      <c r="BF131">
        <f>IFERROR(VLOOKUP($B131, blitz!$BO:$BP, 2, FALSE), 0)</f>
        <v>0</v>
      </c>
      <c r="BG131" t="b">
        <f t="shared" si="40"/>
        <v>1</v>
      </c>
      <c r="BH131" t="str">
        <f>IFERROR(VLOOKUP($B131, aegis!$BT:$BU, 2, FALSE), 0)</f>
        <v>7</v>
      </c>
      <c r="BI131" t="str">
        <f>IFERROR(VLOOKUP($B131, duel!$BT:$BU, 2, FALSE), 0)</f>
        <v>7</v>
      </c>
      <c r="BJ131" t="str">
        <f>IFERROR(VLOOKUP($B131, blitz!$BT:$BU, 2, FALSE), 0)</f>
        <v>7</v>
      </c>
      <c r="BK131" t="b">
        <f t="shared" si="41"/>
        <v>1</v>
      </c>
      <c r="BL131" t="str">
        <f>IFERROR(VLOOKUP($B131, aegis!$BY:$BZ, 2, FALSE), 0)</f>
        <v>1</v>
      </c>
      <c r="BM131" t="str">
        <f>IFERROR(VLOOKUP($B131, duel!$BY:$BZ, 2, FALSE), 0)</f>
        <v>1</v>
      </c>
      <c r="BN131" t="str">
        <f>IFERROR(VLOOKUP($B131, blitz!$BY:$BZ, 2, FALSE), 0)</f>
        <v>1</v>
      </c>
      <c r="BO131" t="b">
        <f t="shared" si="42"/>
        <v>1</v>
      </c>
      <c r="BP131" t="str">
        <f>IFERROR(VLOOKUP($B131, aegis!$CD:$CE, 2, FALSE), 0)</f>
        <v>3</v>
      </c>
      <c r="BQ131" t="str">
        <f>IFERROR(VLOOKUP($B131, duel!$CD:$CE, 2, FALSE), 0)</f>
        <v>3</v>
      </c>
      <c r="BR131" t="str">
        <f>IFERROR(VLOOKUP($B131, blitz!$CD:$CE, 2, FALSE), 0)</f>
        <v>3</v>
      </c>
      <c r="BS131" t="b">
        <f t="shared" si="43"/>
        <v>1</v>
      </c>
      <c r="BT131">
        <f>IFERROR(VLOOKUP($B131, aegis!$CI:$CJ, 2, FALSE), 0)</f>
        <v>0</v>
      </c>
      <c r="BU131">
        <f>IFERROR(VLOOKUP($B131, duel!$CI:$CJ, 2, FALSE), 0)</f>
        <v>0</v>
      </c>
      <c r="BV131">
        <f>IFERROR(VLOOKUP($B131, blitz!$CI:$CJ, 2, FALSE), 0)</f>
        <v>0</v>
      </c>
      <c r="BW131" t="b">
        <f t="shared" si="44"/>
        <v>1</v>
      </c>
      <c r="BX131">
        <f>IFERROR(VLOOKUP($B131, aegis!$CN:$CO, 2, FALSE), 0)</f>
        <v>0</v>
      </c>
      <c r="BY131">
        <f>IFERROR(VLOOKUP($B131, duel!$CN:$CO, 2, FALSE), 0)</f>
        <v>0</v>
      </c>
      <c r="BZ131">
        <f>IFERROR(VLOOKUP($B131, blitz!$CN:$CO, 2, FALSE), 0)</f>
        <v>0</v>
      </c>
      <c r="CA131" t="b">
        <f t="shared" si="45"/>
        <v>1</v>
      </c>
      <c r="CB131">
        <f>IFERROR(VLOOKUP($B131, aegis!$CS:$CT, 2, FALSE), 0)</f>
        <v>0</v>
      </c>
      <c r="CC131">
        <f>IFERROR(VLOOKUP($B131, duel!$CS:$CT, 2, FALSE), 0)</f>
        <v>0</v>
      </c>
      <c r="CD131">
        <f>IFERROR(VLOOKUP($B131, blitz!$CS:$CT, 2, FALSE), 0)</f>
        <v>0</v>
      </c>
      <c r="CE131" t="b">
        <f t="shared" si="46"/>
        <v>1</v>
      </c>
      <c r="CF131" t="str">
        <f>IFERROR(VLOOKUP($B131, aegis!$CX:$CY, 2, FALSE), 0)</f>
        <v>220</v>
      </c>
      <c r="CG131" t="str">
        <f>IFERROR(VLOOKUP($B131, duel!$CX:$CY, 2, FALSE), 0)</f>
        <v>220</v>
      </c>
      <c r="CH131" t="str">
        <f>IFERROR(VLOOKUP($B131, blitz!$CX:$CY, 2, FALSE), 0)</f>
        <v>220</v>
      </c>
      <c r="CI131" t="b">
        <f t="shared" si="47"/>
        <v>1</v>
      </c>
      <c r="CJ131" t="str">
        <f>IFERROR(VLOOKUP($B131, aegis!$DC:$DD, 2, FALSE), 0)</f>
        <v>1</v>
      </c>
      <c r="CK131" t="str">
        <f>IFERROR(VLOOKUP($B131, duel!$DC:$DD, 2, FALSE), 0)</f>
        <v>1</v>
      </c>
      <c r="CL131" t="str">
        <f>IFERROR(VLOOKUP($B131, blitz!$DC:$DD, 2, FALSE), 0)</f>
        <v>1</v>
      </c>
      <c r="CM131" t="b">
        <f t="shared" si="48"/>
        <v>1</v>
      </c>
      <c r="CN131" t="str">
        <f>IFERROR(VLOOKUP($B131, aegis!$DH:$DI, 2, FALSE), 0)</f>
        <v>1</v>
      </c>
      <c r="CO131" t="str">
        <f>IFERROR(VLOOKUP($B131, duel!$DH:$DI, 2, FALSE), 0)</f>
        <v>1</v>
      </c>
      <c r="CP131" s="13">
        <f>IFERROR(VLOOKUP($B131, blitz!$DH:$DI, 2, FALSE), 0)</f>
        <v>0</v>
      </c>
      <c r="CQ131" t="b">
        <f t="shared" si="49"/>
        <v>1</v>
      </c>
      <c r="CR131" t="str">
        <f>IFERROR(VLOOKUP($B131, aegis!$DM:$DN, 2, FALSE), 0)</f>
        <v>1</v>
      </c>
      <c r="CS131" t="str">
        <f>IFERROR(VLOOKUP($B131, duel!$DM:$DN, 2, FALSE), 0)</f>
        <v>1</v>
      </c>
      <c r="CT131" t="str">
        <f>IFERROR(VLOOKUP($B131, blitz!$DM:$DN, 2, FALSE), 0)</f>
        <v>1</v>
      </c>
      <c r="CU131" t="b">
        <f t="shared" si="50"/>
        <v>1</v>
      </c>
      <c r="CV131" t="str">
        <f>IFERROR(VLOOKUP($B131, aegis!$DR:$DS, 2, FALSE), 0)</f>
        <v>11</v>
      </c>
      <c r="CW131" t="str">
        <f>IFERROR(VLOOKUP($B131, duel!$DR:$DS, 2, FALSE), 0)</f>
        <v>11</v>
      </c>
      <c r="CX131" t="str">
        <f>IFERROR(VLOOKUP($B131, blitz!$DR:$DS, 2, FALSE), 0)</f>
        <v>11</v>
      </c>
      <c r="CY131" t="b">
        <f t="shared" si="51"/>
        <v>1</v>
      </c>
    </row>
    <row r="132" spans="1:103">
      <c r="B132" s="6" t="s">
        <v>241</v>
      </c>
      <c r="C132" s="5" t="b">
        <f t="shared" si="26"/>
        <v>0</v>
      </c>
      <c r="D132" t="str">
        <f>IFERROR(VLOOKUP($B132, aegis!$B:$C, 2, FALSE), 0)</f>
        <v>24</v>
      </c>
      <c r="E132" t="str">
        <f>IFERROR(VLOOKUP($B132, duel!$B:$C, 2, FALSE), 0)</f>
        <v>24</v>
      </c>
      <c r="F132" t="str">
        <f>IFERROR(VLOOKUP($B132, blitz!$B:$C, 2, FALSE), 0)</f>
        <v>24</v>
      </c>
      <c r="G132" t="b">
        <f t="shared" si="27"/>
        <v>1</v>
      </c>
      <c r="H132" t="str">
        <f>IFERROR(VLOOKUP($B132, aegis!$G:$H, 2, FALSE), 0)</f>
        <v>14</v>
      </c>
      <c r="I132" t="str">
        <f>IFERROR(VLOOKUP($B132, duel!$G:$H, 2, FALSE), 0)</f>
        <v>14</v>
      </c>
      <c r="J132" t="str">
        <f>IFERROR(VLOOKUP($B132, blitz!$G:$H, 2, FALSE), 0)</f>
        <v>14</v>
      </c>
      <c r="K132" t="b">
        <f t="shared" si="28"/>
        <v>1</v>
      </c>
      <c r="L132" t="str">
        <f>IFERROR(VLOOKUP($B132, aegis!$L:$M, 2, FALSE), 0)</f>
        <v>24</v>
      </c>
      <c r="M132" t="str">
        <f>IFERROR(VLOOKUP($B132, duel!$L:$M, 2, FALSE), 0)</f>
        <v>24</v>
      </c>
      <c r="N132" t="str">
        <f>IFERROR(VLOOKUP($B132, blitz!$L:$M, 2, FALSE), 0)</f>
        <v>24</v>
      </c>
      <c r="O132" t="b">
        <f t="shared" si="29"/>
        <v>1</v>
      </c>
      <c r="P132" t="str">
        <f>IFERROR(VLOOKUP($B132, aegis!$Q:$R, 2, FALSE), 0)</f>
        <v>14</v>
      </c>
      <c r="Q132" t="str">
        <f>IFERROR(VLOOKUP($B132, duel!$Q:$R, 2, FALSE), 0)</f>
        <v>14</v>
      </c>
      <c r="R132" t="str">
        <f>IFERROR(VLOOKUP($B132, blitz!$Q:$R, 2, FALSE), 0)</f>
        <v>14</v>
      </c>
      <c r="S132" t="b">
        <f t="shared" si="30"/>
        <v>1</v>
      </c>
      <c r="T132">
        <f>IFERROR(VLOOKUP($B132, aegis!$V:$W, 2, FALSE), 0)</f>
        <v>0</v>
      </c>
      <c r="U132">
        <f>IFERROR(VLOOKUP($B132, duel!$V:$W, 2, FALSE), 0)</f>
        <v>0</v>
      </c>
      <c r="V132">
        <f>IFERROR(VLOOKUP($B132, blitz!$V:$W, 2, FALSE), 0)</f>
        <v>0</v>
      </c>
      <c r="W132" t="b">
        <f t="shared" si="31"/>
        <v>1</v>
      </c>
      <c r="X132" t="str">
        <f>IFERROR(VLOOKUP($B132, aegis!$AA:$AB, 2, FALSE), 0)</f>
        <v>2</v>
      </c>
      <c r="Y132" t="str">
        <f>IFERROR(VLOOKUP($B132, duel!$AA:$AB, 2, FALSE), 0)</f>
        <v>2</v>
      </c>
      <c r="Z132" t="str">
        <f>IFERROR(VLOOKUP($B132, blitz!$AA:$AB, 2, FALSE), 0)</f>
        <v>2</v>
      </c>
      <c r="AA132" t="b">
        <f t="shared" si="32"/>
        <v>1</v>
      </c>
      <c r="AB132" t="str">
        <f>IFERROR(VLOOKUP($B132, aegis!$AF:$AG, 2, FALSE), 0)</f>
        <v>31</v>
      </c>
      <c r="AC132" t="str">
        <f>IFERROR(VLOOKUP($B132, duel!$AF:$AG, 2, FALSE), 0)</f>
        <v>31</v>
      </c>
      <c r="AD132" t="str">
        <f>IFERROR(VLOOKUP($B132, blitz!$AF:$AG, 2, FALSE), 0)</f>
        <v>31</v>
      </c>
      <c r="AE132" t="b">
        <f t="shared" si="33"/>
        <v>1</v>
      </c>
      <c r="AF132" t="str">
        <f>IFERROR(VLOOKUP($B132, aegis!$AK:$AL, 2, FALSE), 0)</f>
        <v>3</v>
      </c>
      <c r="AG132" t="str">
        <f>IFERROR(VLOOKUP($B132, duel!$AK:$AL, 2, FALSE), 0)</f>
        <v>1</v>
      </c>
      <c r="AH132" t="str">
        <f>IFERROR(VLOOKUP($B132, blitz!$AK:$AL, 2, FALSE), 0)</f>
        <v>1</v>
      </c>
      <c r="AI132" t="b">
        <f t="shared" si="34"/>
        <v>0</v>
      </c>
      <c r="AJ132" t="str">
        <f>IFERROR(VLOOKUP($B132, aegis!$AP:$AQ, 2, FALSE), 0)</f>
        <v>1</v>
      </c>
      <c r="AK132" t="str">
        <f>IFERROR(VLOOKUP($B132, duel!$AP:$AQ, 2, FALSE), 0)</f>
        <v>1</v>
      </c>
      <c r="AL132" t="str">
        <f>IFERROR(VLOOKUP($B132, blitz!$AP:$AQ, 2, FALSE), 0)</f>
        <v>1</v>
      </c>
      <c r="AM132" t="b">
        <f t="shared" si="35"/>
        <v>1</v>
      </c>
      <c r="AN132">
        <f>IFERROR(VLOOKUP($B132, aegis!$AU:$AV, 2, FALSE), 0)</f>
        <v>0</v>
      </c>
      <c r="AO132">
        <f>IFERROR(VLOOKUP($B132, duel!$AU:$AV, 2, FALSE), 0)</f>
        <v>0</v>
      </c>
      <c r="AP132">
        <f>IFERROR(VLOOKUP($B132, blitz!$AU:$AV, 2, FALSE), 0)</f>
        <v>0</v>
      </c>
      <c r="AQ132" t="b">
        <f t="shared" si="36"/>
        <v>1</v>
      </c>
      <c r="AR132" t="str">
        <f>IFERROR(VLOOKUP($B132, aegis!$AZ:$BA, 2, FALSE), 0)</f>
        <v>2</v>
      </c>
      <c r="AS132" t="str">
        <f>IFERROR(VLOOKUP($B132, duel!$AZ:$BA, 2, FALSE), 0)</f>
        <v>2</v>
      </c>
      <c r="AT132" t="str">
        <f>IFERROR(VLOOKUP($B132, blitz!$AZ:$BA, 2, FALSE), 0)</f>
        <v>2</v>
      </c>
      <c r="AU132" t="b">
        <f t="shared" si="37"/>
        <v>1</v>
      </c>
      <c r="AV132" t="str">
        <f>IFERROR(VLOOKUP($B132, aegis!$BE:$BF, 2, FALSE), 0)</f>
        <v>1</v>
      </c>
      <c r="AW132" t="str">
        <f>IFERROR(VLOOKUP($B132, duel!$BE:$BF, 2, FALSE), 0)</f>
        <v>1</v>
      </c>
      <c r="AX132" t="str">
        <f>IFERROR(VLOOKUP($B132, blitz!$BE:$BF, 2, FALSE), 0)</f>
        <v>1</v>
      </c>
      <c r="AY132" t="b">
        <f t="shared" si="38"/>
        <v>1</v>
      </c>
      <c r="AZ132" t="str">
        <f>IFERROR(VLOOKUP($B132, aegis!$BJ:$BK, 2, FALSE), 0)</f>
        <v>1</v>
      </c>
      <c r="BA132" t="str">
        <f>IFERROR(VLOOKUP($B132, duel!$BJ:$BK, 2, FALSE), 0)</f>
        <v>1</v>
      </c>
      <c r="BB132" t="str">
        <f>IFERROR(VLOOKUP($B132, blitz!$BJ:$BK, 2, FALSE), 0)</f>
        <v>1</v>
      </c>
      <c r="BC132" t="b">
        <f t="shared" si="39"/>
        <v>1</v>
      </c>
      <c r="BD132">
        <f>IFERROR(VLOOKUP($B132, aegis!$BO:$BP, 2, FALSE), 0)</f>
        <v>0</v>
      </c>
      <c r="BE132">
        <f>IFERROR(VLOOKUP($B132, duel!$BO:$BP, 2, FALSE), 0)</f>
        <v>0</v>
      </c>
      <c r="BF132">
        <f>IFERROR(VLOOKUP($B132, blitz!$BO:$BP, 2, FALSE), 0)</f>
        <v>0</v>
      </c>
      <c r="BG132" t="b">
        <f t="shared" si="40"/>
        <v>1</v>
      </c>
      <c r="BH132" t="str">
        <f>IFERROR(VLOOKUP($B132, aegis!$BT:$BU, 2, FALSE), 0)</f>
        <v>20</v>
      </c>
      <c r="BI132" t="str">
        <f>IFERROR(VLOOKUP($B132, duel!$BT:$BU, 2, FALSE), 0)</f>
        <v>20</v>
      </c>
      <c r="BJ132" t="str">
        <f>IFERROR(VLOOKUP($B132, blitz!$BT:$BU, 2, FALSE), 0)</f>
        <v>20</v>
      </c>
      <c r="BK132" t="b">
        <f t="shared" si="41"/>
        <v>1</v>
      </c>
      <c r="BL132" t="str">
        <f>IFERROR(VLOOKUP($B132, aegis!$BY:$BZ, 2, FALSE), 0)</f>
        <v>1</v>
      </c>
      <c r="BM132" t="str">
        <f>IFERROR(VLOOKUP($B132, duel!$BY:$BZ, 2, FALSE), 0)</f>
        <v>1</v>
      </c>
      <c r="BN132" t="str">
        <f>IFERROR(VLOOKUP($B132, blitz!$BY:$BZ, 2, FALSE), 0)</f>
        <v>1</v>
      </c>
      <c r="BO132" t="b">
        <f t="shared" si="42"/>
        <v>1</v>
      </c>
      <c r="BP132" t="str">
        <f>IFERROR(VLOOKUP($B132, aegis!$CD:$CE, 2, FALSE), 0)</f>
        <v>5</v>
      </c>
      <c r="BQ132" t="str">
        <f>IFERROR(VLOOKUP($B132, duel!$CD:$CE, 2, FALSE), 0)</f>
        <v>5</v>
      </c>
      <c r="BR132" t="str">
        <f>IFERROR(VLOOKUP($B132, blitz!$CD:$CE, 2, FALSE), 0)</f>
        <v>5</v>
      </c>
      <c r="BS132" t="b">
        <f t="shared" si="43"/>
        <v>1</v>
      </c>
      <c r="BT132" t="str">
        <f>IFERROR(VLOOKUP($B132, aegis!$CI:$CJ, 2, FALSE), 0)</f>
        <v>66</v>
      </c>
      <c r="BU132" t="str">
        <f>IFERROR(VLOOKUP($B132, duel!$CI:$CJ, 2, FALSE), 0)</f>
        <v>66</v>
      </c>
      <c r="BV132" t="str">
        <f>IFERROR(VLOOKUP($B132, blitz!$CI:$CJ, 2, FALSE), 0)</f>
        <v>66</v>
      </c>
      <c r="BW132" t="b">
        <f t="shared" si="44"/>
        <v>1</v>
      </c>
      <c r="BX132" t="str">
        <f>IFERROR(VLOOKUP($B132, aegis!$CN:$CO, 2, FALSE), 0)</f>
        <v>66</v>
      </c>
      <c r="BY132" t="str">
        <f>IFERROR(VLOOKUP($B132, duel!$CN:$CO, 2, FALSE), 0)</f>
        <v>66</v>
      </c>
      <c r="BZ132" t="str">
        <f>IFERROR(VLOOKUP($B132, blitz!$CN:$CO, 2, FALSE), 0)</f>
        <v>66</v>
      </c>
      <c r="CA132" t="b">
        <f t="shared" si="45"/>
        <v>1</v>
      </c>
      <c r="CB132" t="str">
        <f>IFERROR(VLOOKUP($B132, aegis!$CS:$CT, 2, FALSE), 0)</f>
        <v>294</v>
      </c>
      <c r="CC132" t="str">
        <f>IFERROR(VLOOKUP($B132, duel!$CS:$CT, 2, FALSE), 0)</f>
        <v>294</v>
      </c>
      <c r="CD132" t="str">
        <f>IFERROR(VLOOKUP($B132, blitz!$CS:$CT, 2, FALSE), 0)</f>
        <v>294</v>
      </c>
      <c r="CE132" t="b">
        <f t="shared" si="46"/>
        <v>1</v>
      </c>
      <c r="CF132" t="str">
        <f>IFERROR(VLOOKUP($B132, aegis!$CX:$CY, 2, FALSE), 0)</f>
        <v>531</v>
      </c>
      <c r="CG132" t="str">
        <f>IFERROR(VLOOKUP($B132, duel!$CX:$CY, 2, FALSE), 0)</f>
        <v>531</v>
      </c>
      <c r="CH132" t="str">
        <f>IFERROR(VLOOKUP($B132, blitz!$CX:$CY, 2, FALSE), 0)</f>
        <v>531</v>
      </c>
      <c r="CI132" t="b">
        <f t="shared" si="47"/>
        <v>1</v>
      </c>
      <c r="CJ132" t="str">
        <f>IFERROR(VLOOKUP($B132, aegis!$DC:$DD, 2, FALSE), 0)</f>
        <v>1</v>
      </c>
      <c r="CK132" t="str">
        <f>IFERROR(VLOOKUP($B132, duel!$DC:$DD, 2, FALSE), 0)</f>
        <v>1</v>
      </c>
      <c r="CL132" t="str">
        <f>IFERROR(VLOOKUP($B132, blitz!$DC:$DD, 2, FALSE), 0)</f>
        <v>1</v>
      </c>
      <c r="CM132" t="b">
        <f t="shared" si="48"/>
        <v>1</v>
      </c>
      <c r="CN132" t="str">
        <f>IFERROR(VLOOKUP($B132, aegis!$DH:$DI, 2, FALSE), 0)</f>
        <v>2</v>
      </c>
      <c r="CO132" t="str">
        <f>IFERROR(VLOOKUP($B132, duel!$DH:$DI, 2, FALSE), 0)</f>
        <v>2</v>
      </c>
      <c r="CP132" s="13">
        <f>IFERROR(VLOOKUP($B132, blitz!$DH:$DI, 2, FALSE), 0)</f>
        <v>0</v>
      </c>
      <c r="CQ132" t="b">
        <f t="shared" si="49"/>
        <v>1</v>
      </c>
      <c r="CR132" t="str">
        <f>IFERROR(VLOOKUP($B132, aegis!$DM:$DN, 2, FALSE), 0)</f>
        <v>2</v>
      </c>
      <c r="CS132" t="str">
        <f>IFERROR(VLOOKUP($B132, duel!$DM:$DN, 2, FALSE), 0)</f>
        <v>2</v>
      </c>
      <c r="CT132" t="str">
        <f>IFERROR(VLOOKUP($B132, blitz!$DM:$DN, 2, FALSE), 0)</f>
        <v>2</v>
      </c>
      <c r="CU132" t="b">
        <f t="shared" si="50"/>
        <v>1</v>
      </c>
      <c r="CV132" t="str">
        <f>IFERROR(VLOOKUP($B132, aegis!$DR:$DS, 2, FALSE), 0)</f>
        <v>31</v>
      </c>
      <c r="CW132" t="str">
        <f>IFERROR(VLOOKUP($B132, duel!$DR:$DS, 2, FALSE), 0)</f>
        <v>31</v>
      </c>
      <c r="CX132" t="str">
        <f>IFERROR(VLOOKUP($B132, blitz!$DR:$DS, 2, FALSE), 0)</f>
        <v>31</v>
      </c>
      <c r="CY132" t="b">
        <f t="shared" si="51"/>
        <v>1</v>
      </c>
    </row>
    <row r="133" spans="1:103">
      <c r="B133" s="6" t="s">
        <v>243</v>
      </c>
      <c r="C133" s="5" t="b">
        <f t="shared" si="26"/>
        <v>0</v>
      </c>
      <c r="D133" t="str">
        <f>IFERROR(VLOOKUP($B133, aegis!$B:$C, 2, FALSE), 0)</f>
        <v>24</v>
      </c>
      <c r="E133" t="str">
        <f>IFERROR(VLOOKUP($B133, duel!$B:$C, 2, FALSE), 0)</f>
        <v>24</v>
      </c>
      <c r="F133" t="str">
        <f>IFERROR(VLOOKUP($B133, blitz!$B:$C, 2, FALSE), 0)</f>
        <v>24</v>
      </c>
      <c r="G133" t="b">
        <f t="shared" si="27"/>
        <v>1</v>
      </c>
      <c r="H133" t="str">
        <f>IFERROR(VLOOKUP($B133, aegis!$G:$H, 2, FALSE), 0)</f>
        <v>14</v>
      </c>
      <c r="I133" t="str">
        <f>IFERROR(VLOOKUP($B133, duel!$G:$H, 2, FALSE), 0)</f>
        <v>14</v>
      </c>
      <c r="J133" t="str">
        <f>IFERROR(VLOOKUP($B133, blitz!$G:$H, 2, FALSE), 0)</f>
        <v>14</v>
      </c>
      <c r="K133" t="b">
        <f t="shared" si="28"/>
        <v>1</v>
      </c>
      <c r="L133" t="str">
        <f>IFERROR(VLOOKUP($B133, aegis!$L:$M, 2, FALSE), 0)</f>
        <v>48</v>
      </c>
      <c r="M133" t="str">
        <f>IFERROR(VLOOKUP($B133, duel!$L:$M, 2, FALSE), 0)</f>
        <v>48</v>
      </c>
      <c r="N133" t="str">
        <f>IFERROR(VLOOKUP($B133, blitz!$L:$M, 2, FALSE), 0)</f>
        <v>48</v>
      </c>
      <c r="O133" t="b">
        <f t="shared" si="29"/>
        <v>1</v>
      </c>
      <c r="P133" t="str">
        <f>IFERROR(VLOOKUP($B133, aegis!$Q:$R, 2, FALSE), 0)</f>
        <v>28</v>
      </c>
      <c r="Q133" t="str">
        <f>IFERROR(VLOOKUP($B133, duel!$Q:$R, 2, FALSE), 0)</f>
        <v>28</v>
      </c>
      <c r="R133" t="str">
        <f>IFERROR(VLOOKUP($B133, blitz!$Q:$R, 2, FALSE), 0)</f>
        <v>28</v>
      </c>
      <c r="S133" t="b">
        <f t="shared" si="30"/>
        <v>1</v>
      </c>
      <c r="T133">
        <f>IFERROR(VLOOKUP($B133, aegis!$V:$W, 2, FALSE), 0)</f>
        <v>0</v>
      </c>
      <c r="U133">
        <f>IFERROR(VLOOKUP($B133, duel!$V:$W, 2, FALSE), 0)</f>
        <v>0</v>
      </c>
      <c r="V133">
        <f>IFERROR(VLOOKUP($B133, blitz!$V:$W, 2, FALSE), 0)</f>
        <v>0</v>
      </c>
      <c r="W133" t="b">
        <f t="shared" si="31"/>
        <v>1</v>
      </c>
      <c r="X133" t="str">
        <f>IFERROR(VLOOKUP($B133, aegis!$AA:$AB, 2, FALSE), 0)</f>
        <v>2</v>
      </c>
      <c r="Y133" t="str">
        <f>IFERROR(VLOOKUP($B133, duel!$AA:$AB, 2, FALSE), 0)</f>
        <v>2</v>
      </c>
      <c r="Z133" t="str">
        <f>IFERROR(VLOOKUP($B133, blitz!$AA:$AB, 2, FALSE), 0)</f>
        <v>2</v>
      </c>
      <c r="AA133" t="b">
        <f t="shared" si="32"/>
        <v>1</v>
      </c>
      <c r="AB133" t="str">
        <f>IFERROR(VLOOKUP($B133, aegis!$AF:$AG, 2, FALSE), 0)</f>
        <v>34</v>
      </c>
      <c r="AC133" t="str">
        <f>IFERROR(VLOOKUP($B133, duel!$AF:$AG, 2, FALSE), 0)</f>
        <v>34</v>
      </c>
      <c r="AD133" t="str">
        <f>IFERROR(VLOOKUP($B133, blitz!$AF:$AG, 2, FALSE), 0)</f>
        <v>34</v>
      </c>
      <c r="AE133" t="b">
        <f t="shared" si="33"/>
        <v>1</v>
      </c>
      <c r="AF133" t="str">
        <f>IFERROR(VLOOKUP($B133, aegis!$AK:$AL, 2, FALSE), 0)</f>
        <v>3</v>
      </c>
      <c r="AG133" t="str">
        <f>IFERROR(VLOOKUP($B133, duel!$AK:$AL, 2, FALSE), 0)</f>
        <v>1</v>
      </c>
      <c r="AH133" t="str">
        <f>IFERROR(VLOOKUP($B133, blitz!$AK:$AL, 2, FALSE), 0)</f>
        <v>1</v>
      </c>
      <c r="AI133" t="b">
        <f t="shared" si="34"/>
        <v>0</v>
      </c>
      <c r="AJ133" t="str">
        <f>IFERROR(VLOOKUP($B133, aegis!$AP:$AQ, 2, FALSE), 0)</f>
        <v>1</v>
      </c>
      <c r="AK133" t="str">
        <f>IFERROR(VLOOKUP($B133, duel!$AP:$AQ, 2, FALSE), 0)</f>
        <v>1</v>
      </c>
      <c r="AL133" t="str">
        <f>IFERROR(VLOOKUP($B133, blitz!$AP:$AQ, 2, FALSE), 0)</f>
        <v>1</v>
      </c>
      <c r="AM133" t="b">
        <f t="shared" si="35"/>
        <v>1</v>
      </c>
      <c r="AN133">
        <f>IFERROR(VLOOKUP($B133, aegis!$AU:$AV, 2, FALSE), 0)</f>
        <v>0</v>
      </c>
      <c r="AO133">
        <f>IFERROR(VLOOKUP($B133, duel!$AU:$AV, 2, FALSE), 0)</f>
        <v>0</v>
      </c>
      <c r="AP133">
        <f>IFERROR(VLOOKUP($B133, blitz!$AU:$AV, 2, FALSE), 0)</f>
        <v>0</v>
      </c>
      <c r="AQ133" t="b">
        <f t="shared" si="36"/>
        <v>1</v>
      </c>
      <c r="AR133" t="str">
        <f>IFERROR(VLOOKUP($B133, aegis!$AZ:$BA, 2, FALSE), 0)</f>
        <v>2</v>
      </c>
      <c r="AS133" t="str">
        <f>IFERROR(VLOOKUP($B133, duel!$AZ:$BA, 2, FALSE), 0)</f>
        <v>2</v>
      </c>
      <c r="AT133" t="str">
        <f>IFERROR(VLOOKUP($B133, blitz!$AZ:$BA, 2, FALSE), 0)</f>
        <v>2</v>
      </c>
      <c r="AU133" t="b">
        <f t="shared" si="37"/>
        <v>1</v>
      </c>
      <c r="AV133" t="str">
        <f>IFERROR(VLOOKUP($B133, aegis!$BE:$BF, 2, FALSE), 0)</f>
        <v>1</v>
      </c>
      <c r="AW133" t="str">
        <f>IFERROR(VLOOKUP($B133, duel!$BE:$BF, 2, FALSE), 0)</f>
        <v>1</v>
      </c>
      <c r="AX133" t="str">
        <f>IFERROR(VLOOKUP($B133, blitz!$BE:$BF, 2, FALSE), 0)</f>
        <v>1</v>
      </c>
      <c r="AY133" t="b">
        <f t="shared" si="38"/>
        <v>1</v>
      </c>
      <c r="AZ133" t="str">
        <f>IFERROR(VLOOKUP($B133, aegis!$BJ:$BK, 2, FALSE), 0)</f>
        <v>1</v>
      </c>
      <c r="BA133" t="str">
        <f>IFERROR(VLOOKUP($B133, duel!$BJ:$BK, 2, FALSE), 0)</f>
        <v>1</v>
      </c>
      <c r="BB133" t="str">
        <f>IFERROR(VLOOKUP($B133, blitz!$BJ:$BK, 2, FALSE), 0)</f>
        <v>1</v>
      </c>
      <c r="BC133" t="b">
        <f t="shared" si="39"/>
        <v>1</v>
      </c>
      <c r="BD133">
        <f>IFERROR(VLOOKUP($B133, aegis!$BO:$BP, 2, FALSE), 0)</f>
        <v>0</v>
      </c>
      <c r="BE133">
        <f>IFERROR(VLOOKUP($B133, duel!$BO:$BP, 2, FALSE), 0)</f>
        <v>0</v>
      </c>
      <c r="BF133">
        <f>IFERROR(VLOOKUP($B133, blitz!$BO:$BP, 2, FALSE), 0)</f>
        <v>0</v>
      </c>
      <c r="BG133" t="b">
        <f t="shared" si="40"/>
        <v>1</v>
      </c>
      <c r="BH133" t="str">
        <f>IFERROR(VLOOKUP($B133, aegis!$BT:$BU, 2, FALSE), 0)</f>
        <v>18</v>
      </c>
      <c r="BI133" t="str">
        <f>IFERROR(VLOOKUP($B133, duel!$BT:$BU, 2, FALSE), 0)</f>
        <v>18</v>
      </c>
      <c r="BJ133" t="str">
        <f>IFERROR(VLOOKUP($B133, blitz!$BT:$BU, 2, FALSE), 0)</f>
        <v>18</v>
      </c>
      <c r="BK133" t="b">
        <f t="shared" si="41"/>
        <v>1</v>
      </c>
      <c r="BL133" t="str">
        <f>IFERROR(VLOOKUP($B133, aegis!$BY:$BZ, 2, FALSE), 0)</f>
        <v>1</v>
      </c>
      <c r="BM133" t="str">
        <f>IFERROR(VLOOKUP($B133, duel!$BY:$BZ, 2, FALSE), 0)</f>
        <v>1</v>
      </c>
      <c r="BN133" t="str">
        <f>IFERROR(VLOOKUP($B133, blitz!$BY:$BZ, 2, FALSE), 0)</f>
        <v>1</v>
      </c>
      <c r="BO133" t="b">
        <f t="shared" si="42"/>
        <v>1</v>
      </c>
      <c r="BP133" t="str">
        <f>IFERROR(VLOOKUP($B133, aegis!$CD:$CE, 2, FALSE), 0)</f>
        <v>3</v>
      </c>
      <c r="BQ133" t="str">
        <f>IFERROR(VLOOKUP($B133, duel!$CD:$CE, 2, FALSE), 0)</f>
        <v>3</v>
      </c>
      <c r="BR133" t="str">
        <f>IFERROR(VLOOKUP($B133, blitz!$CD:$CE, 2, FALSE), 0)</f>
        <v>3</v>
      </c>
      <c r="BS133" t="b">
        <f t="shared" si="43"/>
        <v>1</v>
      </c>
      <c r="BT133" t="str">
        <f>IFERROR(VLOOKUP($B133, aegis!$CI:$CJ, 2, FALSE), 0)</f>
        <v>7</v>
      </c>
      <c r="BU133" t="str">
        <f>IFERROR(VLOOKUP($B133, duel!$CI:$CJ, 2, FALSE), 0)</f>
        <v>7</v>
      </c>
      <c r="BV133" t="str">
        <f>IFERROR(VLOOKUP($B133, blitz!$CI:$CJ, 2, FALSE), 0)</f>
        <v>7</v>
      </c>
      <c r="BW133" t="b">
        <f t="shared" si="44"/>
        <v>1</v>
      </c>
      <c r="BX133" t="str">
        <f>IFERROR(VLOOKUP($B133, aegis!$CN:$CO, 2, FALSE), 0)</f>
        <v>7</v>
      </c>
      <c r="BY133" t="str">
        <f>IFERROR(VLOOKUP($B133, duel!$CN:$CO, 2, FALSE), 0)</f>
        <v>7</v>
      </c>
      <c r="BZ133" t="str">
        <f>IFERROR(VLOOKUP($B133, blitz!$CN:$CO, 2, FALSE), 0)</f>
        <v>7</v>
      </c>
      <c r="CA133" t="b">
        <f t="shared" si="45"/>
        <v>1</v>
      </c>
      <c r="CB133" t="str">
        <f>IFERROR(VLOOKUP($B133, aegis!$CS:$CT, 2, FALSE), 0)</f>
        <v>36</v>
      </c>
      <c r="CC133" t="str">
        <f>IFERROR(VLOOKUP($B133, duel!$CS:$CT, 2, FALSE), 0)</f>
        <v>36</v>
      </c>
      <c r="CD133" t="str">
        <f>IFERROR(VLOOKUP($B133, blitz!$CS:$CT, 2, FALSE), 0)</f>
        <v>36</v>
      </c>
      <c r="CE133" t="b">
        <f t="shared" si="46"/>
        <v>1</v>
      </c>
      <c r="CF133" t="str">
        <f>IFERROR(VLOOKUP($B133, aegis!$CX:$CY, 2, FALSE), 0)</f>
        <v>707</v>
      </c>
      <c r="CG133" t="str">
        <f>IFERROR(VLOOKUP($B133, duel!$CX:$CY, 2, FALSE), 0)</f>
        <v>707</v>
      </c>
      <c r="CH133" t="str">
        <f>IFERROR(VLOOKUP($B133, blitz!$CX:$CY, 2, FALSE), 0)</f>
        <v>707</v>
      </c>
      <c r="CI133" t="b">
        <f t="shared" si="47"/>
        <v>1</v>
      </c>
      <c r="CJ133" t="str">
        <f>IFERROR(VLOOKUP($B133, aegis!$DC:$DD, 2, FALSE), 0)</f>
        <v>1</v>
      </c>
      <c r="CK133" t="str">
        <f>IFERROR(VLOOKUP($B133, duel!$DC:$DD, 2, FALSE), 0)</f>
        <v>1</v>
      </c>
      <c r="CL133" t="str">
        <f>IFERROR(VLOOKUP($B133, blitz!$DC:$DD, 2, FALSE), 0)</f>
        <v>1</v>
      </c>
      <c r="CM133" t="b">
        <f t="shared" si="48"/>
        <v>1</v>
      </c>
      <c r="CN133" t="str">
        <f>IFERROR(VLOOKUP($B133, aegis!$DH:$DI, 2, FALSE), 0)</f>
        <v>4</v>
      </c>
      <c r="CO133" t="str">
        <f>IFERROR(VLOOKUP($B133, duel!$DH:$DI, 2, FALSE), 0)</f>
        <v>4</v>
      </c>
      <c r="CP133" s="13">
        <f>IFERROR(VLOOKUP($B133, blitz!$DH:$DI, 2, FALSE), 0)</f>
        <v>0</v>
      </c>
      <c r="CQ133" t="b">
        <f t="shared" si="49"/>
        <v>1</v>
      </c>
      <c r="CR133" t="str">
        <f>IFERROR(VLOOKUP($B133, aegis!$DM:$DN, 2, FALSE), 0)</f>
        <v>4</v>
      </c>
      <c r="CS133" t="str">
        <f>IFERROR(VLOOKUP($B133, duel!$DM:$DN, 2, FALSE), 0)</f>
        <v>4</v>
      </c>
      <c r="CT133" t="str">
        <f>IFERROR(VLOOKUP($B133, blitz!$DM:$DN, 2, FALSE), 0)</f>
        <v>4</v>
      </c>
      <c r="CU133" t="b">
        <f t="shared" si="50"/>
        <v>1</v>
      </c>
      <c r="CV133" t="str">
        <f>IFERROR(VLOOKUP($B133, aegis!$DR:$DS, 2, FALSE), 0)</f>
        <v>34</v>
      </c>
      <c r="CW133" t="str">
        <f>IFERROR(VLOOKUP($B133, duel!$DR:$DS, 2, FALSE), 0)</f>
        <v>34</v>
      </c>
      <c r="CX133" t="str">
        <f>IFERROR(VLOOKUP($B133, blitz!$DR:$DS, 2, FALSE), 0)</f>
        <v>34</v>
      </c>
      <c r="CY133" t="b">
        <f t="shared" si="51"/>
        <v>1</v>
      </c>
    </row>
    <row r="134" spans="1:103">
      <c r="B134" s="6" t="s">
        <v>245</v>
      </c>
      <c r="C134" s="5" t="b">
        <f t="shared" ref="C134:C157" si="52">AND(G134,K134,O134,S134,W134,AA134,AE134,AI134,AM134,AQ134,AU134,AY134,BC134,BG134,BK134,BO134,BS134,BW134,CA134,CE134,CI134,CM134,CQ134,CU134,CY134)</f>
        <v>0</v>
      </c>
      <c r="D134" t="str">
        <f>IFERROR(VLOOKUP($B134, aegis!$B:$C, 2, FALSE), 0)</f>
        <v>24</v>
      </c>
      <c r="E134" t="str">
        <f>IFERROR(VLOOKUP($B134, duel!$B:$C, 2, FALSE), 0)</f>
        <v>24</v>
      </c>
      <c r="F134" t="str">
        <f>IFERROR(VLOOKUP($B134, blitz!$B:$C, 2, FALSE), 0)</f>
        <v>24</v>
      </c>
      <c r="G134" t="b">
        <f t="shared" ref="G134:G157" si="53">AND(D134=E134, E134=F134)</f>
        <v>1</v>
      </c>
      <c r="H134" t="str">
        <f>IFERROR(VLOOKUP($B134, aegis!$G:$H, 2, FALSE), 0)</f>
        <v>14</v>
      </c>
      <c r="I134" t="str">
        <f>IFERROR(VLOOKUP($B134, duel!$G:$H, 2, FALSE), 0)</f>
        <v>14</v>
      </c>
      <c r="J134" t="str">
        <f>IFERROR(VLOOKUP($B134, blitz!$G:$H, 2, FALSE), 0)</f>
        <v>14</v>
      </c>
      <c r="K134" t="b">
        <f t="shared" ref="K134:K157" si="54">AND(H134=I134, I134=J134)</f>
        <v>1</v>
      </c>
      <c r="L134" t="str">
        <f>IFERROR(VLOOKUP($B134, aegis!$L:$M, 2, FALSE), 0)</f>
        <v>24</v>
      </c>
      <c r="M134" t="str">
        <f>IFERROR(VLOOKUP($B134, duel!$L:$M, 2, FALSE), 0)</f>
        <v>24</v>
      </c>
      <c r="N134" t="str">
        <f>IFERROR(VLOOKUP($B134, blitz!$L:$M, 2, FALSE), 0)</f>
        <v>24</v>
      </c>
      <c r="O134" t="b">
        <f t="shared" ref="O134:O157" si="55">AND(L134=M134, M134=N134)</f>
        <v>1</v>
      </c>
      <c r="P134" t="str">
        <f>IFERROR(VLOOKUP($B134, aegis!$Q:$R, 2, FALSE), 0)</f>
        <v>14</v>
      </c>
      <c r="Q134" t="str">
        <f>IFERROR(VLOOKUP($B134, duel!$Q:$R, 2, FALSE), 0)</f>
        <v>14</v>
      </c>
      <c r="R134" t="str">
        <f>IFERROR(VLOOKUP($B134, blitz!$Q:$R, 2, FALSE), 0)</f>
        <v>14</v>
      </c>
      <c r="S134" t="b">
        <f t="shared" ref="S134:S157" si="56">AND(P134=Q134, Q134=R134)</f>
        <v>1</v>
      </c>
      <c r="T134">
        <f>IFERROR(VLOOKUP($B134, aegis!$V:$W, 2, FALSE), 0)</f>
        <v>0</v>
      </c>
      <c r="U134">
        <f>IFERROR(VLOOKUP($B134, duel!$V:$W, 2, FALSE), 0)</f>
        <v>0</v>
      </c>
      <c r="V134">
        <f>IFERROR(VLOOKUP($B134, blitz!$V:$W, 2, FALSE), 0)</f>
        <v>0</v>
      </c>
      <c r="W134" t="b">
        <f t="shared" ref="W134:W157" si="57">AND(T134=U134, U134=V134)</f>
        <v>1</v>
      </c>
      <c r="X134" t="str">
        <f>IFERROR(VLOOKUP($B134, aegis!$AA:$AB, 2, FALSE), 0)</f>
        <v>2</v>
      </c>
      <c r="Y134" t="str">
        <f>IFERROR(VLOOKUP($B134, duel!$AA:$AB, 2, FALSE), 0)</f>
        <v>2</v>
      </c>
      <c r="Z134" t="str">
        <f>IFERROR(VLOOKUP($B134, blitz!$AA:$AB, 2, FALSE), 0)</f>
        <v>2</v>
      </c>
      <c r="AA134" t="b">
        <f t="shared" ref="AA134:AA157" si="58">AND(X134=Y134, Y134=Z134)</f>
        <v>1</v>
      </c>
      <c r="AB134" t="str">
        <f>IFERROR(VLOOKUP($B134, aegis!$AF:$AG, 2, FALSE), 0)</f>
        <v>7</v>
      </c>
      <c r="AC134" t="str">
        <f>IFERROR(VLOOKUP($B134, duel!$AF:$AG, 2, FALSE), 0)</f>
        <v>7</v>
      </c>
      <c r="AD134" t="str">
        <f>IFERROR(VLOOKUP($B134, blitz!$AF:$AG, 2, FALSE), 0)</f>
        <v>7</v>
      </c>
      <c r="AE134" t="b">
        <f t="shared" ref="AE134:AE157" si="59">AND(AB134=AC134, AC134=AD134)</f>
        <v>1</v>
      </c>
      <c r="AF134" t="str">
        <f>IFERROR(VLOOKUP($B134, aegis!$AK:$AL, 2, FALSE), 0)</f>
        <v>3</v>
      </c>
      <c r="AG134" t="str">
        <f>IFERROR(VLOOKUP($B134, duel!$AK:$AL, 2, FALSE), 0)</f>
        <v>1</v>
      </c>
      <c r="AH134" t="str">
        <f>IFERROR(VLOOKUP($B134, blitz!$AK:$AL, 2, FALSE), 0)</f>
        <v>1</v>
      </c>
      <c r="AI134" t="b">
        <f t="shared" ref="AI134:AI157" si="60">AND(AF134=AG134, AG134=AH134)</f>
        <v>0</v>
      </c>
      <c r="AJ134" t="str">
        <f>IFERROR(VLOOKUP($B134, aegis!$AP:$AQ, 2, FALSE), 0)</f>
        <v>1</v>
      </c>
      <c r="AK134" t="str">
        <f>IFERROR(VLOOKUP($B134, duel!$AP:$AQ, 2, FALSE), 0)</f>
        <v>1</v>
      </c>
      <c r="AL134" t="str">
        <f>IFERROR(VLOOKUP($B134, blitz!$AP:$AQ, 2, FALSE), 0)</f>
        <v>1</v>
      </c>
      <c r="AM134" t="b">
        <f t="shared" ref="AM134:AM157" si="61">AND(AJ134=AK134, AK134=AL134)</f>
        <v>1</v>
      </c>
      <c r="AN134">
        <f>IFERROR(VLOOKUP($B134, aegis!$AU:$AV, 2, FALSE), 0)</f>
        <v>0</v>
      </c>
      <c r="AO134">
        <f>IFERROR(VLOOKUP($B134, duel!$AU:$AV, 2, FALSE), 0)</f>
        <v>0</v>
      </c>
      <c r="AP134">
        <f>IFERROR(VLOOKUP($B134, blitz!$AU:$AV, 2, FALSE), 0)</f>
        <v>0</v>
      </c>
      <c r="AQ134" t="b">
        <f t="shared" ref="AQ134:AQ157" si="62">AND(AN134=AO134, AO134=AP134)</f>
        <v>1</v>
      </c>
      <c r="AR134" t="str">
        <f>IFERROR(VLOOKUP($B134, aegis!$AZ:$BA, 2, FALSE), 0)</f>
        <v>2</v>
      </c>
      <c r="AS134" t="str">
        <f>IFERROR(VLOOKUP($B134, duel!$AZ:$BA, 2, FALSE), 0)</f>
        <v>2</v>
      </c>
      <c r="AT134" t="str">
        <f>IFERROR(VLOOKUP($B134, blitz!$AZ:$BA, 2, FALSE), 0)</f>
        <v>2</v>
      </c>
      <c r="AU134" t="b">
        <f t="shared" ref="AU134:AU157" si="63">AND(AR134=AS134, AS134=AT134)</f>
        <v>1</v>
      </c>
      <c r="AV134" t="str">
        <f>IFERROR(VLOOKUP($B134, aegis!$BE:$BF, 2, FALSE), 0)</f>
        <v>1</v>
      </c>
      <c r="AW134" t="str">
        <f>IFERROR(VLOOKUP($B134, duel!$BE:$BF, 2, FALSE), 0)</f>
        <v>1</v>
      </c>
      <c r="AX134" t="str">
        <f>IFERROR(VLOOKUP($B134, blitz!$BE:$BF, 2, FALSE), 0)</f>
        <v>1</v>
      </c>
      <c r="AY134" t="b">
        <f t="shared" ref="AY134:AY157" si="64">AND(AV134=AW134, AW134=AX134)</f>
        <v>1</v>
      </c>
      <c r="AZ134" t="str">
        <f>IFERROR(VLOOKUP($B134, aegis!$BJ:$BK, 2, FALSE), 0)</f>
        <v>1</v>
      </c>
      <c r="BA134" t="str">
        <f>IFERROR(VLOOKUP($B134, duel!$BJ:$BK, 2, FALSE), 0)</f>
        <v>1</v>
      </c>
      <c r="BB134" t="str">
        <f>IFERROR(VLOOKUP($B134, blitz!$BJ:$BK, 2, FALSE), 0)</f>
        <v>1</v>
      </c>
      <c r="BC134" t="b">
        <f t="shared" ref="BC134:BC157" si="65">AND(AZ134=BA134, BA134=BB134)</f>
        <v>1</v>
      </c>
      <c r="BD134">
        <f>IFERROR(VLOOKUP($B134, aegis!$BO:$BP, 2, FALSE), 0)</f>
        <v>0</v>
      </c>
      <c r="BE134">
        <f>IFERROR(VLOOKUP($B134, duel!$BO:$BP, 2, FALSE), 0)</f>
        <v>0</v>
      </c>
      <c r="BF134">
        <f>IFERROR(VLOOKUP($B134, blitz!$BO:$BP, 2, FALSE), 0)</f>
        <v>0</v>
      </c>
      <c r="BG134" t="b">
        <f t="shared" ref="BG134:BG157" si="66">AND(BD134=BE134, BE134=BF134)</f>
        <v>1</v>
      </c>
      <c r="BH134" t="str">
        <f>IFERROR(VLOOKUP($B134, aegis!$BT:$BU, 2, FALSE), 0)</f>
        <v>7</v>
      </c>
      <c r="BI134" t="str">
        <f>IFERROR(VLOOKUP($B134, duel!$BT:$BU, 2, FALSE), 0)</f>
        <v>7</v>
      </c>
      <c r="BJ134" t="str">
        <f>IFERROR(VLOOKUP($B134, blitz!$BT:$BU, 2, FALSE), 0)</f>
        <v>7</v>
      </c>
      <c r="BK134" t="b">
        <f t="shared" ref="BK134:BK157" si="67">AND(BH134=BI134, BI134=BJ134)</f>
        <v>1</v>
      </c>
      <c r="BL134" t="str">
        <f>IFERROR(VLOOKUP($B134, aegis!$BY:$BZ, 2, FALSE), 0)</f>
        <v>2</v>
      </c>
      <c r="BM134" t="str">
        <f>IFERROR(VLOOKUP($B134, duel!$BY:$BZ, 2, FALSE), 0)</f>
        <v>2</v>
      </c>
      <c r="BN134" t="str">
        <f>IFERROR(VLOOKUP($B134, blitz!$BY:$BZ, 2, FALSE), 0)</f>
        <v>2</v>
      </c>
      <c r="BO134" t="b">
        <f t="shared" ref="BO134:BO157" si="68">AND(BL134=BM134, BM134=BN134)</f>
        <v>1</v>
      </c>
      <c r="BP134" t="str">
        <f>IFERROR(VLOOKUP($B134, aegis!$CD:$CE, 2, FALSE), 0)</f>
        <v>5</v>
      </c>
      <c r="BQ134" t="str">
        <f>IFERROR(VLOOKUP($B134, duel!$CD:$CE, 2, FALSE), 0)</f>
        <v>5</v>
      </c>
      <c r="BR134" t="str">
        <f>IFERROR(VLOOKUP($B134, blitz!$CD:$CE, 2, FALSE), 0)</f>
        <v>5</v>
      </c>
      <c r="BS134" t="b">
        <f t="shared" ref="BS134:BS157" si="69">AND(BP134=BQ134, BQ134=BR134)</f>
        <v>1</v>
      </c>
      <c r="BT134" t="str">
        <f>IFERROR(VLOOKUP($B134, aegis!$CI:$CJ, 2, FALSE), 0)</f>
        <v>32</v>
      </c>
      <c r="BU134" t="str">
        <f>IFERROR(VLOOKUP($B134, duel!$CI:$CJ, 2, FALSE), 0)</f>
        <v>32</v>
      </c>
      <c r="BV134" t="str">
        <f>IFERROR(VLOOKUP($B134, blitz!$CI:$CJ, 2, FALSE), 0)</f>
        <v>32</v>
      </c>
      <c r="BW134" t="b">
        <f t="shared" ref="BW134:BW157" si="70">AND(BT134=BU134, BU134=BV134)</f>
        <v>1</v>
      </c>
      <c r="BX134" t="str">
        <f>IFERROR(VLOOKUP($B134, aegis!$CN:$CO, 2, FALSE), 0)</f>
        <v>32</v>
      </c>
      <c r="BY134" t="str">
        <f>IFERROR(VLOOKUP($B134, duel!$CN:$CO, 2, FALSE), 0)</f>
        <v>32</v>
      </c>
      <c r="BZ134" t="str">
        <f>IFERROR(VLOOKUP($B134, blitz!$CN:$CO, 2, FALSE), 0)</f>
        <v>32</v>
      </c>
      <c r="CA134" t="b">
        <f t="shared" ref="CA134:CA157" si="71">AND(BX134=BY134, BY134=BZ134)</f>
        <v>1</v>
      </c>
      <c r="CB134" t="str">
        <f>IFERROR(VLOOKUP($B134, aegis!$CS:$CT, 2, FALSE), 0)</f>
        <v>150</v>
      </c>
      <c r="CC134" t="str">
        <f>IFERROR(VLOOKUP($B134, duel!$CS:$CT, 2, FALSE), 0)</f>
        <v>150</v>
      </c>
      <c r="CD134" t="str">
        <f>IFERROR(VLOOKUP($B134, blitz!$CS:$CT, 2, FALSE), 0)</f>
        <v>150</v>
      </c>
      <c r="CE134" t="b">
        <f t="shared" ref="CE134:CE157" si="72">AND(CB134=CC134, CC134=CD134)</f>
        <v>1</v>
      </c>
      <c r="CF134" t="str">
        <f>IFERROR(VLOOKUP($B134, aegis!$CX:$CY, 2, FALSE), 0)</f>
        <v>281</v>
      </c>
      <c r="CG134" t="str">
        <f>IFERROR(VLOOKUP($B134, duel!$CX:$CY, 2, FALSE), 0)</f>
        <v>281</v>
      </c>
      <c r="CH134" t="str">
        <f>IFERROR(VLOOKUP($B134, blitz!$CX:$CY, 2, FALSE), 0)</f>
        <v>281</v>
      </c>
      <c r="CI134" t="b">
        <f t="shared" ref="CI134:CI157" si="73">AND(CF134=CG134, CG134=CH134)</f>
        <v>1</v>
      </c>
      <c r="CJ134" t="str">
        <f>IFERROR(VLOOKUP($B134, aegis!$DC:$DD, 2, FALSE), 0)</f>
        <v>1</v>
      </c>
      <c r="CK134" t="str">
        <f>IFERROR(VLOOKUP($B134, duel!$DC:$DD, 2, FALSE), 0)</f>
        <v>1</v>
      </c>
      <c r="CL134" t="str">
        <f>IFERROR(VLOOKUP($B134, blitz!$DC:$DD, 2, FALSE), 0)</f>
        <v>1</v>
      </c>
      <c r="CM134" t="b">
        <f t="shared" ref="CM134:CM157" si="74">AND(CJ134=CK134, CK134=CL134)</f>
        <v>1</v>
      </c>
      <c r="CN134" t="str">
        <f>IFERROR(VLOOKUP($B134, aegis!$DH:$DI, 2, FALSE), 0)</f>
        <v>1</v>
      </c>
      <c r="CO134" t="str">
        <f>IFERROR(VLOOKUP($B134, duel!$DH:$DI, 2, FALSE), 0)</f>
        <v>1</v>
      </c>
      <c r="CP134" s="13">
        <f>IFERROR(VLOOKUP($B134, blitz!$DH:$DI, 2, FALSE), 0)</f>
        <v>0</v>
      </c>
      <c r="CQ134" t="b">
        <f t="shared" ref="CQ134:CQ157" si="75">AND(CN134=CO134)</f>
        <v>1</v>
      </c>
      <c r="CR134" t="str">
        <f>IFERROR(VLOOKUP($B134, aegis!$DM:$DN, 2, FALSE), 0)</f>
        <v>1</v>
      </c>
      <c r="CS134" t="str">
        <f>IFERROR(VLOOKUP($B134, duel!$DM:$DN, 2, FALSE), 0)</f>
        <v>1</v>
      </c>
      <c r="CT134" t="str">
        <f>IFERROR(VLOOKUP($B134, blitz!$DM:$DN, 2, FALSE), 0)</f>
        <v>1</v>
      </c>
      <c r="CU134" t="b">
        <f t="shared" ref="CU134:CU157" si="76">AND(CR134=CS134, CS134=CT134)</f>
        <v>1</v>
      </c>
      <c r="CV134" t="str">
        <f>IFERROR(VLOOKUP($B134, aegis!$DR:$DS, 2, FALSE), 0)</f>
        <v>7</v>
      </c>
      <c r="CW134" t="str">
        <f>IFERROR(VLOOKUP($B134, duel!$DR:$DS, 2, FALSE), 0)</f>
        <v>7</v>
      </c>
      <c r="CX134" t="str">
        <f>IFERROR(VLOOKUP($B134, blitz!$DR:$DS, 2, FALSE), 0)</f>
        <v>7</v>
      </c>
      <c r="CY134" t="b">
        <f t="shared" ref="CY134:CY157" si="77">AND(CV134=CW134, CW134=CX134)</f>
        <v>1</v>
      </c>
    </row>
    <row r="135" spans="1:103">
      <c r="A135" t="s">
        <v>1733</v>
      </c>
      <c r="B135" s="6" t="s">
        <v>247</v>
      </c>
      <c r="C135" s="5" t="b">
        <f t="shared" si="52"/>
        <v>0</v>
      </c>
      <c r="D135" t="str">
        <f>IFERROR(VLOOKUP($B135, aegis!$B:$C, 2, FALSE), 0)</f>
        <v>24</v>
      </c>
      <c r="E135" t="str">
        <f>IFERROR(VLOOKUP($B135, duel!$B:$C, 2, FALSE), 0)</f>
        <v>24</v>
      </c>
      <c r="F135" t="str">
        <f>IFERROR(VLOOKUP($B135, blitz!$B:$C, 2, FALSE), 0)</f>
        <v>24</v>
      </c>
      <c r="G135" t="b">
        <f t="shared" si="53"/>
        <v>1</v>
      </c>
      <c r="H135" t="str">
        <f>IFERROR(VLOOKUP($B135, aegis!$G:$H, 2, FALSE), 0)</f>
        <v>14</v>
      </c>
      <c r="I135" t="str">
        <f>IFERROR(VLOOKUP($B135, duel!$G:$H, 2, FALSE), 0)</f>
        <v>14</v>
      </c>
      <c r="J135" t="str">
        <f>IFERROR(VLOOKUP($B135, blitz!$G:$H, 2, FALSE), 0)</f>
        <v>14</v>
      </c>
      <c r="K135" t="b">
        <f t="shared" si="54"/>
        <v>1</v>
      </c>
      <c r="L135" t="str">
        <f>IFERROR(VLOOKUP($B135, aegis!$L:$M, 2, FALSE), 0)</f>
        <v>24</v>
      </c>
      <c r="M135" t="str">
        <f>IFERROR(VLOOKUP($B135, duel!$L:$M, 2, FALSE), 0)</f>
        <v>24</v>
      </c>
      <c r="N135" t="str">
        <f>IFERROR(VLOOKUP($B135, blitz!$L:$M, 2, FALSE), 0)</f>
        <v>24</v>
      </c>
      <c r="O135" t="b">
        <f t="shared" si="55"/>
        <v>1</v>
      </c>
      <c r="P135" t="str">
        <f>IFERROR(VLOOKUP($B135, aegis!$Q:$R, 2, FALSE), 0)</f>
        <v>14</v>
      </c>
      <c r="Q135" t="str">
        <f>IFERROR(VLOOKUP($B135, duel!$Q:$R, 2, FALSE), 0)</f>
        <v>14</v>
      </c>
      <c r="R135" t="str">
        <f>IFERROR(VLOOKUP($B135, blitz!$Q:$R, 2, FALSE), 0)</f>
        <v>14</v>
      </c>
      <c r="S135" t="b">
        <f t="shared" si="56"/>
        <v>1</v>
      </c>
      <c r="T135">
        <f>IFERROR(VLOOKUP($B135, aegis!$V:$W, 2, FALSE), 0)</f>
        <v>0</v>
      </c>
      <c r="U135">
        <f>IFERROR(VLOOKUP($B135, duel!$V:$W, 2, FALSE), 0)</f>
        <v>0</v>
      </c>
      <c r="V135">
        <f>IFERROR(VLOOKUP($B135, blitz!$V:$W, 2, FALSE), 0)</f>
        <v>0</v>
      </c>
      <c r="W135" t="b">
        <f t="shared" si="57"/>
        <v>1</v>
      </c>
      <c r="X135" t="str">
        <f>IFERROR(VLOOKUP($B135, aegis!$AA:$AB, 2, FALSE), 0)</f>
        <v>2</v>
      </c>
      <c r="Y135" t="str">
        <f>IFERROR(VLOOKUP($B135, duel!$AA:$AB, 2, FALSE), 0)</f>
        <v>2</v>
      </c>
      <c r="Z135" t="str">
        <f>IFERROR(VLOOKUP($B135, blitz!$AA:$AB, 2, FALSE), 0)</f>
        <v>2</v>
      </c>
      <c r="AA135" t="b">
        <f t="shared" si="58"/>
        <v>1</v>
      </c>
      <c r="AB135" t="str">
        <f>IFERROR(VLOOKUP($B135, aegis!$AF:$AG, 2, FALSE), 0)</f>
        <v>41</v>
      </c>
      <c r="AC135" t="str">
        <f>IFERROR(VLOOKUP($B135, duel!$AF:$AG, 2, FALSE), 0)</f>
        <v>41</v>
      </c>
      <c r="AD135" t="str">
        <f>IFERROR(VLOOKUP($B135, blitz!$AF:$AG, 2, FALSE), 0)</f>
        <v>41</v>
      </c>
      <c r="AE135" t="b">
        <f t="shared" si="59"/>
        <v>1</v>
      </c>
      <c r="AF135" t="str">
        <f>IFERROR(VLOOKUP($B135, aegis!$AK:$AL, 2, FALSE), 0)</f>
        <v>3</v>
      </c>
      <c r="AG135" t="str">
        <f>IFERROR(VLOOKUP($B135, duel!$AK:$AL, 2, FALSE), 0)</f>
        <v>1</v>
      </c>
      <c r="AH135" t="str">
        <f>IFERROR(VLOOKUP($B135, blitz!$AK:$AL, 2, FALSE), 0)</f>
        <v>1</v>
      </c>
      <c r="AI135" t="b">
        <f t="shared" si="60"/>
        <v>0</v>
      </c>
      <c r="AJ135" t="str">
        <f>IFERROR(VLOOKUP($B135, aegis!$AP:$AQ, 2, FALSE), 0)</f>
        <v>1</v>
      </c>
      <c r="AK135" t="str">
        <f>IFERROR(VLOOKUP($B135, duel!$AP:$AQ, 2, FALSE), 0)</f>
        <v>1</v>
      </c>
      <c r="AL135" t="str">
        <f>IFERROR(VLOOKUP($B135, blitz!$AP:$AQ, 2, FALSE), 0)</f>
        <v>1</v>
      </c>
      <c r="AM135" t="b">
        <f t="shared" si="61"/>
        <v>1</v>
      </c>
      <c r="AN135">
        <f>IFERROR(VLOOKUP($B135, aegis!$AU:$AV, 2, FALSE), 0)</f>
        <v>0</v>
      </c>
      <c r="AO135">
        <f>IFERROR(VLOOKUP($B135, duel!$AU:$AV, 2, FALSE), 0)</f>
        <v>0</v>
      </c>
      <c r="AP135">
        <f>IFERROR(VLOOKUP($B135, blitz!$AU:$AV, 2, FALSE), 0)</f>
        <v>0</v>
      </c>
      <c r="AQ135" t="b">
        <f t="shared" si="62"/>
        <v>1</v>
      </c>
      <c r="AR135" t="str">
        <f>IFERROR(VLOOKUP($B135, aegis!$AZ:$BA, 2, FALSE), 0)</f>
        <v>2</v>
      </c>
      <c r="AS135" t="str">
        <f>IFERROR(VLOOKUP($B135, duel!$AZ:$BA, 2, FALSE), 0)</f>
        <v>2</v>
      </c>
      <c r="AT135" t="str">
        <f>IFERROR(VLOOKUP($B135, blitz!$AZ:$BA, 2, FALSE), 0)</f>
        <v>2</v>
      </c>
      <c r="AU135" t="b">
        <f t="shared" si="63"/>
        <v>1</v>
      </c>
      <c r="AV135" t="str">
        <f>IFERROR(VLOOKUP($B135, aegis!$BE:$BF, 2, FALSE), 0)</f>
        <v>1</v>
      </c>
      <c r="AW135" t="str">
        <f>IFERROR(VLOOKUP($B135, duel!$BE:$BF, 2, FALSE), 0)</f>
        <v>1</v>
      </c>
      <c r="AX135" t="str">
        <f>IFERROR(VLOOKUP($B135, blitz!$BE:$BF, 2, FALSE), 0)</f>
        <v>1</v>
      </c>
      <c r="AY135" t="b">
        <f t="shared" si="64"/>
        <v>1</v>
      </c>
      <c r="AZ135" t="str">
        <f>IFERROR(VLOOKUP($B135, aegis!$BJ:$BK, 2, FALSE), 0)</f>
        <v>1</v>
      </c>
      <c r="BA135" t="str">
        <f>IFERROR(VLOOKUP($B135, duel!$BJ:$BK, 2, FALSE), 0)</f>
        <v>1</v>
      </c>
      <c r="BB135" t="str">
        <f>IFERROR(VLOOKUP($B135, blitz!$BJ:$BK, 2, FALSE), 0)</f>
        <v>1</v>
      </c>
      <c r="BC135" t="b">
        <f t="shared" si="65"/>
        <v>1</v>
      </c>
      <c r="BD135">
        <f>IFERROR(VLOOKUP($B135, aegis!$BO:$BP, 2, FALSE), 0)</f>
        <v>0</v>
      </c>
      <c r="BE135">
        <f>IFERROR(VLOOKUP($B135, duel!$BO:$BP, 2, FALSE), 0)</f>
        <v>0</v>
      </c>
      <c r="BF135">
        <f>IFERROR(VLOOKUP($B135, blitz!$BO:$BP, 2, FALSE), 0)</f>
        <v>0</v>
      </c>
      <c r="BG135" t="b">
        <f t="shared" si="66"/>
        <v>1</v>
      </c>
      <c r="BH135" t="str">
        <f>IFERROR(VLOOKUP($B135, aegis!$BT:$BU, 2, FALSE), 0)</f>
        <v>7</v>
      </c>
      <c r="BI135" t="str">
        <f>IFERROR(VLOOKUP($B135, duel!$BT:$BU, 2, FALSE), 0)</f>
        <v>7</v>
      </c>
      <c r="BJ135" t="str">
        <f>IFERROR(VLOOKUP($B135, blitz!$BT:$BU, 2, FALSE), 0)</f>
        <v>7</v>
      </c>
      <c r="BK135" t="b">
        <f t="shared" si="67"/>
        <v>1</v>
      </c>
      <c r="BL135" t="str">
        <f>IFERROR(VLOOKUP($B135, aegis!$BY:$BZ, 2, FALSE), 0)</f>
        <v>1</v>
      </c>
      <c r="BM135" t="str">
        <f>IFERROR(VLOOKUP($B135, duel!$BY:$BZ, 2, FALSE), 0)</f>
        <v>1</v>
      </c>
      <c r="BN135" t="str">
        <f>IFERROR(VLOOKUP($B135, blitz!$BY:$BZ, 2, FALSE), 0)</f>
        <v>1</v>
      </c>
      <c r="BO135" t="b">
        <f t="shared" si="68"/>
        <v>1</v>
      </c>
      <c r="BP135" t="str">
        <f>IFERROR(VLOOKUP($B135, aegis!$CD:$CE, 2, FALSE), 0)</f>
        <v>3</v>
      </c>
      <c r="BQ135" t="str">
        <f>IFERROR(VLOOKUP($B135, duel!$CD:$CE, 2, FALSE), 0)</f>
        <v>3</v>
      </c>
      <c r="BR135" t="str">
        <f>IFERROR(VLOOKUP($B135, blitz!$CD:$CE, 2, FALSE), 0)</f>
        <v>3</v>
      </c>
      <c r="BS135" t="b">
        <f t="shared" si="69"/>
        <v>1</v>
      </c>
      <c r="BT135">
        <f>IFERROR(VLOOKUP($B135, aegis!$CI:$CJ, 2, FALSE), 0)</f>
        <v>0</v>
      </c>
      <c r="BU135">
        <f>IFERROR(VLOOKUP($B135, duel!$CI:$CJ, 2, FALSE), 0)</f>
        <v>0</v>
      </c>
      <c r="BV135">
        <f>IFERROR(VLOOKUP($B135, blitz!$CI:$CJ, 2, FALSE), 0)</f>
        <v>0</v>
      </c>
      <c r="BW135" t="b">
        <f t="shared" si="70"/>
        <v>1</v>
      </c>
      <c r="BX135">
        <f>IFERROR(VLOOKUP($B135, aegis!$CN:$CO, 2, FALSE), 0)</f>
        <v>0</v>
      </c>
      <c r="BY135">
        <f>IFERROR(VLOOKUP($B135, duel!$CN:$CO, 2, FALSE), 0)</f>
        <v>0</v>
      </c>
      <c r="BZ135">
        <f>IFERROR(VLOOKUP($B135, blitz!$CN:$CO, 2, FALSE), 0)</f>
        <v>0</v>
      </c>
      <c r="CA135" t="b">
        <f t="shared" si="71"/>
        <v>1</v>
      </c>
      <c r="CB135">
        <f>IFERROR(VLOOKUP($B135, aegis!$CS:$CT, 2, FALSE), 0)</f>
        <v>0</v>
      </c>
      <c r="CC135">
        <f>IFERROR(VLOOKUP($B135, duel!$CS:$CT, 2, FALSE), 0)</f>
        <v>0</v>
      </c>
      <c r="CD135">
        <f>IFERROR(VLOOKUP($B135, blitz!$CS:$CT, 2, FALSE), 0)</f>
        <v>0</v>
      </c>
      <c r="CE135" t="b">
        <f t="shared" si="72"/>
        <v>1</v>
      </c>
      <c r="CF135" t="str">
        <f>IFERROR(VLOOKUP($B135, aegis!$CX:$CY, 2, FALSE), 0)</f>
        <v>408</v>
      </c>
      <c r="CG135" t="str">
        <f>IFERROR(VLOOKUP($B135, duel!$CX:$CY, 2, FALSE), 0)</f>
        <v>408</v>
      </c>
      <c r="CH135" t="str">
        <f>IFERROR(VLOOKUP($B135, blitz!$CX:$CY, 2, FALSE), 0)</f>
        <v>409</v>
      </c>
      <c r="CI135" t="b">
        <f t="shared" si="73"/>
        <v>0</v>
      </c>
      <c r="CJ135" t="str">
        <f>IFERROR(VLOOKUP($B135, aegis!$DC:$DD, 2, FALSE), 0)</f>
        <v>1</v>
      </c>
      <c r="CK135" t="str">
        <f>IFERROR(VLOOKUP($B135, duel!$DC:$DD, 2, FALSE), 0)</f>
        <v>1</v>
      </c>
      <c r="CL135" t="str">
        <f>IFERROR(VLOOKUP($B135, blitz!$DC:$DD, 2, FALSE), 0)</f>
        <v>1</v>
      </c>
      <c r="CM135" t="b">
        <f t="shared" si="74"/>
        <v>1</v>
      </c>
      <c r="CN135" t="str">
        <f>IFERROR(VLOOKUP($B135, aegis!$DH:$DI, 2, FALSE), 0)</f>
        <v>1</v>
      </c>
      <c r="CO135" t="str">
        <f>IFERROR(VLOOKUP($B135, duel!$DH:$DI, 2, FALSE), 0)</f>
        <v>1</v>
      </c>
      <c r="CP135" s="13">
        <f>IFERROR(VLOOKUP($B135, blitz!$DH:$DI, 2, FALSE), 0)</f>
        <v>0</v>
      </c>
      <c r="CQ135" t="b">
        <f t="shared" si="75"/>
        <v>1</v>
      </c>
      <c r="CR135" t="str">
        <f>IFERROR(VLOOKUP($B135, aegis!$DM:$DN, 2, FALSE), 0)</f>
        <v>1</v>
      </c>
      <c r="CS135" t="str">
        <f>IFERROR(VLOOKUP($B135, duel!$DM:$DN, 2, FALSE), 0)</f>
        <v>1</v>
      </c>
      <c r="CT135" t="str">
        <f>IFERROR(VLOOKUP($B135, blitz!$DM:$DN, 2, FALSE), 0)</f>
        <v>1</v>
      </c>
      <c r="CU135" t="b">
        <f t="shared" si="76"/>
        <v>1</v>
      </c>
      <c r="CV135" t="str">
        <f>IFERROR(VLOOKUP($B135, aegis!$DR:$DS, 2, FALSE), 0)</f>
        <v>41</v>
      </c>
      <c r="CW135" t="str">
        <f>IFERROR(VLOOKUP($B135, duel!$DR:$DS, 2, FALSE), 0)</f>
        <v>41</v>
      </c>
      <c r="CX135" t="str">
        <f>IFERROR(VLOOKUP($B135, blitz!$DR:$DS, 2, FALSE), 0)</f>
        <v>41</v>
      </c>
      <c r="CY135" t="b">
        <f t="shared" si="77"/>
        <v>1</v>
      </c>
    </row>
    <row r="136" spans="1:103">
      <c r="A136" t="s">
        <v>1733</v>
      </c>
      <c r="B136" s="6" t="s">
        <v>249</v>
      </c>
      <c r="C136" s="5" t="b">
        <f t="shared" si="52"/>
        <v>0</v>
      </c>
      <c r="D136" t="str">
        <f>IFERROR(VLOOKUP($B136, aegis!$B:$C, 2, FALSE), 0)</f>
        <v>36</v>
      </c>
      <c r="E136" t="str">
        <f>IFERROR(VLOOKUP($B136, duel!$B:$C, 2, FALSE), 0)</f>
        <v>36</v>
      </c>
      <c r="F136" t="str">
        <f>IFERROR(VLOOKUP($B136, blitz!$B:$C, 2, FALSE), 0)</f>
        <v>36</v>
      </c>
      <c r="G136" t="b">
        <f t="shared" si="53"/>
        <v>1</v>
      </c>
      <c r="H136" t="str">
        <f>IFERROR(VLOOKUP($B136, aegis!$G:$H, 2, FALSE), 0)</f>
        <v>21</v>
      </c>
      <c r="I136" t="str">
        <f>IFERROR(VLOOKUP($B136, duel!$G:$H, 2, FALSE), 0)</f>
        <v>21</v>
      </c>
      <c r="J136" t="str">
        <f>IFERROR(VLOOKUP($B136, blitz!$G:$H, 2, FALSE), 0)</f>
        <v>21</v>
      </c>
      <c r="K136" t="b">
        <f t="shared" si="54"/>
        <v>1</v>
      </c>
      <c r="L136" t="str">
        <f>IFERROR(VLOOKUP($B136, aegis!$L:$M, 2, FALSE), 0)</f>
        <v>36</v>
      </c>
      <c r="M136" t="str">
        <f>IFERROR(VLOOKUP($B136, duel!$L:$M, 2, FALSE), 0)</f>
        <v>36</v>
      </c>
      <c r="N136" t="str">
        <f>IFERROR(VLOOKUP($B136, blitz!$L:$M, 2, FALSE), 0)</f>
        <v>36</v>
      </c>
      <c r="O136" t="b">
        <f t="shared" si="55"/>
        <v>1</v>
      </c>
      <c r="P136" t="str">
        <f>IFERROR(VLOOKUP($B136, aegis!$Q:$R, 2, FALSE), 0)</f>
        <v>21</v>
      </c>
      <c r="Q136" t="str">
        <f>IFERROR(VLOOKUP($B136, duel!$Q:$R, 2, FALSE), 0)</f>
        <v>21</v>
      </c>
      <c r="R136" t="str">
        <f>IFERROR(VLOOKUP($B136, blitz!$Q:$R, 2, FALSE), 0)</f>
        <v>21</v>
      </c>
      <c r="S136" t="b">
        <f t="shared" si="56"/>
        <v>1</v>
      </c>
      <c r="T136">
        <f>IFERROR(VLOOKUP($B136, aegis!$V:$W, 2, FALSE), 0)</f>
        <v>0</v>
      </c>
      <c r="U136">
        <f>IFERROR(VLOOKUP($B136, duel!$V:$W, 2, FALSE), 0)</f>
        <v>0</v>
      </c>
      <c r="V136">
        <f>IFERROR(VLOOKUP($B136, blitz!$V:$W, 2, FALSE), 0)</f>
        <v>0</v>
      </c>
      <c r="W136" t="b">
        <f t="shared" si="57"/>
        <v>1</v>
      </c>
      <c r="X136" t="str">
        <f>IFERROR(VLOOKUP($B136, aegis!$AA:$AB, 2, FALSE), 0)</f>
        <v>3</v>
      </c>
      <c r="Y136" t="str">
        <f>IFERROR(VLOOKUP($B136, duel!$AA:$AB, 2, FALSE), 0)</f>
        <v>3</v>
      </c>
      <c r="Z136" t="str">
        <f>IFERROR(VLOOKUP($B136, blitz!$AA:$AB, 2, FALSE), 0)</f>
        <v>3</v>
      </c>
      <c r="AA136" t="b">
        <f t="shared" si="58"/>
        <v>1</v>
      </c>
      <c r="AB136" t="str">
        <f>IFERROR(VLOOKUP($B136, aegis!$AF:$AG, 2, FALSE), 0)</f>
        <v>21</v>
      </c>
      <c r="AC136" t="str">
        <f>IFERROR(VLOOKUP($B136, duel!$AF:$AG, 2, FALSE), 0)</f>
        <v>21</v>
      </c>
      <c r="AD136" t="str">
        <f>IFERROR(VLOOKUP($B136, blitz!$AF:$AG, 2, FALSE), 0)</f>
        <v>21</v>
      </c>
      <c r="AE136" t="b">
        <f t="shared" si="59"/>
        <v>1</v>
      </c>
      <c r="AF136" t="str">
        <f>IFERROR(VLOOKUP($B136, aegis!$AK:$AL, 2, FALSE), 0)</f>
        <v>4</v>
      </c>
      <c r="AG136" t="str">
        <f>IFERROR(VLOOKUP($B136, duel!$AK:$AL, 2, FALSE), 0)</f>
        <v>1</v>
      </c>
      <c r="AH136" t="str">
        <f>IFERROR(VLOOKUP($B136, blitz!$AK:$AL, 2, FALSE), 0)</f>
        <v>1</v>
      </c>
      <c r="AI136" t="b">
        <f t="shared" si="60"/>
        <v>0</v>
      </c>
      <c r="AJ136" t="str">
        <f>IFERROR(VLOOKUP($B136, aegis!$AP:$AQ, 2, FALSE), 0)</f>
        <v>2</v>
      </c>
      <c r="AK136" t="str">
        <f>IFERROR(VLOOKUP($B136, duel!$AP:$AQ, 2, FALSE), 0)</f>
        <v>2</v>
      </c>
      <c r="AL136" t="str">
        <f>IFERROR(VLOOKUP($B136, blitz!$AP:$AQ, 2, FALSE), 0)</f>
        <v>2</v>
      </c>
      <c r="AM136" t="b">
        <f t="shared" si="61"/>
        <v>1</v>
      </c>
      <c r="AN136">
        <f>IFERROR(VLOOKUP($B136, aegis!$AU:$AV, 2, FALSE), 0)</f>
        <v>0</v>
      </c>
      <c r="AO136">
        <f>IFERROR(VLOOKUP($B136, duel!$AU:$AV, 2, FALSE), 0)</f>
        <v>0</v>
      </c>
      <c r="AP136">
        <f>IFERROR(VLOOKUP($B136, blitz!$AU:$AV, 2, FALSE), 0)</f>
        <v>0</v>
      </c>
      <c r="AQ136" t="b">
        <f t="shared" si="62"/>
        <v>1</v>
      </c>
      <c r="AR136" t="str">
        <f>IFERROR(VLOOKUP($B136, aegis!$AZ:$BA, 2, FALSE), 0)</f>
        <v>3</v>
      </c>
      <c r="AS136" t="str">
        <f>IFERROR(VLOOKUP($B136, duel!$AZ:$BA, 2, FALSE), 0)</f>
        <v>3</v>
      </c>
      <c r="AT136" t="str">
        <f>IFERROR(VLOOKUP($B136, blitz!$AZ:$BA, 2, FALSE), 0)</f>
        <v>3</v>
      </c>
      <c r="AU136" t="b">
        <f t="shared" si="63"/>
        <v>1</v>
      </c>
      <c r="AV136" t="str">
        <f>IFERROR(VLOOKUP($B136, aegis!$BE:$BF, 2, FALSE), 0)</f>
        <v>2</v>
      </c>
      <c r="AW136" t="str">
        <f>IFERROR(VLOOKUP($B136, duel!$BE:$BF, 2, FALSE), 0)</f>
        <v>2</v>
      </c>
      <c r="AX136" t="str">
        <f>IFERROR(VLOOKUP($B136, blitz!$BE:$BF, 2, FALSE), 0)</f>
        <v>2</v>
      </c>
      <c r="AY136" t="b">
        <f t="shared" si="64"/>
        <v>1</v>
      </c>
      <c r="AZ136" t="str">
        <f>IFERROR(VLOOKUP($B136, aegis!$BJ:$BK, 2, FALSE), 0)</f>
        <v>1</v>
      </c>
      <c r="BA136" t="str">
        <f>IFERROR(VLOOKUP($B136, duel!$BJ:$BK, 2, FALSE), 0)</f>
        <v>1</v>
      </c>
      <c r="BB136" t="str">
        <f>IFERROR(VLOOKUP($B136, blitz!$BJ:$BK, 2, FALSE), 0)</f>
        <v>1</v>
      </c>
      <c r="BC136" t="b">
        <f t="shared" si="65"/>
        <v>1</v>
      </c>
      <c r="BD136">
        <f>IFERROR(VLOOKUP($B136, aegis!$BO:$BP, 2, FALSE), 0)</f>
        <v>0</v>
      </c>
      <c r="BE136">
        <f>IFERROR(VLOOKUP($B136, duel!$BO:$BP, 2, FALSE), 0)</f>
        <v>0</v>
      </c>
      <c r="BF136">
        <f>IFERROR(VLOOKUP($B136, blitz!$BO:$BP, 2, FALSE), 0)</f>
        <v>0</v>
      </c>
      <c r="BG136" t="b">
        <f t="shared" si="66"/>
        <v>1</v>
      </c>
      <c r="BH136" t="str">
        <f>IFERROR(VLOOKUP($B136, aegis!$BT:$BU, 2, FALSE), 0)</f>
        <v>10</v>
      </c>
      <c r="BI136" t="str">
        <f>IFERROR(VLOOKUP($B136, duel!$BT:$BU, 2, FALSE), 0)</f>
        <v>10</v>
      </c>
      <c r="BJ136" t="str">
        <f>IFERROR(VLOOKUP($B136, blitz!$BT:$BU, 2, FALSE), 0)</f>
        <v>10</v>
      </c>
      <c r="BK136" t="b">
        <f t="shared" si="67"/>
        <v>1</v>
      </c>
      <c r="BL136" t="str">
        <f>IFERROR(VLOOKUP($B136, aegis!$BY:$BZ, 2, FALSE), 0)</f>
        <v>2</v>
      </c>
      <c r="BM136" t="str">
        <f>IFERROR(VLOOKUP($B136, duel!$BY:$BZ, 2, FALSE), 0)</f>
        <v>2</v>
      </c>
      <c r="BN136" t="str">
        <f>IFERROR(VLOOKUP($B136, blitz!$BY:$BZ, 2, FALSE), 0)</f>
        <v>2</v>
      </c>
      <c r="BO136" t="b">
        <f t="shared" si="68"/>
        <v>1</v>
      </c>
      <c r="BP136" t="str">
        <f>IFERROR(VLOOKUP($B136, aegis!$CD:$CE, 2, FALSE), 0)</f>
        <v>6</v>
      </c>
      <c r="BQ136" t="str">
        <f>IFERROR(VLOOKUP($B136, duel!$CD:$CE, 2, FALSE), 0)</f>
        <v>6</v>
      </c>
      <c r="BR136" t="str">
        <f>IFERROR(VLOOKUP($B136, blitz!$CD:$CE, 2, FALSE), 0)</f>
        <v>6</v>
      </c>
      <c r="BS136" t="b">
        <f t="shared" si="69"/>
        <v>1</v>
      </c>
      <c r="BT136" t="str">
        <f>IFERROR(VLOOKUP($B136, aegis!$CI:$CJ, 2, FALSE), 0)</f>
        <v>4</v>
      </c>
      <c r="BU136" t="str">
        <f>IFERROR(VLOOKUP($B136, duel!$CI:$CJ, 2, FALSE), 0)</f>
        <v>4</v>
      </c>
      <c r="BV136" t="str">
        <f>IFERROR(VLOOKUP($B136, blitz!$CI:$CJ, 2, FALSE), 0)</f>
        <v>4</v>
      </c>
      <c r="BW136" t="b">
        <f t="shared" si="70"/>
        <v>1</v>
      </c>
      <c r="BX136" t="str">
        <f>IFERROR(VLOOKUP($B136, aegis!$CN:$CO, 2, FALSE), 0)</f>
        <v>4</v>
      </c>
      <c r="BY136" t="str">
        <f>IFERROR(VLOOKUP($B136, duel!$CN:$CO, 2, FALSE), 0)</f>
        <v>4</v>
      </c>
      <c r="BZ136" t="str">
        <f>IFERROR(VLOOKUP($B136, blitz!$CN:$CO, 2, FALSE), 0)</f>
        <v>4</v>
      </c>
      <c r="CA136" t="b">
        <f t="shared" si="71"/>
        <v>1</v>
      </c>
      <c r="CB136" t="str">
        <f>IFERROR(VLOOKUP($B136, aegis!$CS:$CT, 2, FALSE), 0)</f>
        <v>18</v>
      </c>
      <c r="CC136" t="str">
        <f>IFERROR(VLOOKUP($B136, duel!$CS:$CT, 2, FALSE), 0)</f>
        <v>18</v>
      </c>
      <c r="CD136" t="str">
        <f>IFERROR(VLOOKUP($B136, blitz!$CS:$CT, 2, FALSE), 0)</f>
        <v>18</v>
      </c>
      <c r="CE136" t="b">
        <f t="shared" si="72"/>
        <v>1</v>
      </c>
      <c r="CF136" t="str">
        <f>IFERROR(VLOOKUP($B136, aegis!$CX:$CY, 2, FALSE), 0)</f>
        <v>726</v>
      </c>
      <c r="CG136" t="str">
        <f>IFERROR(VLOOKUP($B136, duel!$CX:$CY, 2, FALSE), 0)</f>
        <v>724</v>
      </c>
      <c r="CH136" t="str">
        <f>IFERROR(VLOOKUP($B136, blitz!$CX:$CY, 2, FALSE), 0)</f>
        <v>724</v>
      </c>
      <c r="CI136" t="b">
        <f t="shared" si="73"/>
        <v>0</v>
      </c>
      <c r="CJ136" t="str">
        <f>IFERROR(VLOOKUP($B136, aegis!$DC:$DD, 2, FALSE), 0)</f>
        <v>3</v>
      </c>
      <c r="CK136" t="str">
        <f>IFERROR(VLOOKUP($B136, duel!$DC:$DD, 2, FALSE), 0)</f>
        <v>3</v>
      </c>
      <c r="CL136" t="str">
        <f>IFERROR(VLOOKUP($B136, blitz!$DC:$DD, 2, FALSE), 0)</f>
        <v>3</v>
      </c>
      <c r="CM136" t="b">
        <f t="shared" si="74"/>
        <v>1</v>
      </c>
      <c r="CN136" t="str">
        <f>IFERROR(VLOOKUP($B136, aegis!$DH:$DI, 2, FALSE), 0)</f>
        <v>2</v>
      </c>
      <c r="CO136" t="str">
        <f>IFERROR(VLOOKUP($B136, duel!$DH:$DI, 2, FALSE), 0)</f>
        <v>2</v>
      </c>
      <c r="CP136" s="13">
        <f>IFERROR(VLOOKUP($B136, blitz!$DH:$DI, 2, FALSE), 0)</f>
        <v>0</v>
      </c>
      <c r="CQ136" t="b">
        <f t="shared" si="75"/>
        <v>1</v>
      </c>
      <c r="CR136" t="str">
        <f>IFERROR(VLOOKUP($B136, aegis!$DM:$DN, 2, FALSE), 0)</f>
        <v>2</v>
      </c>
      <c r="CS136" t="str">
        <f>IFERROR(VLOOKUP($B136, duel!$DM:$DN, 2, FALSE), 0)</f>
        <v>2</v>
      </c>
      <c r="CT136" t="str">
        <f>IFERROR(VLOOKUP($B136, blitz!$DM:$DN, 2, FALSE), 0)</f>
        <v>2</v>
      </c>
      <c r="CU136" t="b">
        <f t="shared" si="76"/>
        <v>1</v>
      </c>
      <c r="CV136" t="str">
        <f>IFERROR(VLOOKUP($B136, aegis!$DR:$DS, 2, FALSE), 0)</f>
        <v>21</v>
      </c>
      <c r="CW136" t="str">
        <f>IFERROR(VLOOKUP($B136, duel!$DR:$DS, 2, FALSE), 0)</f>
        <v>21</v>
      </c>
      <c r="CX136" t="str">
        <f>IFERROR(VLOOKUP($B136, blitz!$DR:$DS, 2, FALSE), 0)</f>
        <v>21</v>
      </c>
      <c r="CY136" t="b">
        <f t="shared" si="77"/>
        <v>1</v>
      </c>
    </row>
    <row r="137" spans="1:103">
      <c r="B137" s="6" t="s">
        <v>251</v>
      </c>
      <c r="C137" s="5" t="b">
        <f t="shared" si="52"/>
        <v>0</v>
      </c>
      <c r="D137" t="str">
        <f>IFERROR(VLOOKUP($B137, aegis!$B:$C, 2, FALSE), 0)</f>
        <v>24</v>
      </c>
      <c r="E137" t="str">
        <f>IFERROR(VLOOKUP($B137, duel!$B:$C, 2, FALSE), 0)</f>
        <v>24</v>
      </c>
      <c r="F137" t="str">
        <f>IFERROR(VLOOKUP($B137, blitz!$B:$C, 2, FALSE), 0)</f>
        <v>24</v>
      </c>
      <c r="G137" t="b">
        <f t="shared" si="53"/>
        <v>1</v>
      </c>
      <c r="H137" t="str">
        <f>IFERROR(VLOOKUP($B137, aegis!$G:$H, 2, FALSE), 0)</f>
        <v>14</v>
      </c>
      <c r="I137" t="str">
        <f>IFERROR(VLOOKUP($B137, duel!$G:$H, 2, FALSE), 0)</f>
        <v>14</v>
      </c>
      <c r="J137" t="str">
        <f>IFERROR(VLOOKUP($B137, blitz!$G:$H, 2, FALSE), 0)</f>
        <v>14</v>
      </c>
      <c r="K137" t="b">
        <f t="shared" si="54"/>
        <v>1</v>
      </c>
      <c r="L137" t="str">
        <f>IFERROR(VLOOKUP($B137, aegis!$L:$M, 2, FALSE), 0)</f>
        <v>24</v>
      </c>
      <c r="M137" t="str">
        <f>IFERROR(VLOOKUP($B137, duel!$L:$M, 2, FALSE), 0)</f>
        <v>24</v>
      </c>
      <c r="N137" t="str">
        <f>IFERROR(VLOOKUP($B137, blitz!$L:$M, 2, FALSE), 0)</f>
        <v>24</v>
      </c>
      <c r="O137" t="b">
        <f t="shared" si="55"/>
        <v>1</v>
      </c>
      <c r="P137" t="str">
        <f>IFERROR(VLOOKUP($B137, aegis!$Q:$R, 2, FALSE), 0)</f>
        <v>14</v>
      </c>
      <c r="Q137" t="str">
        <f>IFERROR(VLOOKUP($B137, duel!$Q:$R, 2, FALSE), 0)</f>
        <v>14</v>
      </c>
      <c r="R137" t="str">
        <f>IFERROR(VLOOKUP($B137, blitz!$Q:$R, 2, FALSE), 0)</f>
        <v>14</v>
      </c>
      <c r="S137" t="b">
        <f t="shared" si="56"/>
        <v>1</v>
      </c>
      <c r="T137">
        <f>IFERROR(VLOOKUP($B137, aegis!$V:$W, 2, FALSE), 0)</f>
        <v>0</v>
      </c>
      <c r="U137">
        <f>IFERROR(VLOOKUP($B137, duel!$V:$W, 2, FALSE), 0)</f>
        <v>0</v>
      </c>
      <c r="V137">
        <f>IFERROR(VLOOKUP($B137, blitz!$V:$W, 2, FALSE), 0)</f>
        <v>0</v>
      </c>
      <c r="W137" t="b">
        <f t="shared" si="57"/>
        <v>1</v>
      </c>
      <c r="X137" t="str">
        <f>IFERROR(VLOOKUP($B137, aegis!$AA:$AB, 2, FALSE), 0)</f>
        <v>2</v>
      </c>
      <c r="Y137" t="str">
        <f>IFERROR(VLOOKUP($B137, duel!$AA:$AB, 2, FALSE), 0)</f>
        <v>2</v>
      </c>
      <c r="Z137" t="str">
        <f>IFERROR(VLOOKUP($B137, blitz!$AA:$AB, 2, FALSE), 0)</f>
        <v>2</v>
      </c>
      <c r="AA137" t="b">
        <f t="shared" si="58"/>
        <v>1</v>
      </c>
      <c r="AB137">
        <f>IFERROR(VLOOKUP($B137, aegis!$AF:$AG, 2, FALSE), 0)</f>
        <v>0</v>
      </c>
      <c r="AC137">
        <f>IFERROR(VLOOKUP($B137, duel!$AF:$AG, 2, FALSE), 0)</f>
        <v>0</v>
      </c>
      <c r="AD137">
        <f>IFERROR(VLOOKUP($B137, blitz!$AF:$AG, 2, FALSE), 0)</f>
        <v>0</v>
      </c>
      <c r="AE137" t="b">
        <f t="shared" si="59"/>
        <v>1</v>
      </c>
      <c r="AF137" t="str">
        <f>IFERROR(VLOOKUP($B137, aegis!$AK:$AL, 2, FALSE), 0)</f>
        <v>3</v>
      </c>
      <c r="AG137" t="str">
        <f>IFERROR(VLOOKUP($B137, duel!$AK:$AL, 2, FALSE), 0)</f>
        <v>1</v>
      </c>
      <c r="AH137" t="str">
        <f>IFERROR(VLOOKUP($B137, blitz!$AK:$AL, 2, FALSE), 0)</f>
        <v>1</v>
      </c>
      <c r="AI137" t="b">
        <f t="shared" si="60"/>
        <v>0</v>
      </c>
      <c r="AJ137" t="str">
        <f>IFERROR(VLOOKUP($B137, aegis!$AP:$AQ, 2, FALSE), 0)</f>
        <v>1</v>
      </c>
      <c r="AK137" t="str">
        <f>IFERROR(VLOOKUP($B137, duel!$AP:$AQ, 2, FALSE), 0)</f>
        <v>1</v>
      </c>
      <c r="AL137" t="str">
        <f>IFERROR(VLOOKUP($B137, blitz!$AP:$AQ, 2, FALSE), 0)</f>
        <v>1</v>
      </c>
      <c r="AM137" t="b">
        <f t="shared" si="61"/>
        <v>1</v>
      </c>
      <c r="AN137">
        <f>IFERROR(VLOOKUP($B137, aegis!$AU:$AV, 2, FALSE), 0)</f>
        <v>0</v>
      </c>
      <c r="AO137">
        <f>IFERROR(VLOOKUP($B137, duel!$AU:$AV, 2, FALSE), 0)</f>
        <v>0</v>
      </c>
      <c r="AP137">
        <f>IFERROR(VLOOKUP($B137, blitz!$AU:$AV, 2, FALSE), 0)</f>
        <v>0</v>
      </c>
      <c r="AQ137" t="b">
        <f t="shared" si="62"/>
        <v>1</v>
      </c>
      <c r="AR137" t="str">
        <f>IFERROR(VLOOKUP($B137, aegis!$AZ:$BA, 2, FALSE), 0)</f>
        <v>2</v>
      </c>
      <c r="AS137" t="str">
        <f>IFERROR(VLOOKUP($B137, duel!$AZ:$BA, 2, FALSE), 0)</f>
        <v>2</v>
      </c>
      <c r="AT137" t="str">
        <f>IFERROR(VLOOKUP($B137, blitz!$AZ:$BA, 2, FALSE), 0)</f>
        <v>2</v>
      </c>
      <c r="AU137" t="b">
        <f t="shared" si="63"/>
        <v>1</v>
      </c>
      <c r="AV137" t="str">
        <f>IFERROR(VLOOKUP($B137, aegis!$BE:$BF, 2, FALSE), 0)</f>
        <v>1</v>
      </c>
      <c r="AW137" t="str">
        <f>IFERROR(VLOOKUP($B137, duel!$BE:$BF, 2, FALSE), 0)</f>
        <v>1</v>
      </c>
      <c r="AX137" t="str">
        <f>IFERROR(VLOOKUP($B137, blitz!$BE:$BF, 2, FALSE), 0)</f>
        <v>1</v>
      </c>
      <c r="AY137" t="b">
        <f t="shared" si="64"/>
        <v>1</v>
      </c>
      <c r="AZ137" t="str">
        <f>IFERROR(VLOOKUP($B137, aegis!$BJ:$BK, 2, FALSE), 0)</f>
        <v>1</v>
      </c>
      <c r="BA137" t="str">
        <f>IFERROR(VLOOKUP($B137, duel!$BJ:$BK, 2, FALSE), 0)</f>
        <v>1</v>
      </c>
      <c r="BB137" t="str">
        <f>IFERROR(VLOOKUP($B137, blitz!$BJ:$BK, 2, FALSE), 0)</f>
        <v>1</v>
      </c>
      <c r="BC137" t="b">
        <f t="shared" si="65"/>
        <v>1</v>
      </c>
      <c r="BD137">
        <f>IFERROR(VLOOKUP($B137, aegis!$BO:$BP, 2, FALSE), 0)</f>
        <v>0</v>
      </c>
      <c r="BE137">
        <f>IFERROR(VLOOKUP($B137, duel!$BO:$BP, 2, FALSE), 0)</f>
        <v>0</v>
      </c>
      <c r="BF137">
        <f>IFERROR(VLOOKUP($B137, blitz!$BO:$BP, 2, FALSE), 0)</f>
        <v>0</v>
      </c>
      <c r="BG137" t="b">
        <f t="shared" si="66"/>
        <v>1</v>
      </c>
      <c r="BH137">
        <f>IFERROR(VLOOKUP($B137, aegis!$BT:$BU, 2, FALSE), 0)</f>
        <v>0</v>
      </c>
      <c r="BI137">
        <f>IFERROR(VLOOKUP($B137, duel!$BT:$BU, 2, FALSE), 0)</f>
        <v>0</v>
      </c>
      <c r="BJ137">
        <f>IFERROR(VLOOKUP($B137, blitz!$BT:$BU, 2, FALSE), 0)</f>
        <v>0</v>
      </c>
      <c r="BK137" t="b">
        <f t="shared" si="67"/>
        <v>1</v>
      </c>
      <c r="BL137" t="str">
        <f>IFERROR(VLOOKUP($B137, aegis!$BY:$BZ, 2, FALSE), 0)</f>
        <v>1</v>
      </c>
      <c r="BM137" t="str">
        <f>IFERROR(VLOOKUP($B137, duel!$BY:$BZ, 2, FALSE), 0)</f>
        <v>1</v>
      </c>
      <c r="BN137" t="str">
        <f>IFERROR(VLOOKUP($B137, blitz!$BY:$BZ, 2, FALSE), 0)</f>
        <v>1</v>
      </c>
      <c r="BO137" t="b">
        <f t="shared" si="68"/>
        <v>1</v>
      </c>
      <c r="BP137" t="str">
        <f>IFERROR(VLOOKUP($B137, aegis!$CD:$CE, 2, FALSE), 0)</f>
        <v>5</v>
      </c>
      <c r="BQ137" t="str">
        <f>IFERROR(VLOOKUP($B137, duel!$CD:$CE, 2, FALSE), 0)</f>
        <v>5</v>
      </c>
      <c r="BR137" t="str">
        <f>IFERROR(VLOOKUP($B137, blitz!$CD:$CE, 2, FALSE), 0)</f>
        <v>5</v>
      </c>
      <c r="BS137" t="b">
        <f t="shared" si="69"/>
        <v>1</v>
      </c>
      <c r="BT137">
        <f>IFERROR(VLOOKUP($B137, aegis!$CI:$CJ, 2, FALSE), 0)</f>
        <v>0</v>
      </c>
      <c r="BU137">
        <f>IFERROR(VLOOKUP($B137, duel!$CI:$CJ, 2, FALSE), 0)</f>
        <v>0</v>
      </c>
      <c r="BV137">
        <f>IFERROR(VLOOKUP($B137, blitz!$CI:$CJ, 2, FALSE), 0)</f>
        <v>0</v>
      </c>
      <c r="BW137" t="b">
        <f t="shared" si="70"/>
        <v>1</v>
      </c>
      <c r="BX137">
        <f>IFERROR(VLOOKUP($B137, aegis!$CN:$CO, 2, FALSE), 0)</f>
        <v>0</v>
      </c>
      <c r="BY137">
        <f>IFERROR(VLOOKUP($B137, duel!$CN:$CO, 2, FALSE), 0)</f>
        <v>0</v>
      </c>
      <c r="BZ137">
        <f>IFERROR(VLOOKUP($B137, blitz!$CN:$CO, 2, FALSE), 0)</f>
        <v>0</v>
      </c>
      <c r="CA137" t="b">
        <f t="shared" si="71"/>
        <v>1</v>
      </c>
      <c r="CB137">
        <f>IFERROR(VLOOKUP($B137, aegis!$CS:$CT, 2, FALSE), 0)</f>
        <v>0</v>
      </c>
      <c r="CC137">
        <f>IFERROR(VLOOKUP($B137, duel!$CS:$CT, 2, FALSE), 0)</f>
        <v>0</v>
      </c>
      <c r="CD137">
        <f>IFERROR(VLOOKUP($B137, blitz!$CS:$CT, 2, FALSE), 0)</f>
        <v>0</v>
      </c>
      <c r="CE137" t="b">
        <f t="shared" si="72"/>
        <v>1</v>
      </c>
      <c r="CF137">
        <f>IFERROR(VLOOKUP($B137, aegis!$CX:$CY, 2, FALSE), 0)</f>
        <v>0</v>
      </c>
      <c r="CG137">
        <f>IFERROR(VLOOKUP($B137, duel!$CX:$CY, 2, FALSE), 0)</f>
        <v>0</v>
      </c>
      <c r="CH137">
        <f>IFERROR(VLOOKUP($B137, blitz!$CX:$CY, 2, FALSE), 0)</f>
        <v>0</v>
      </c>
      <c r="CI137" t="b">
        <f t="shared" si="73"/>
        <v>1</v>
      </c>
      <c r="CJ137" t="str">
        <f>IFERROR(VLOOKUP($B137, aegis!$DC:$DD, 2, FALSE), 0)</f>
        <v>1</v>
      </c>
      <c r="CK137" t="str">
        <f>IFERROR(VLOOKUP($B137, duel!$DC:$DD, 2, FALSE), 0)</f>
        <v>1</v>
      </c>
      <c r="CL137" t="str">
        <f>IFERROR(VLOOKUP($B137, blitz!$DC:$DD, 2, FALSE), 0)</f>
        <v>1</v>
      </c>
      <c r="CM137" t="b">
        <f t="shared" si="74"/>
        <v>1</v>
      </c>
      <c r="CN137" t="str">
        <f>IFERROR(VLOOKUP($B137, aegis!$DH:$DI, 2, FALSE), 0)</f>
        <v>1</v>
      </c>
      <c r="CO137" t="str">
        <f>IFERROR(VLOOKUP($B137, duel!$DH:$DI, 2, FALSE), 0)</f>
        <v>1</v>
      </c>
      <c r="CP137" s="13">
        <f>IFERROR(VLOOKUP($B137, blitz!$DH:$DI, 2, FALSE), 0)</f>
        <v>0</v>
      </c>
      <c r="CQ137" t="b">
        <f t="shared" si="75"/>
        <v>1</v>
      </c>
      <c r="CR137" t="str">
        <f>IFERROR(VLOOKUP($B137, aegis!$DM:$DN, 2, FALSE), 0)</f>
        <v>1</v>
      </c>
      <c r="CS137" t="str">
        <f>IFERROR(VLOOKUP($B137, duel!$DM:$DN, 2, FALSE), 0)</f>
        <v>1</v>
      </c>
      <c r="CT137" t="str">
        <f>IFERROR(VLOOKUP($B137, blitz!$DM:$DN, 2, FALSE), 0)</f>
        <v>1</v>
      </c>
      <c r="CU137" t="b">
        <f t="shared" si="76"/>
        <v>1</v>
      </c>
      <c r="CV137">
        <f>IFERROR(VLOOKUP($B137, aegis!$DR:$DS, 2, FALSE), 0)</f>
        <v>0</v>
      </c>
      <c r="CW137">
        <f>IFERROR(VLOOKUP($B137, duel!$DR:$DS, 2, FALSE), 0)</f>
        <v>0</v>
      </c>
      <c r="CX137">
        <f>IFERROR(VLOOKUP($B137, blitz!$DR:$DS, 2, FALSE), 0)</f>
        <v>0</v>
      </c>
      <c r="CY137" t="b">
        <f t="shared" si="77"/>
        <v>1</v>
      </c>
    </row>
    <row r="138" spans="1:103">
      <c r="A138" t="s">
        <v>1733</v>
      </c>
      <c r="B138" s="6" t="s">
        <v>253</v>
      </c>
      <c r="C138" s="5" t="b">
        <f t="shared" si="52"/>
        <v>0</v>
      </c>
      <c r="D138" t="str">
        <f>IFERROR(VLOOKUP($B138, aegis!$B:$C, 2, FALSE), 0)</f>
        <v>24</v>
      </c>
      <c r="E138" t="str">
        <f>IFERROR(VLOOKUP($B138, duel!$B:$C, 2, FALSE), 0)</f>
        <v>24</v>
      </c>
      <c r="F138" t="str">
        <f>IFERROR(VLOOKUP($B138, blitz!$B:$C, 2, FALSE), 0)</f>
        <v>24</v>
      </c>
      <c r="G138" t="b">
        <f t="shared" si="53"/>
        <v>1</v>
      </c>
      <c r="H138" t="str">
        <f>IFERROR(VLOOKUP($B138, aegis!$G:$H, 2, FALSE), 0)</f>
        <v>14</v>
      </c>
      <c r="I138" t="str">
        <f>IFERROR(VLOOKUP($B138, duel!$G:$H, 2, FALSE), 0)</f>
        <v>14</v>
      </c>
      <c r="J138" t="str">
        <f>IFERROR(VLOOKUP($B138, blitz!$G:$H, 2, FALSE), 0)</f>
        <v>14</v>
      </c>
      <c r="K138" t="b">
        <f t="shared" si="54"/>
        <v>1</v>
      </c>
      <c r="L138" t="str">
        <f>IFERROR(VLOOKUP($B138, aegis!$L:$M, 2, FALSE), 0)</f>
        <v>24</v>
      </c>
      <c r="M138" t="str">
        <f>IFERROR(VLOOKUP($B138, duel!$L:$M, 2, FALSE), 0)</f>
        <v>24</v>
      </c>
      <c r="N138" t="str">
        <f>IFERROR(VLOOKUP($B138, blitz!$L:$M, 2, FALSE), 0)</f>
        <v>24</v>
      </c>
      <c r="O138" t="b">
        <f t="shared" si="55"/>
        <v>1</v>
      </c>
      <c r="P138" t="str">
        <f>IFERROR(VLOOKUP($B138, aegis!$Q:$R, 2, FALSE), 0)</f>
        <v>14</v>
      </c>
      <c r="Q138" t="str">
        <f>IFERROR(VLOOKUP($B138, duel!$Q:$R, 2, FALSE), 0)</f>
        <v>14</v>
      </c>
      <c r="R138" t="str">
        <f>IFERROR(VLOOKUP($B138, blitz!$Q:$R, 2, FALSE), 0)</f>
        <v>14</v>
      </c>
      <c r="S138" t="b">
        <f t="shared" si="56"/>
        <v>1</v>
      </c>
      <c r="T138">
        <f>IFERROR(VLOOKUP($B138, aegis!$V:$W, 2, FALSE), 0)</f>
        <v>0</v>
      </c>
      <c r="U138">
        <f>IFERROR(VLOOKUP($B138, duel!$V:$W, 2, FALSE), 0)</f>
        <v>0</v>
      </c>
      <c r="V138">
        <f>IFERROR(VLOOKUP($B138, blitz!$V:$W, 2, FALSE), 0)</f>
        <v>0</v>
      </c>
      <c r="W138" t="b">
        <f t="shared" si="57"/>
        <v>1</v>
      </c>
      <c r="X138" t="str">
        <f>IFERROR(VLOOKUP($B138, aegis!$AA:$AB, 2, FALSE), 0)</f>
        <v>2</v>
      </c>
      <c r="Y138" t="str">
        <f>IFERROR(VLOOKUP($B138, duel!$AA:$AB, 2, FALSE), 0)</f>
        <v>2</v>
      </c>
      <c r="Z138" t="str">
        <f>IFERROR(VLOOKUP($B138, blitz!$AA:$AB, 2, FALSE), 0)</f>
        <v>2</v>
      </c>
      <c r="AA138" t="b">
        <f t="shared" si="58"/>
        <v>1</v>
      </c>
      <c r="AB138" t="str">
        <f>IFERROR(VLOOKUP($B138, aegis!$AF:$AG, 2, FALSE), 0)</f>
        <v>45</v>
      </c>
      <c r="AC138" t="str">
        <f>IFERROR(VLOOKUP($B138, duel!$AF:$AG, 2, FALSE), 0)</f>
        <v>45</v>
      </c>
      <c r="AD138" t="str">
        <f>IFERROR(VLOOKUP($B138, blitz!$AF:$AG, 2, FALSE), 0)</f>
        <v>45</v>
      </c>
      <c r="AE138" t="b">
        <f t="shared" si="59"/>
        <v>1</v>
      </c>
      <c r="AF138" t="str">
        <f>IFERROR(VLOOKUP($B138, aegis!$AK:$AL, 2, FALSE), 0)</f>
        <v>3</v>
      </c>
      <c r="AG138" t="str">
        <f>IFERROR(VLOOKUP($B138, duel!$AK:$AL, 2, FALSE), 0)</f>
        <v>1</v>
      </c>
      <c r="AH138" t="str">
        <f>IFERROR(VLOOKUP($B138, blitz!$AK:$AL, 2, FALSE), 0)</f>
        <v>1</v>
      </c>
      <c r="AI138" t="b">
        <f t="shared" si="60"/>
        <v>0</v>
      </c>
      <c r="AJ138" t="str">
        <f>IFERROR(VLOOKUP($B138, aegis!$AP:$AQ, 2, FALSE), 0)</f>
        <v>1</v>
      </c>
      <c r="AK138" t="str">
        <f>IFERROR(VLOOKUP($B138, duel!$AP:$AQ, 2, FALSE), 0)</f>
        <v>1</v>
      </c>
      <c r="AL138" t="str">
        <f>IFERROR(VLOOKUP($B138, blitz!$AP:$AQ, 2, FALSE), 0)</f>
        <v>1</v>
      </c>
      <c r="AM138" t="b">
        <f t="shared" si="61"/>
        <v>1</v>
      </c>
      <c r="AN138">
        <f>IFERROR(VLOOKUP($B138, aegis!$AU:$AV, 2, FALSE), 0)</f>
        <v>0</v>
      </c>
      <c r="AO138">
        <f>IFERROR(VLOOKUP($B138, duel!$AU:$AV, 2, FALSE), 0)</f>
        <v>0</v>
      </c>
      <c r="AP138">
        <f>IFERROR(VLOOKUP($B138, blitz!$AU:$AV, 2, FALSE), 0)</f>
        <v>0</v>
      </c>
      <c r="AQ138" t="b">
        <f t="shared" si="62"/>
        <v>1</v>
      </c>
      <c r="AR138" t="str">
        <f>IFERROR(VLOOKUP($B138, aegis!$AZ:$BA, 2, FALSE), 0)</f>
        <v>2</v>
      </c>
      <c r="AS138" t="str">
        <f>IFERROR(VLOOKUP($B138, duel!$AZ:$BA, 2, FALSE), 0)</f>
        <v>2</v>
      </c>
      <c r="AT138" t="str">
        <f>IFERROR(VLOOKUP($B138, blitz!$AZ:$BA, 2, FALSE), 0)</f>
        <v>2</v>
      </c>
      <c r="AU138" t="b">
        <f t="shared" si="63"/>
        <v>1</v>
      </c>
      <c r="AV138" t="str">
        <f>IFERROR(VLOOKUP($B138, aegis!$BE:$BF, 2, FALSE), 0)</f>
        <v>1</v>
      </c>
      <c r="AW138" t="str">
        <f>IFERROR(VLOOKUP($B138, duel!$BE:$BF, 2, FALSE), 0)</f>
        <v>1</v>
      </c>
      <c r="AX138" t="str">
        <f>IFERROR(VLOOKUP($B138, blitz!$BE:$BF, 2, FALSE), 0)</f>
        <v>1</v>
      </c>
      <c r="AY138" t="b">
        <f t="shared" si="64"/>
        <v>1</v>
      </c>
      <c r="AZ138" t="str">
        <f>IFERROR(VLOOKUP($B138, aegis!$BJ:$BK, 2, FALSE), 0)</f>
        <v>1</v>
      </c>
      <c r="BA138" t="str">
        <f>IFERROR(VLOOKUP($B138, duel!$BJ:$BK, 2, FALSE), 0)</f>
        <v>1</v>
      </c>
      <c r="BB138" t="str">
        <f>IFERROR(VLOOKUP($B138, blitz!$BJ:$BK, 2, FALSE), 0)</f>
        <v>1</v>
      </c>
      <c r="BC138" t="b">
        <f t="shared" si="65"/>
        <v>1</v>
      </c>
      <c r="BD138">
        <f>IFERROR(VLOOKUP($B138, aegis!$BO:$BP, 2, FALSE), 0)</f>
        <v>0</v>
      </c>
      <c r="BE138">
        <f>IFERROR(VLOOKUP($B138, duel!$BO:$BP, 2, FALSE), 0)</f>
        <v>0</v>
      </c>
      <c r="BF138">
        <f>IFERROR(VLOOKUP($B138, blitz!$BO:$BP, 2, FALSE), 0)</f>
        <v>0</v>
      </c>
      <c r="BG138" t="b">
        <f t="shared" si="66"/>
        <v>1</v>
      </c>
      <c r="BH138" t="str">
        <f>IFERROR(VLOOKUP($B138, aegis!$BT:$BU, 2, FALSE), 0)</f>
        <v>20</v>
      </c>
      <c r="BI138" t="str">
        <f>IFERROR(VLOOKUP($B138, duel!$BT:$BU, 2, FALSE), 0)</f>
        <v>20</v>
      </c>
      <c r="BJ138" t="str">
        <f>IFERROR(VLOOKUP($B138, blitz!$BT:$BU, 2, FALSE), 0)</f>
        <v>20</v>
      </c>
      <c r="BK138" t="b">
        <f t="shared" si="67"/>
        <v>1</v>
      </c>
      <c r="BL138" t="str">
        <f>IFERROR(VLOOKUP($B138, aegis!$BY:$BZ, 2, FALSE), 0)</f>
        <v>1</v>
      </c>
      <c r="BM138" t="str">
        <f>IFERROR(VLOOKUP($B138, duel!$BY:$BZ, 2, FALSE), 0)</f>
        <v>1</v>
      </c>
      <c r="BN138" t="str">
        <f>IFERROR(VLOOKUP($B138, blitz!$BY:$BZ, 2, FALSE), 0)</f>
        <v>1</v>
      </c>
      <c r="BO138" t="b">
        <f t="shared" si="68"/>
        <v>1</v>
      </c>
      <c r="BP138" t="str">
        <f>IFERROR(VLOOKUP($B138, aegis!$CD:$CE, 2, FALSE), 0)</f>
        <v>3</v>
      </c>
      <c r="BQ138" t="str">
        <f>IFERROR(VLOOKUP($B138, duel!$CD:$CE, 2, FALSE), 0)</f>
        <v>3</v>
      </c>
      <c r="BR138" t="str">
        <f>IFERROR(VLOOKUP($B138, blitz!$CD:$CE, 2, FALSE), 0)</f>
        <v>3</v>
      </c>
      <c r="BS138" t="b">
        <f t="shared" si="69"/>
        <v>1</v>
      </c>
      <c r="BT138">
        <f>IFERROR(VLOOKUP($B138, aegis!$CI:$CJ, 2, FALSE), 0)</f>
        <v>0</v>
      </c>
      <c r="BU138">
        <f>IFERROR(VLOOKUP($B138, duel!$CI:$CJ, 2, FALSE), 0)</f>
        <v>0</v>
      </c>
      <c r="BV138">
        <f>IFERROR(VLOOKUP($B138, blitz!$CI:$CJ, 2, FALSE), 0)</f>
        <v>0</v>
      </c>
      <c r="BW138" t="b">
        <f t="shared" si="70"/>
        <v>1</v>
      </c>
      <c r="BX138">
        <f>IFERROR(VLOOKUP($B138, aegis!$CN:$CO, 2, FALSE), 0)</f>
        <v>0</v>
      </c>
      <c r="BY138">
        <f>IFERROR(VLOOKUP($B138, duel!$CN:$CO, 2, FALSE), 0)</f>
        <v>0</v>
      </c>
      <c r="BZ138">
        <f>IFERROR(VLOOKUP($B138, blitz!$CN:$CO, 2, FALSE), 0)</f>
        <v>0</v>
      </c>
      <c r="CA138" t="b">
        <f t="shared" si="71"/>
        <v>1</v>
      </c>
      <c r="CB138">
        <f>IFERROR(VLOOKUP($B138, aegis!$CS:$CT, 2, FALSE), 0)</f>
        <v>0</v>
      </c>
      <c r="CC138">
        <f>IFERROR(VLOOKUP($B138, duel!$CS:$CT, 2, FALSE), 0)</f>
        <v>0</v>
      </c>
      <c r="CD138">
        <f>IFERROR(VLOOKUP($B138, blitz!$CS:$CT, 2, FALSE), 0)</f>
        <v>0</v>
      </c>
      <c r="CE138" t="b">
        <f t="shared" si="72"/>
        <v>1</v>
      </c>
      <c r="CF138" t="str">
        <f>IFERROR(VLOOKUP($B138, aegis!$CX:$CY, 2, FALSE), 0)</f>
        <v>778</v>
      </c>
      <c r="CG138" t="str">
        <f>IFERROR(VLOOKUP($B138, duel!$CX:$CY, 2, FALSE), 0)</f>
        <v>778</v>
      </c>
      <c r="CH138" t="str">
        <f>IFERROR(VLOOKUP($B138, blitz!$CX:$CY, 2, FALSE), 0)</f>
        <v>775</v>
      </c>
      <c r="CI138" t="b">
        <f t="shared" si="73"/>
        <v>0</v>
      </c>
      <c r="CJ138" t="str">
        <f>IFERROR(VLOOKUP($B138, aegis!$DC:$DD, 2, FALSE), 0)</f>
        <v>1</v>
      </c>
      <c r="CK138" t="str">
        <f>IFERROR(VLOOKUP($B138, duel!$DC:$DD, 2, FALSE), 0)</f>
        <v>1</v>
      </c>
      <c r="CL138" t="str">
        <f>IFERROR(VLOOKUP($B138, blitz!$DC:$DD, 2, FALSE), 0)</f>
        <v>1</v>
      </c>
      <c r="CM138" t="b">
        <f t="shared" si="74"/>
        <v>1</v>
      </c>
      <c r="CN138" t="str">
        <f>IFERROR(VLOOKUP($B138, aegis!$DH:$DI, 2, FALSE), 0)</f>
        <v>4</v>
      </c>
      <c r="CO138" t="str">
        <f>IFERROR(VLOOKUP($B138, duel!$DH:$DI, 2, FALSE), 0)</f>
        <v>4</v>
      </c>
      <c r="CP138" s="13">
        <f>IFERROR(VLOOKUP($B138, blitz!$DH:$DI, 2, FALSE), 0)</f>
        <v>0</v>
      </c>
      <c r="CQ138" t="b">
        <f t="shared" si="75"/>
        <v>1</v>
      </c>
      <c r="CR138" t="str">
        <f>IFERROR(VLOOKUP($B138, aegis!$DM:$DN, 2, FALSE), 0)</f>
        <v>1</v>
      </c>
      <c r="CS138" t="str">
        <f>IFERROR(VLOOKUP($B138, duel!$DM:$DN, 2, FALSE), 0)</f>
        <v>1</v>
      </c>
      <c r="CT138" t="str">
        <f>IFERROR(VLOOKUP($B138, blitz!$DM:$DN, 2, FALSE), 0)</f>
        <v>1</v>
      </c>
      <c r="CU138" t="b">
        <f t="shared" si="76"/>
        <v>1</v>
      </c>
      <c r="CV138" t="str">
        <f>IFERROR(VLOOKUP($B138, aegis!$DR:$DS, 2, FALSE), 0)</f>
        <v>45</v>
      </c>
      <c r="CW138" t="str">
        <f>IFERROR(VLOOKUP($B138, duel!$DR:$DS, 2, FALSE), 0)</f>
        <v>45</v>
      </c>
      <c r="CX138" t="str">
        <f>IFERROR(VLOOKUP($B138, blitz!$DR:$DS, 2, FALSE), 0)</f>
        <v>45</v>
      </c>
      <c r="CY138" t="b">
        <f t="shared" si="77"/>
        <v>1</v>
      </c>
    </row>
    <row r="139" spans="1:103">
      <c r="A139" t="s">
        <v>1733</v>
      </c>
      <c r="B139" s="6" t="s">
        <v>255</v>
      </c>
      <c r="C139" s="5" t="b">
        <f t="shared" si="52"/>
        <v>0</v>
      </c>
      <c r="D139" t="str">
        <f>IFERROR(VLOOKUP($B139, aegis!$B:$C, 2, FALSE), 0)</f>
        <v>24</v>
      </c>
      <c r="E139" t="str">
        <f>IFERROR(VLOOKUP($B139, duel!$B:$C, 2, FALSE), 0)</f>
        <v>24</v>
      </c>
      <c r="F139" t="str">
        <f>IFERROR(VLOOKUP($B139, blitz!$B:$C, 2, FALSE), 0)</f>
        <v>24</v>
      </c>
      <c r="G139" t="b">
        <f t="shared" si="53"/>
        <v>1</v>
      </c>
      <c r="H139" t="str">
        <f>IFERROR(VLOOKUP($B139, aegis!$G:$H, 2, FALSE), 0)</f>
        <v>14</v>
      </c>
      <c r="I139" t="str">
        <f>IFERROR(VLOOKUP($B139, duel!$G:$H, 2, FALSE), 0)</f>
        <v>14</v>
      </c>
      <c r="J139" t="str">
        <f>IFERROR(VLOOKUP($B139, blitz!$G:$H, 2, FALSE), 0)</f>
        <v>14</v>
      </c>
      <c r="K139" t="b">
        <f t="shared" si="54"/>
        <v>1</v>
      </c>
      <c r="L139" t="str">
        <f>IFERROR(VLOOKUP($B139, aegis!$L:$M, 2, FALSE), 0)</f>
        <v>24</v>
      </c>
      <c r="M139" t="str">
        <f>IFERROR(VLOOKUP($B139, duel!$L:$M, 2, FALSE), 0)</f>
        <v>24</v>
      </c>
      <c r="N139" t="str">
        <f>IFERROR(VLOOKUP($B139, blitz!$L:$M, 2, FALSE), 0)</f>
        <v>24</v>
      </c>
      <c r="O139" t="b">
        <f t="shared" si="55"/>
        <v>1</v>
      </c>
      <c r="P139" t="str">
        <f>IFERROR(VLOOKUP($B139, aegis!$Q:$R, 2, FALSE), 0)</f>
        <v>14</v>
      </c>
      <c r="Q139" t="str">
        <f>IFERROR(VLOOKUP($B139, duel!$Q:$R, 2, FALSE), 0)</f>
        <v>14</v>
      </c>
      <c r="R139" t="str">
        <f>IFERROR(VLOOKUP($B139, blitz!$Q:$R, 2, FALSE), 0)</f>
        <v>14</v>
      </c>
      <c r="S139" t="b">
        <f t="shared" si="56"/>
        <v>1</v>
      </c>
      <c r="T139">
        <f>IFERROR(VLOOKUP($B139, aegis!$V:$W, 2, FALSE), 0)</f>
        <v>0</v>
      </c>
      <c r="U139">
        <f>IFERROR(VLOOKUP($B139, duel!$V:$W, 2, FALSE), 0)</f>
        <v>0</v>
      </c>
      <c r="V139">
        <f>IFERROR(VLOOKUP($B139, blitz!$V:$W, 2, FALSE), 0)</f>
        <v>0</v>
      </c>
      <c r="W139" t="b">
        <f t="shared" si="57"/>
        <v>1</v>
      </c>
      <c r="X139" t="str">
        <f>IFERROR(VLOOKUP($B139, aegis!$AA:$AB, 2, FALSE), 0)</f>
        <v>2</v>
      </c>
      <c r="Y139" t="str">
        <f>IFERROR(VLOOKUP($B139, duel!$AA:$AB, 2, FALSE), 0)</f>
        <v>2</v>
      </c>
      <c r="Z139" t="str">
        <f>IFERROR(VLOOKUP($B139, blitz!$AA:$AB, 2, FALSE), 0)</f>
        <v>2</v>
      </c>
      <c r="AA139" t="b">
        <f t="shared" si="58"/>
        <v>1</v>
      </c>
      <c r="AB139" t="str">
        <f>IFERROR(VLOOKUP($B139, aegis!$AF:$AG, 2, FALSE), 0)</f>
        <v>46</v>
      </c>
      <c r="AC139" t="str">
        <f>IFERROR(VLOOKUP($B139, duel!$AF:$AG, 2, FALSE), 0)</f>
        <v>46</v>
      </c>
      <c r="AD139" t="str">
        <f>IFERROR(VLOOKUP($B139, blitz!$AF:$AG, 2, FALSE), 0)</f>
        <v>46</v>
      </c>
      <c r="AE139" t="b">
        <f t="shared" si="59"/>
        <v>1</v>
      </c>
      <c r="AF139" t="str">
        <f>IFERROR(VLOOKUP($B139, aegis!$AK:$AL, 2, FALSE), 0)</f>
        <v>3</v>
      </c>
      <c r="AG139" t="str">
        <f>IFERROR(VLOOKUP($B139, duel!$AK:$AL, 2, FALSE), 0)</f>
        <v>1</v>
      </c>
      <c r="AH139" t="str">
        <f>IFERROR(VLOOKUP($B139, blitz!$AK:$AL, 2, FALSE), 0)</f>
        <v>1</v>
      </c>
      <c r="AI139" t="b">
        <f t="shared" si="60"/>
        <v>0</v>
      </c>
      <c r="AJ139" t="str">
        <f>IFERROR(VLOOKUP($B139, aegis!$AP:$AQ, 2, FALSE), 0)</f>
        <v>1</v>
      </c>
      <c r="AK139" t="str">
        <f>IFERROR(VLOOKUP($B139, duel!$AP:$AQ, 2, FALSE), 0)</f>
        <v>1</v>
      </c>
      <c r="AL139" t="str">
        <f>IFERROR(VLOOKUP($B139, blitz!$AP:$AQ, 2, FALSE), 0)</f>
        <v>1</v>
      </c>
      <c r="AM139" t="b">
        <f t="shared" si="61"/>
        <v>1</v>
      </c>
      <c r="AN139">
        <f>IFERROR(VLOOKUP($B139, aegis!$AU:$AV, 2, FALSE), 0)</f>
        <v>0</v>
      </c>
      <c r="AO139">
        <f>IFERROR(VLOOKUP($B139, duel!$AU:$AV, 2, FALSE), 0)</f>
        <v>0</v>
      </c>
      <c r="AP139">
        <f>IFERROR(VLOOKUP($B139, blitz!$AU:$AV, 2, FALSE), 0)</f>
        <v>0</v>
      </c>
      <c r="AQ139" t="b">
        <f t="shared" si="62"/>
        <v>1</v>
      </c>
      <c r="AR139" t="str">
        <f>IFERROR(VLOOKUP($B139, aegis!$AZ:$BA, 2, FALSE), 0)</f>
        <v>2</v>
      </c>
      <c r="AS139" t="str">
        <f>IFERROR(VLOOKUP($B139, duel!$AZ:$BA, 2, FALSE), 0)</f>
        <v>2</v>
      </c>
      <c r="AT139" t="str">
        <f>IFERROR(VLOOKUP($B139, blitz!$AZ:$BA, 2, FALSE), 0)</f>
        <v>2</v>
      </c>
      <c r="AU139" t="b">
        <f t="shared" si="63"/>
        <v>1</v>
      </c>
      <c r="AV139" t="str">
        <f>IFERROR(VLOOKUP($B139, aegis!$BE:$BF, 2, FALSE), 0)</f>
        <v>1</v>
      </c>
      <c r="AW139" t="str">
        <f>IFERROR(VLOOKUP($B139, duel!$BE:$BF, 2, FALSE), 0)</f>
        <v>1</v>
      </c>
      <c r="AX139" t="str">
        <f>IFERROR(VLOOKUP($B139, blitz!$BE:$BF, 2, FALSE), 0)</f>
        <v>1</v>
      </c>
      <c r="AY139" t="b">
        <f t="shared" si="64"/>
        <v>1</v>
      </c>
      <c r="AZ139" t="str">
        <f>IFERROR(VLOOKUP($B139, aegis!$BJ:$BK, 2, FALSE), 0)</f>
        <v>1</v>
      </c>
      <c r="BA139" t="str">
        <f>IFERROR(VLOOKUP($B139, duel!$BJ:$BK, 2, FALSE), 0)</f>
        <v>1</v>
      </c>
      <c r="BB139" t="str">
        <f>IFERROR(VLOOKUP($B139, blitz!$BJ:$BK, 2, FALSE), 0)</f>
        <v>1</v>
      </c>
      <c r="BC139" t="b">
        <f t="shared" si="65"/>
        <v>1</v>
      </c>
      <c r="BD139">
        <f>IFERROR(VLOOKUP($B139, aegis!$BO:$BP, 2, FALSE), 0)</f>
        <v>0</v>
      </c>
      <c r="BE139">
        <f>IFERROR(VLOOKUP($B139, duel!$BO:$BP, 2, FALSE), 0)</f>
        <v>0</v>
      </c>
      <c r="BF139">
        <f>IFERROR(VLOOKUP($B139, blitz!$BO:$BP, 2, FALSE), 0)</f>
        <v>0</v>
      </c>
      <c r="BG139" t="b">
        <f t="shared" si="66"/>
        <v>1</v>
      </c>
      <c r="BH139" t="str">
        <f>IFERROR(VLOOKUP($B139, aegis!$BT:$BU, 2, FALSE), 0)</f>
        <v>16</v>
      </c>
      <c r="BI139" t="str">
        <f>IFERROR(VLOOKUP($B139, duel!$BT:$BU, 2, FALSE), 0)</f>
        <v>16</v>
      </c>
      <c r="BJ139" t="str">
        <f>IFERROR(VLOOKUP($B139, blitz!$BT:$BU, 2, FALSE), 0)</f>
        <v>16</v>
      </c>
      <c r="BK139" t="b">
        <f t="shared" si="67"/>
        <v>1</v>
      </c>
      <c r="BL139" t="str">
        <f>IFERROR(VLOOKUP($B139, aegis!$BY:$BZ, 2, FALSE), 0)</f>
        <v>1</v>
      </c>
      <c r="BM139" t="str">
        <f>IFERROR(VLOOKUP($B139, duel!$BY:$BZ, 2, FALSE), 0)</f>
        <v>1</v>
      </c>
      <c r="BN139" t="str">
        <f>IFERROR(VLOOKUP($B139, blitz!$BY:$BZ, 2, FALSE), 0)</f>
        <v>1</v>
      </c>
      <c r="BO139" t="b">
        <f t="shared" si="68"/>
        <v>1</v>
      </c>
      <c r="BP139" t="str">
        <f>IFERROR(VLOOKUP($B139, aegis!$CD:$CE, 2, FALSE), 0)</f>
        <v>4</v>
      </c>
      <c r="BQ139" t="str">
        <f>IFERROR(VLOOKUP($B139, duel!$CD:$CE, 2, FALSE), 0)</f>
        <v>4</v>
      </c>
      <c r="BR139" t="str">
        <f>IFERROR(VLOOKUP($B139, blitz!$CD:$CE, 2, FALSE), 0)</f>
        <v>4</v>
      </c>
      <c r="BS139" t="b">
        <f t="shared" si="69"/>
        <v>1</v>
      </c>
      <c r="BT139">
        <f>IFERROR(VLOOKUP($B139, aegis!$CI:$CJ, 2, FALSE), 0)</f>
        <v>0</v>
      </c>
      <c r="BU139">
        <f>IFERROR(VLOOKUP($B139, duel!$CI:$CJ, 2, FALSE), 0)</f>
        <v>0</v>
      </c>
      <c r="BV139">
        <f>IFERROR(VLOOKUP($B139, blitz!$CI:$CJ, 2, FALSE), 0)</f>
        <v>0</v>
      </c>
      <c r="BW139" t="b">
        <f t="shared" si="70"/>
        <v>1</v>
      </c>
      <c r="BX139">
        <f>IFERROR(VLOOKUP($B139, aegis!$CN:$CO, 2, FALSE), 0)</f>
        <v>0</v>
      </c>
      <c r="BY139">
        <f>IFERROR(VLOOKUP($B139, duel!$CN:$CO, 2, FALSE), 0)</f>
        <v>0</v>
      </c>
      <c r="BZ139">
        <f>IFERROR(VLOOKUP($B139, blitz!$CN:$CO, 2, FALSE), 0)</f>
        <v>0</v>
      </c>
      <c r="CA139" t="b">
        <f t="shared" si="71"/>
        <v>1</v>
      </c>
      <c r="CB139">
        <f>IFERROR(VLOOKUP($B139, aegis!$CS:$CT, 2, FALSE), 0)</f>
        <v>0</v>
      </c>
      <c r="CC139">
        <f>IFERROR(VLOOKUP($B139, duel!$CS:$CT, 2, FALSE), 0)</f>
        <v>0</v>
      </c>
      <c r="CD139">
        <f>IFERROR(VLOOKUP($B139, blitz!$CS:$CT, 2, FALSE), 0)</f>
        <v>0</v>
      </c>
      <c r="CE139" t="b">
        <f t="shared" si="72"/>
        <v>1</v>
      </c>
      <c r="CF139" t="str">
        <f>IFERROR(VLOOKUP($B139, aegis!$CX:$CY, 2, FALSE), 0)</f>
        <v>1199</v>
      </c>
      <c r="CG139" t="str">
        <f>IFERROR(VLOOKUP($B139, duel!$CX:$CY, 2, FALSE), 0)</f>
        <v>1199</v>
      </c>
      <c r="CH139" t="str">
        <f>IFERROR(VLOOKUP($B139, blitz!$CX:$CY, 2, FALSE), 0)</f>
        <v>1200</v>
      </c>
      <c r="CI139" t="b">
        <f t="shared" si="73"/>
        <v>0</v>
      </c>
      <c r="CJ139" t="str">
        <f>IFERROR(VLOOKUP($B139, aegis!$DC:$DD, 2, FALSE), 0)</f>
        <v>1</v>
      </c>
      <c r="CK139" t="str">
        <f>IFERROR(VLOOKUP($B139, duel!$DC:$DD, 2, FALSE), 0)</f>
        <v>1</v>
      </c>
      <c r="CL139" t="str">
        <f>IFERROR(VLOOKUP($B139, blitz!$DC:$DD, 2, FALSE), 0)</f>
        <v>1</v>
      </c>
      <c r="CM139" t="b">
        <f t="shared" si="74"/>
        <v>1</v>
      </c>
      <c r="CN139" t="str">
        <f>IFERROR(VLOOKUP($B139, aegis!$DH:$DI, 2, FALSE), 0)</f>
        <v>2</v>
      </c>
      <c r="CO139" t="str">
        <f>IFERROR(VLOOKUP($B139, duel!$DH:$DI, 2, FALSE), 0)</f>
        <v>2</v>
      </c>
      <c r="CP139" s="13">
        <f>IFERROR(VLOOKUP($B139, blitz!$DH:$DI, 2, FALSE), 0)</f>
        <v>0</v>
      </c>
      <c r="CQ139" t="b">
        <f t="shared" si="75"/>
        <v>1</v>
      </c>
      <c r="CR139" t="str">
        <f>IFERROR(VLOOKUP($B139, aegis!$DM:$DN, 2, FALSE), 0)</f>
        <v>2</v>
      </c>
      <c r="CS139" t="str">
        <f>IFERROR(VLOOKUP($B139, duel!$DM:$DN, 2, FALSE), 0)</f>
        <v>2</v>
      </c>
      <c r="CT139" t="str">
        <f>IFERROR(VLOOKUP($B139, blitz!$DM:$DN, 2, FALSE), 0)</f>
        <v>2</v>
      </c>
      <c r="CU139" t="b">
        <f t="shared" si="76"/>
        <v>1</v>
      </c>
      <c r="CV139" t="str">
        <f>IFERROR(VLOOKUP($B139, aegis!$DR:$DS, 2, FALSE), 0)</f>
        <v>46</v>
      </c>
      <c r="CW139" t="str">
        <f>IFERROR(VLOOKUP($B139, duel!$DR:$DS, 2, FALSE), 0)</f>
        <v>46</v>
      </c>
      <c r="CX139" t="str">
        <f>IFERROR(VLOOKUP($B139, blitz!$DR:$DS, 2, FALSE), 0)</f>
        <v>46</v>
      </c>
      <c r="CY139" t="b">
        <f t="shared" si="77"/>
        <v>1</v>
      </c>
    </row>
    <row r="140" spans="1:103">
      <c r="B140" s="6" t="s">
        <v>257</v>
      </c>
      <c r="C140" s="5" t="b">
        <f t="shared" si="52"/>
        <v>0</v>
      </c>
      <c r="D140" t="str">
        <f>IFERROR(VLOOKUP($B140, aegis!$B:$C, 2, FALSE), 0)</f>
        <v>24</v>
      </c>
      <c r="E140" t="str">
        <f>IFERROR(VLOOKUP($B140, duel!$B:$C, 2, FALSE), 0)</f>
        <v>24</v>
      </c>
      <c r="F140" t="str">
        <f>IFERROR(VLOOKUP($B140, blitz!$B:$C, 2, FALSE), 0)</f>
        <v>24</v>
      </c>
      <c r="G140" t="b">
        <f t="shared" si="53"/>
        <v>1</v>
      </c>
      <c r="H140" t="str">
        <f>IFERROR(VLOOKUP($B140, aegis!$G:$H, 2, FALSE), 0)</f>
        <v>14</v>
      </c>
      <c r="I140" t="str">
        <f>IFERROR(VLOOKUP($B140, duel!$G:$H, 2, FALSE), 0)</f>
        <v>14</v>
      </c>
      <c r="J140" t="str">
        <f>IFERROR(VLOOKUP($B140, blitz!$G:$H, 2, FALSE), 0)</f>
        <v>14</v>
      </c>
      <c r="K140" t="b">
        <f t="shared" si="54"/>
        <v>1</v>
      </c>
      <c r="L140" t="str">
        <f>IFERROR(VLOOKUP($B140, aegis!$L:$M, 2, FALSE), 0)</f>
        <v>24</v>
      </c>
      <c r="M140" t="str">
        <f>IFERROR(VLOOKUP($B140, duel!$L:$M, 2, FALSE), 0)</f>
        <v>24</v>
      </c>
      <c r="N140" t="str">
        <f>IFERROR(VLOOKUP($B140, blitz!$L:$M, 2, FALSE), 0)</f>
        <v>24</v>
      </c>
      <c r="O140" t="b">
        <f t="shared" si="55"/>
        <v>1</v>
      </c>
      <c r="P140" t="str">
        <f>IFERROR(VLOOKUP($B140, aegis!$Q:$R, 2, FALSE), 0)</f>
        <v>14</v>
      </c>
      <c r="Q140" t="str">
        <f>IFERROR(VLOOKUP($B140, duel!$Q:$R, 2, FALSE), 0)</f>
        <v>14</v>
      </c>
      <c r="R140" t="str">
        <f>IFERROR(VLOOKUP($B140, blitz!$Q:$R, 2, FALSE), 0)</f>
        <v>14</v>
      </c>
      <c r="S140" t="b">
        <f t="shared" si="56"/>
        <v>1</v>
      </c>
      <c r="T140">
        <f>IFERROR(VLOOKUP($B140, aegis!$V:$W, 2, FALSE), 0)</f>
        <v>0</v>
      </c>
      <c r="U140">
        <f>IFERROR(VLOOKUP($B140, duel!$V:$W, 2, FALSE), 0)</f>
        <v>0</v>
      </c>
      <c r="V140">
        <f>IFERROR(VLOOKUP($B140, blitz!$V:$W, 2, FALSE), 0)</f>
        <v>0</v>
      </c>
      <c r="W140" t="b">
        <f t="shared" si="57"/>
        <v>1</v>
      </c>
      <c r="X140" t="str">
        <f>IFERROR(VLOOKUP($B140, aegis!$AA:$AB, 2, FALSE), 0)</f>
        <v>2</v>
      </c>
      <c r="Y140" t="str">
        <f>IFERROR(VLOOKUP($B140, duel!$AA:$AB, 2, FALSE), 0)</f>
        <v>2</v>
      </c>
      <c r="Z140" t="str">
        <f>IFERROR(VLOOKUP($B140, blitz!$AA:$AB, 2, FALSE), 0)</f>
        <v>2</v>
      </c>
      <c r="AA140" t="b">
        <f t="shared" si="58"/>
        <v>1</v>
      </c>
      <c r="AB140" t="str">
        <f>IFERROR(VLOOKUP($B140, aegis!$AF:$AG, 2, FALSE), 0)</f>
        <v>6</v>
      </c>
      <c r="AC140" t="str">
        <f>IFERROR(VLOOKUP($B140, duel!$AF:$AG, 2, FALSE), 0)</f>
        <v>6</v>
      </c>
      <c r="AD140" t="str">
        <f>IFERROR(VLOOKUP($B140, blitz!$AF:$AG, 2, FALSE), 0)</f>
        <v>6</v>
      </c>
      <c r="AE140" t="b">
        <f t="shared" si="59"/>
        <v>1</v>
      </c>
      <c r="AF140" t="str">
        <f>IFERROR(VLOOKUP($B140, aegis!$AK:$AL, 2, FALSE), 0)</f>
        <v>3</v>
      </c>
      <c r="AG140" t="str">
        <f>IFERROR(VLOOKUP($B140, duel!$AK:$AL, 2, FALSE), 0)</f>
        <v>1</v>
      </c>
      <c r="AH140" t="str">
        <f>IFERROR(VLOOKUP($B140, blitz!$AK:$AL, 2, FALSE), 0)</f>
        <v>1</v>
      </c>
      <c r="AI140" t="b">
        <f t="shared" si="60"/>
        <v>0</v>
      </c>
      <c r="AJ140" t="str">
        <f>IFERROR(VLOOKUP($B140, aegis!$AP:$AQ, 2, FALSE), 0)</f>
        <v>1</v>
      </c>
      <c r="AK140" t="str">
        <f>IFERROR(VLOOKUP($B140, duel!$AP:$AQ, 2, FALSE), 0)</f>
        <v>1</v>
      </c>
      <c r="AL140" t="str">
        <f>IFERROR(VLOOKUP($B140, blitz!$AP:$AQ, 2, FALSE), 0)</f>
        <v>1</v>
      </c>
      <c r="AM140" t="b">
        <f t="shared" si="61"/>
        <v>1</v>
      </c>
      <c r="AN140">
        <f>IFERROR(VLOOKUP($B140, aegis!$AU:$AV, 2, FALSE), 0)</f>
        <v>0</v>
      </c>
      <c r="AO140">
        <f>IFERROR(VLOOKUP($B140, duel!$AU:$AV, 2, FALSE), 0)</f>
        <v>0</v>
      </c>
      <c r="AP140">
        <f>IFERROR(VLOOKUP($B140, blitz!$AU:$AV, 2, FALSE), 0)</f>
        <v>0</v>
      </c>
      <c r="AQ140" t="b">
        <f t="shared" si="62"/>
        <v>1</v>
      </c>
      <c r="AR140" t="str">
        <f>IFERROR(VLOOKUP($B140, aegis!$AZ:$BA, 2, FALSE), 0)</f>
        <v>2</v>
      </c>
      <c r="AS140" t="str">
        <f>IFERROR(VLOOKUP($B140, duel!$AZ:$BA, 2, FALSE), 0)</f>
        <v>2</v>
      </c>
      <c r="AT140" t="str">
        <f>IFERROR(VLOOKUP($B140, blitz!$AZ:$BA, 2, FALSE), 0)</f>
        <v>2</v>
      </c>
      <c r="AU140" t="b">
        <f t="shared" si="63"/>
        <v>1</v>
      </c>
      <c r="AV140" t="str">
        <f>IFERROR(VLOOKUP($B140, aegis!$BE:$BF, 2, FALSE), 0)</f>
        <v>1</v>
      </c>
      <c r="AW140" t="str">
        <f>IFERROR(VLOOKUP($B140, duel!$BE:$BF, 2, FALSE), 0)</f>
        <v>1</v>
      </c>
      <c r="AX140" t="str">
        <f>IFERROR(VLOOKUP($B140, blitz!$BE:$BF, 2, FALSE), 0)</f>
        <v>1</v>
      </c>
      <c r="AY140" t="b">
        <f t="shared" si="64"/>
        <v>1</v>
      </c>
      <c r="AZ140" t="str">
        <f>IFERROR(VLOOKUP($B140, aegis!$BJ:$BK, 2, FALSE), 0)</f>
        <v>1</v>
      </c>
      <c r="BA140" t="str">
        <f>IFERROR(VLOOKUP($B140, duel!$BJ:$BK, 2, FALSE), 0)</f>
        <v>1</v>
      </c>
      <c r="BB140" t="str">
        <f>IFERROR(VLOOKUP($B140, blitz!$BJ:$BK, 2, FALSE), 0)</f>
        <v>1</v>
      </c>
      <c r="BC140" t="b">
        <f t="shared" si="65"/>
        <v>1</v>
      </c>
      <c r="BD140">
        <f>IFERROR(VLOOKUP($B140, aegis!$BO:$BP, 2, FALSE), 0)</f>
        <v>0</v>
      </c>
      <c r="BE140">
        <f>IFERROR(VLOOKUP($B140, duel!$BO:$BP, 2, FALSE), 0)</f>
        <v>0</v>
      </c>
      <c r="BF140">
        <f>IFERROR(VLOOKUP($B140, blitz!$BO:$BP, 2, FALSE), 0)</f>
        <v>0</v>
      </c>
      <c r="BG140" t="b">
        <f t="shared" si="66"/>
        <v>1</v>
      </c>
      <c r="BH140" t="str">
        <f>IFERROR(VLOOKUP($B140, aegis!$BT:$BU, 2, FALSE), 0)</f>
        <v>10</v>
      </c>
      <c r="BI140" t="str">
        <f>IFERROR(VLOOKUP($B140, duel!$BT:$BU, 2, FALSE), 0)</f>
        <v>10</v>
      </c>
      <c r="BJ140" t="str">
        <f>IFERROR(VLOOKUP($B140, blitz!$BT:$BU, 2, FALSE), 0)</f>
        <v>10</v>
      </c>
      <c r="BK140" t="b">
        <f t="shared" si="67"/>
        <v>1</v>
      </c>
      <c r="BL140" t="str">
        <f>IFERROR(VLOOKUP($B140, aegis!$BY:$BZ, 2, FALSE), 0)</f>
        <v>1</v>
      </c>
      <c r="BM140" t="str">
        <f>IFERROR(VLOOKUP($B140, duel!$BY:$BZ, 2, FALSE), 0)</f>
        <v>1</v>
      </c>
      <c r="BN140" t="str">
        <f>IFERROR(VLOOKUP($B140, blitz!$BY:$BZ, 2, FALSE), 0)</f>
        <v>1</v>
      </c>
      <c r="BO140" t="b">
        <f t="shared" si="68"/>
        <v>1</v>
      </c>
      <c r="BP140" t="str">
        <f>IFERROR(VLOOKUP($B140, aegis!$CD:$CE, 2, FALSE), 0)</f>
        <v>5</v>
      </c>
      <c r="BQ140" t="str">
        <f>IFERROR(VLOOKUP($B140, duel!$CD:$CE, 2, FALSE), 0)</f>
        <v>5</v>
      </c>
      <c r="BR140" t="str">
        <f>IFERROR(VLOOKUP($B140, blitz!$CD:$CE, 2, FALSE), 0)</f>
        <v>5</v>
      </c>
      <c r="BS140" t="b">
        <f t="shared" si="69"/>
        <v>1</v>
      </c>
      <c r="BT140">
        <f>IFERROR(VLOOKUP($B140, aegis!$CI:$CJ, 2, FALSE), 0)</f>
        <v>0</v>
      </c>
      <c r="BU140">
        <f>IFERROR(VLOOKUP($B140, duel!$CI:$CJ, 2, FALSE), 0)</f>
        <v>0</v>
      </c>
      <c r="BV140">
        <f>IFERROR(VLOOKUP($B140, blitz!$CI:$CJ, 2, FALSE), 0)</f>
        <v>0</v>
      </c>
      <c r="BW140" t="b">
        <f t="shared" si="70"/>
        <v>1</v>
      </c>
      <c r="BX140">
        <f>IFERROR(VLOOKUP($B140, aegis!$CN:$CO, 2, FALSE), 0)</f>
        <v>0</v>
      </c>
      <c r="BY140">
        <f>IFERROR(VLOOKUP($B140, duel!$CN:$CO, 2, FALSE), 0)</f>
        <v>0</v>
      </c>
      <c r="BZ140">
        <f>IFERROR(VLOOKUP($B140, blitz!$CN:$CO, 2, FALSE), 0)</f>
        <v>0</v>
      </c>
      <c r="CA140" t="b">
        <f t="shared" si="71"/>
        <v>1</v>
      </c>
      <c r="CB140">
        <f>IFERROR(VLOOKUP($B140, aegis!$CS:$CT, 2, FALSE), 0)</f>
        <v>0</v>
      </c>
      <c r="CC140">
        <f>IFERROR(VLOOKUP($B140, duel!$CS:$CT, 2, FALSE), 0)</f>
        <v>0</v>
      </c>
      <c r="CD140">
        <f>IFERROR(VLOOKUP($B140, blitz!$CS:$CT, 2, FALSE), 0)</f>
        <v>0</v>
      </c>
      <c r="CE140" t="b">
        <f t="shared" si="72"/>
        <v>1</v>
      </c>
      <c r="CF140" t="str">
        <f>IFERROR(VLOOKUP($B140, aegis!$CX:$CY, 2, FALSE), 0)</f>
        <v>86</v>
      </c>
      <c r="CG140" t="str">
        <f>IFERROR(VLOOKUP($B140, duel!$CX:$CY, 2, FALSE), 0)</f>
        <v>86</v>
      </c>
      <c r="CH140" t="str">
        <f>IFERROR(VLOOKUP($B140, blitz!$CX:$CY, 2, FALSE), 0)</f>
        <v>86</v>
      </c>
      <c r="CI140" t="b">
        <f t="shared" si="73"/>
        <v>1</v>
      </c>
      <c r="CJ140" t="str">
        <f>IFERROR(VLOOKUP($B140, aegis!$DC:$DD, 2, FALSE), 0)</f>
        <v>1</v>
      </c>
      <c r="CK140" t="str">
        <f>IFERROR(VLOOKUP($B140, duel!$DC:$DD, 2, FALSE), 0)</f>
        <v>1</v>
      </c>
      <c r="CL140" t="str">
        <f>IFERROR(VLOOKUP($B140, blitz!$DC:$DD, 2, FALSE), 0)</f>
        <v>1</v>
      </c>
      <c r="CM140" t="b">
        <f t="shared" si="74"/>
        <v>1</v>
      </c>
      <c r="CN140" t="str">
        <f>IFERROR(VLOOKUP($B140, aegis!$DH:$DI, 2, FALSE), 0)</f>
        <v>1</v>
      </c>
      <c r="CO140" t="str">
        <f>IFERROR(VLOOKUP($B140, duel!$DH:$DI, 2, FALSE), 0)</f>
        <v>1</v>
      </c>
      <c r="CP140" s="13">
        <f>IFERROR(VLOOKUP($B140, blitz!$DH:$DI, 2, FALSE), 0)</f>
        <v>0</v>
      </c>
      <c r="CQ140" t="b">
        <f t="shared" si="75"/>
        <v>1</v>
      </c>
      <c r="CR140" t="str">
        <f>IFERROR(VLOOKUP($B140, aegis!$DM:$DN, 2, FALSE), 0)</f>
        <v>1</v>
      </c>
      <c r="CS140" t="str">
        <f>IFERROR(VLOOKUP($B140, duel!$DM:$DN, 2, FALSE), 0)</f>
        <v>1</v>
      </c>
      <c r="CT140" t="str">
        <f>IFERROR(VLOOKUP($B140, blitz!$DM:$DN, 2, FALSE), 0)</f>
        <v>1</v>
      </c>
      <c r="CU140" t="b">
        <f t="shared" si="76"/>
        <v>1</v>
      </c>
      <c r="CV140" t="str">
        <f>IFERROR(VLOOKUP($B140, aegis!$DR:$DS, 2, FALSE), 0)</f>
        <v>6</v>
      </c>
      <c r="CW140" t="str">
        <f>IFERROR(VLOOKUP($B140, duel!$DR:$DS, 2, FALSE), 0)</f>
        <v>6</v>
      </c>
      <c r="CX140" t="str">
        <f>IFERROR(VLOOKUP($B140, blitz!$DR:$DS, 2, FALSE), 0)</f>
        <v>6</v>
      </c>
      <c r="CY140" t="b">
        <f t="shared" si="77"/>
        <v>1</v>
      </c>
    </row>
    <row r="141" spans="1:103">
      <c r="B141" s="6" t="s">
        <v>259</v>
      </c>
      <c r="C141" s="5" t="b">
        <f t="shared" si="52"/>
        <v>0</v>
      </c>
      <c r="D141" t="str">
        <f>IFERROR(VLOOKUP($B141, aegis!$B:$C, 2, FALSE), 0)</f>
        <v>24</v>
      </c>
      <c r="E141" t="str">
        <f>IFERROR(VLOOKUP($B141, duel!$B:$C, 2, FALSE), 0)</f>
        <v>24</v>
      </c>
      <c r="F141" t="str">
        <f>IFERROR(VLOOKUP($B141, blitz!$B:$C, 2, FALSE), 0)</f>
        <v>24</v>
      </c>
      <c r="G141" t="b">
        <f t="shared" si="53"/>
        <v>1</v>
      </c>
      <c r="H141" t="str">
        <f>IFERROR(VLOOKUP($B141, aegis!$G:$H, 2, FALSE), 0)</f>
        <v>14</v>
      </c>
      <c r="I141" t="str">
        <f>IFERROR(VLOOKUP($B141, duel!$G:$H, 2, FALSE), 0)</f>
        <v>14</v>
      </c>
      <c r="J141" t="str">
        <f>IFERROR(VLOOKUP($B141, blitz!$G:$H, 2, FALSE), 0)</f>
        <v>14</v>
      </c>
      <c r="K141" t="b">
        <f t="shared" si="54"/>
        <v>1</v>
      </c>
      <c r="L141" t="str">
        <f>IFERROR(VLOOKUP($B141, aegis!$L:$M, 2, FALSE), 0)</f>
        <v>24</v>
      </c>
      <c r="M141" t="str">
        <f>IFERROR(VLOOKUP($B141, duel!$L:$M, 2, FALSE), 0)</f>
        <v>24</v>
      </c>
      <c r="N141" t="str">
        <f>IFERROR(VLOOKUP($B141, blitz!$L:$M, 2, FALSE), 0)</f>
        <v>24</v>
      </c>
      <c r="O141" t="b">
        <f t="shared" si="55"/>
        <v>1</v>
      </c>
      <c r="P141" t="str">
        <f>IFERROR(VLOOKUP($B141, aegis!$Q:$R, 2, FALSE), 0)</f>
        <v>14</v>
      </c>
      <c r="Q141" t="str">
        <f>IFERROR(VLOOKUP($B141, duel!$Q:$R, 2, FALSE), 0)</f>
        <v>14</v>
      </c>
      <c r="R141" t="str">
        <f>IFERROR(VLOOKUP($B141, blitz!$Q:$R, 2, FALSE), 0)</f>
        <v>14</v>
      </c>
      <c r="S141" t="b">
        <f t="shared" si="56"/>
        <v>1</v>
      </c>
      <c r="T141">
        <f>IFERROR(VLOOKUP($B141, aegis!$V:$W, 2, FALSE), 0)</f>
        <v>0</v>
      </c>
      <c r="U141">
        <f>IFERROR(VLOOKUP($B141, duel!$V:$W, 2, FALSE), 0)</f>
        <v>0</v>
      </c>
      <c r="V141">
        <f>IFERROR(VLOOKUP($B141, blitz!$V:$W, 2, FALSE), 0)</f>
        <v>0</v>
      </c>
      <c r="W141" t="b">
        <f t="shared" si="57"/>
        <v>1</v>
      </c>
      <c r="X141" t="str">
        <f>IFERROR(VLOOKUP($B141, aegis!$AA:$AB, 2, FALSE), 0)</f>
        <v>2</v>
      </c>
      <c r="Y141" t="str">
        <f>IFERROR(VLOOKUP($B141, duel!$AA:$AB, 2, FALSE), 0)</f>
        <v>2</v>
      </c>
      <c r="Z141" t="str">
        <f>IFERROR(VLOOKUP($B141, blitz!$AA:$AB, 2, FALSE), 0)</f>
        <v>2</v>
      </c>
      <c r="AA141" t="b">
        <f t="shared" si="58"/>
        <v>1</v>
      </c>
      <c r="AB141" t="str">
        <f>IFERROR(VLOOKUP($B141, aegis!$AF:$AG, 2, FALSE), 0)</f>
        <v>10</v>
      </c>
      <c r="AC141" t="str">
        <f>IFERROR(VLOOKUP($B141, duel!$AF:$AG, 2, FALSE), 0)</f>
        <v>10</v>
      </c>
      <c r="AD141" t="str">
        <f>IFERROR(VLOOKUP($B141, blitz!$AF:$AG, 2, FALSE), 0)</f>
        <v>10</v>
      </c>
      <c r="AE141" t="b">
        <f t="shared" si="59"/>
        <v>1</v>
      </c>
      <c r="AF141" t="str">
        <f>IFERROR(VLOOKUP($B141, aegis!$AK:$AL, 2, FALSE), 0)</f>
        <v>3</v>
      </c>
      <c r="AG141" t="str">
        <f>IFERROR(VLOOKUP($B141, duel!$AK:$AL, 2, FALSE), 0)</f>
        <v>1</v>
      </c>
      <c r="AH141" t="str">
        <f>IFERROR(VLOOKUP($B141, blitz!$AK:$AL, 2, FALSE), 0)</f>
        <v>1</v>
      </c>
      <c r="AI141" t="b">
        <f t="shared" si="60"/>
        <v>0</v>
      </c>
      <c r="AJ141" t="str">
        <f>IFERROR(VLOOKUP($B141, aegis!$AP:$AQ, 2, FALSE), 0)</f>
        <v>1</v>
      </c>
      <c r="AK141" t="str">
        <f>IFERROR(VLOOKUP($B141, duel!$AP:$AQ, 2, FALSE), 0)</f>
        <v>1</v>
      </c>
      <c r="AL141" t="str">
        <f>IFERROR(VLOOKUP($B141, blitz!$AP:$AQ, 2, FALSE), 0)</f>
        <v>1</v>
      </c>
      <c r="AM141" t="b">
        <f t="shared" si="61"/>
        <v>1</v>
      </c>
      <c r="AN141">
        <f>IFERROR(VLOOKUP($B141, aegis!$AU:$AV, 2, FALSE), 0)</f>
        <v>0</v>
      </c>
      <c r="AO141">
        <f>IFERROR(VLOOKUP($B141, duel!$AU:$AV, 2, FALSE), 0)</f>
        <v>0</v>
      </c>
      <c r="AP141">
        <f>IFERROR(VLOOKUP($B141, blitz!$AU:$AV, 2, FALSE), 0)</f>
        <v>0</v>
      </c>
      <c r="AQ141" t="b">
        <f t="shared" si="62"/>
        <v>1</v>
      </c>
      <c r="AR141" t="str">
        <f>IFERROR(VLOOKUP($B141, aegis!$AZ:$BA, 2, FALSE), 0)</f>
        <v>2</v>
      </c>
      <c r="AS141" t="str">
        <f>IFERROR(VLOOKUP($B141, duel!$AZ:$BA, 2, FALSE), 0)</f>
        <v>2</v>
      </c>
      <c r="AT141" t="str">
        <f>IFERROR(VLOOKUP($B141, blitz!$AZ:$BA, 2, FALSE), 0)</f>
        <v>2</v>
      </c>
      <c r="AU141" t="b">
        <f t="shared" si="63"/>
        <v>1</v>
      </c>
      <c r="AV141" t="str">
        <f>IFERROR(VLOOKUP($B141, aegis!$BE:$BF, 2, FALSE), 0)</f>
        <v>1</v>
      </c>
      <c r="AW141" t="str">
        <f>IFERROR(VLOOKUP($B141, duel!$BE:$BF, 2, FALSE), 0)</f>
        <v>1</v>
      </c>
      <c r="AX141" t="str">
        <f>IFERROR(VLOOKUP($B141, blitz!$BE:$BF, 2, FALSE), 0)</f>
        <v>1</v>
      </c>
      <c r="AY141" t="b">
        <f t="shared" si="64"/>
        <v>1</v>
      </c>
      <c r="AZ141" t="str">
        <f>IFERROR(VLOOKUP($B141, aegis!$BJ:$BK, 2, FALSE), 0)</f>
        <v>1</v>
      </c>
      <c r="BA141" t="str">
        <f>IFERROR(VLOOKUP($B141, duel!$BJ:$BK, 2, FALSE), 0)</f>
        <v>1</v>
      </c>
      <c r="BB141" t="str">
        <f>IFERROR(VLOOKUP($B141, blitz!$BJ:$BK, 2, FALSE), 0)</f>
        <v>1</v>
      </c>
      <c r="BC141" t="b">
        <f t="shared" si="65"/>
        <v>1</v>
      </c>
      <c r="BD141">
        <f>IFERROR(VLOOKUP($B141, aegis!$BO:$BP, 2, FALSE), 0)</f>
        <v>0</v>
      </c>
      <c r="BE141">
        <f>IFERROR(VLOOKUP($B141, duel!$BO:$BP, 2, FALSE), 0)</f>
        <v>0</v>
      </c>
      <c r="BF141">
        <f>IFERROR(VLOOKUP($B141, blitz!$BO:$BP, 2, FALSE), 0)</f>
        <v>0</v>
      </c>
      <c r="BG141" t="b">
        <f t="shared" si="66"/>
        <v>1</v>
      </c>
      <c r="BH141" t="str">
        <f>IFERROR(VLOOKUP($B141, aegis!$BT:$BU, 2, FALSE), 0)</f>
        <v>8</v>
      </c>
      <c r="BI141" t="str">
        <f>IFERROR(VLOOKUP($B141, duel!$BT:$BU, 2, FALSE), 0)</f>
        <v>8</v>
      </c>
      <c r="BJ141" t="str">
        <f>IFERROR(VLOOKUP($B141, blitz!$BT:$BU, 2, FALSE), 0)</f>
        <v>8</v>
      </c>
      <c r="BK141" t="b">
        <f t="shared" si="67"/>
        <v>1</v>
      </c>
      <c r="BL141" t="str">
        <f>IFERROR(VLOOKUP($B141, aegis!$BY:$BZ, 2, FALSE), 0)</f>
        <v>1</v>
      </c>
      <c r="BM141" t="str">
        <f>IFERROR(VLOOKUP($B141, duel!$BY:$BZ, 2, FALSE), 0)</f>
        <v>1</v>
      </c>
      <c r="BN141" t="str">
        <f>IFERROR(VLOOKUP($B141, blitz!$BY:$BZ, 2, FALSE), 0)</f>
        <v>1</v>
      </c>
      <c r="BO141" t="b">
        <f t="shared" si="68"/>
        <v>1</v>
      </c>
      <c r="BP141" t="str">
        <f>IFERROR(VLOOKUP($B141, aegis!$CD:$CE, 2, FALSE), 0)</f>
        <v>4</v>
      </c>
      <c r="BQ141" t="str">
        <f>IFERROR(VLOOKUP($B141, duel!$CD:$CE, 2, FALSE), 0)</f>
        <v>4</v>
      </c>
      <c r="BR141" t="str">
        <f>IFERROR(VLOOKUP($B141, blitz!$CD:$CE, 2, FALSE), 0)</f>
        <v>4</v>
      </c>
      <c r="BS141" t="b">
        <f t="shared" si="69"/>
        <v>1</v>
      </c>
      <c r="BT141">
        <f>IFERROR(VLOOKUP($B141, aegis!$CI:$CJ, 2, FALSE), 0)</f>
        <v>0</v>
      </c>
      <c r="BU141">
        <f>IFERROR(VLOOKUP($B141, duel!$CI:$CJ, 2, FALSE), 0)</f>
        <v>0</v>
      </c>
      <c r="BV141">
        <f>IFERROR(VLOOKUP($B141, blitz!$CI:$CJ, 2, FALSE), 0)</f>
        <v>0</v>
      </c>
      <c r="BW141" t="b">
        <f t="shared" si="70"/>
        <v>1</v>
      </c>
      <c r="BX141">
        <f>IFERROR(VLOOKUP($B141, aegis!$CN:$CO, 2, FALSE), 0)</f>
        <v>0</v>
      </c>
      <c r="BY141">
        <f>IFERROR(VLOOKUP($B141, duel!$CN:$CO, 2, FALSE), 0)</f>
        <v>0</v>
      </c>
      <c r="BZ141">
        <f>IFERROR(VLOOKUP($B141, blitz!$CN:$CO, 2, FALSE), 0)</f>
        <v>0</v>
      </c>
      <c r="CA141" t="b">
        <f t="shared" si="71"/>
        <v>1</v>
      </c>
      <c r="CB141">
        <f>IFERROR(VLOOKUP($B141, aegis!$CS:$CT, 2, FALSE), 0)</f>
        <v>0</v>
      </c>
      <c r="CC141">
        <f>IFERROR(VLOOKUP($B141, duel!$CS:$CT, 2, FALSE), 0)</f>
        <v>0</v>
      </c>
      <c r="CD141">
        <f>IFERROR(VLOOKUP($B141, blitz!$CS:$CT, 2, FALSE), 0)</f>
        <v>0</v>
      </c>
      <c r="CE141" t="b">
        <f t="shared" si="72"/>
        <v>1</v>
      </c>
      <c r="CF141" t="str">
        <f>IFERROR(VLOOKUP($B141, aegis!$CX:$CY, 2, FALSE), 0)</f>
        <v>49</v>
      </c>
      <c r="CG141" t="str">
        <f>IFERROR(VLOOKUP($B141, duel!$CX:$CY, 2, FALSE), 0)</f>
        <v>49</v>
      </c>
      <c r="CH141" t="str">
        <f>IFERROR(VLOOKUP($B141, blitz!$CX:$CY, 2, FALSE), 0)</f>
        <v>49</v>
      </c>
      <c r="CI141" t="b">
        <f t="shared" si="73"/>
        <v>1</v>
      </c>
      <c r="CJ141" t="str">
        <f>IFERROR(VLOOKUP($B141, aegis!$DC:$DD, 2, FALSE), 0)</f>
        <v>1</v>
      </c>
      <c r="CK141" t="str">
        <f>IFERROR(VLOOKUP($B141, duel!$DC:$DD, 2, FALSE), 0)</f>
        <v>1</v>
      </c>
      <c r="CL141" t="str">
        <f>IFERROR(VLOOKUP($B141, blitz!$DC:$DD, 2, FALSE), 0)</f>
        <v>1</v>
      </c>
      <c r="CM141" t="b">
        <f t="shared" si="74"/>
        <v>1</v>
      </c>
      <c r="CN141" t="str">
        <f>IFERROR(VLOOKUP($B141, aegis!$DH:$DI, 2, FALSE), 0)</f>
        <v>4</v>
      </c>
      <c r="CO141" t="str">
        <f>IFERROR(VLOOKUP($B141, duel!$DH:$DI, 2, FALSE), 0)</f>
        <v>4</v>
      </c>
      <c r="CP141" s="13">
        <f>IFERROR(VLOOKUP($B141, blitz!$DH:$DI, 2, FALSE), 0)</f>
        <v>0</v>
      </c>
      <c r="CQ141" t="b">
        <f t="shared" si="75"/>
        <v>1</v>
      </c>
      <c r="CR141" t="str">
        <f>IFERROR(VLOOKUP($B141, aegis!$DM:$DN, 2, FALSE), 0)</f>
        <v>1</v>
      </c>
      <c r="CS141" t="str">
        <f>IFERROR(VLOOKUP($B141, duel!$DM:$DN, 2, FALSE), 0)</f>
        <v>1</v>
      </c>
      <c r="CT141" t="str">
        <f>IFERROR(VLOOKUP($B141, blitz!$DM:$DN, 2, FALSE), 0)</f>
        <v>1</v>
      </c>
      <c r="CU141" t="b">
        <f t="shared" si="76"/>
        <v>1</v>
      </c>
      <c r="CV141" t="str">
        <f>IFERROR(VLOOKUP($B141, aegis!$DR:$DS, 2, FALSE), 0)</f>
        <v>10</v>
      </c>
      <c r="CW141" t="str">
        <f>IFERROR(VLOOKUP($B141, duel!$DR:$DS, 2, FALSE), 0)</f>
        <v>10</v>
      </c>
      <c r="CX141" t="str">
        <f>IFERROR(VLOOKUP($B141, blitz!$DR:$DS, 2, FALSE), 0)</f>
        <v>10</v>
      </c>
      <c r="CY141" t="b">
        <f t="shared" si="77"/>
        <v>1</v>
      </c>
    </row>
    <row r="142" spans="1:103">
      <c r="A142" t="s">
        <v>1733</v>
      </c>
      <c r="B142" s="6" t="s">
        <v>261</v>
      </c>
      <c r="C142" s="5" t="b">
        <f t="shared" si="52"/>
        <v>0</v>
      </c>
      <c r="D142" t="str">
        <f>IFERROR(VLOOKUP($B142, aegis!$B:$C, 2, FALSE), 0)</f>
        <v>24</v>
      </c>
      <c r="E142" t="str">
        <f>IFERROR(VLOOKUP($B142, duel!$B:$C, 2, FALSE), 0)</f>
        <v>24</v>
      </c>
      <c r="F142" t="str">
        <f>IFERROR(VLOOKUP($B142, blitz!$B:$C, 2, FALSE), 0)</f>
        <v>24</v>
      </c>
      <c r="G142" t="b">
        <f t="shared" si="53"/>
        <v>1</v>
      </c>
      <c r="H142" t="str">
        <f>IFERROR(VLOOKUP($B142, aegis!$G:$H, 2, FALSE), 0)</f>
        <v>14</v>
      </c>
      <c r="I142" t="str">
        <f>IFERROR(VLOOKUP($B142, duel!$G:$H, 2, FALSE), 0)</f>
        <v>14</v>
      </c>
      <c r="J142" t="str">
        <f>IFERROR(VLOOKUP($B142, blitz!$G:$H, 2, FALSE), 0)</f>
        <v>14</v>
      </c>
      <c r="K142" t="b">
        <f t="shared" si="54"/>
        <v>1</v>
      </c>
      <c r="L142" t="str">
        <f>IFERROR(VLOOKUP($B142, aegis!$L:$M, 2, FALSE), 0)</f>
        <v>24</v>
      </c>
      <c r="M142" t="str">
        <f>IFERROR(VLOOKUP($B142, duel!$L:$M, 2, FALSE), 0)</f>
        <v>24</v>
      </c>
      <c r="N142" t="str">
        <f>IFERROR(VLOOKUP($B142, blitz!$L:$M, 2, FALSE), 0)</f>
        <v>24</v>
      </c>
      <c r="O142" t="b">
        <f t="shared" si="55"/>
        <v>1</v>
      </c>
      <c r="P142" t="str">
        <f>IFERROR(VLOOKUP($B142, aegis!$Q:$R, 2, FALSE), 0)</f>
        <v>14</v>
      </c>
      <c r="Q142" t="str">
        <f>IFERROR(VLOOKUP($B142, duel!$Q:$R, 2, FALSE), 0)</f>
        <v>14</v>
      </c>
      <c r="R142" t="str">
        <f>IFERROR(VLOOKUP($B142, blitz!$Q:$R, 2, FALSE), 0)</f>
        <v>14</v>
      </c>
      <c r="S142" t="b">
        <f t="shared" si="56"/>
        <v>1</v>
      </c>
      <c r="T142">
        <f>IFERROR(VLOOKUP($B142, aegis!$V:$W, 2, FALSE), 0)</f>
        <v>0</v>
      </c>
      <c r="U142">
        <f>IFERROR(VLOOKUP($B142, duel!$V:$W, 2, FALSE), 0)</f>
        <v>0</v>
      </c>
      <c r="V142">
        <f>IFERROR(VLOOKUP($B142, blitz!$V:$W, 2, FALSE), 0)</f>
        <v>0</v>
      </c>
      <c r="W142" t="b">
        <f t="shared" si="57"/>
        <v>1</v>
      </c>
      <c r="X142" t="str">
        <f>IFERROR(VLOOKUP($B142, aegis!$AA:$AB, 2, FALSE), 0)</f>
        <v>2</v>
      </c>
      <c r="Y142" t="str">
        <f>IFERROR(VLOOKUP($B142, duel!$AA:$AB, 2, FALSE), 0)</f>
        <v>2</v>
      </c>
      <c r="Z142" t="str">
        <f>IFERROR(VLOOKUP($B142, blitz!$AA:$AB, 2, FALSE), 0)</f>
        <v>2</v>
      </c>
      <c r="AA142" t="b">
        <f t="shared" si="58"/>
        <v>1</v>
      </c>
      <c r="AB142" t="str">
        <f>IFERROR(VLOOKUP($B142, aegis!$AF:$AG, 2, FALSE), 0)</f>
        <v>12</v>
      </c>
      <c r="AC142" t="str">
        <f>IFERROR(VLOOKUP($B142, duel!$AF:$AG, 2, FALSE), 0)</f>
        <v>12</v>
      </c>
      <c r="AD142" t="str">
        <f>IFERROR(VLOOKUP($B142, blitz!$AF:$AG, 2, FALSE), 0)</f>
        <v>12</v>
      </c>
      <c r="AE142" t="b">
        <f t="shared" si="59"/>
        <v>1</v>
      </c>
      <c r="AF142" t="str">
        <f>IFERROR(VLOOKUP($B142, aegis!$AK:$AL, 2, FALSE), 0)</f>
        <v>3</v>
      </c>
      <c r="AG142" t="str">
        <f>IFERROR(VLOOKUP($B142, duel!$AK:$AL, 2, FALSE), 0)</f>
        <v>1</v>
      </c>
      <c r="AH142" t="str">
        <f>IFERROR(VLOOKUP($B142, blitz!$AK:$AL, 2, FALSE), 0)</f>
        <v>1</v>
      </c>
      <c r="AI142" t="b">
        <f t="shared" si="60"/>
        <v>0</v>
      </c>
      <c r="AJ142" t="str">
        <f>IFERROR(VLOOKUP($B142, aegis!$AP:$AQ, 2, FALSE), 0)</f>
        <v>1</v>
      </c>
      <c r="AK142" t="str">
        <f>IFERROR(VLOOKUP($B142, duel!$AP:$AQ, 2, FALSE), 0)</f>
        <v>1</v>
      </c>
      <c r="AL142" t="str">
        <f>IFERROR(VLOOKUP($B142, blitz!$AP:$AQ, 2, FALSE), 0)</f>
        <v>1</v>
      </c>
      <c r="AM142" t="b">
        <f t="shared" si="61"/>
        <v>1</v>
      </c>
      <c r="AN142">
        <f>IFERROR(VLOOKUP($B142, aegis!$AU:$AV, 2, FALSE), 0)</f>
        <v>0</v>
      </c>
      <c r="AO142">
        <f>IFERROR(VLOOKUP($B142, duel!$AU:$AV, 2, FALSE), 0)</f>
        <v>0</v>
      </c>
      <c r="AP142">
        <f>IFERROR(VLOOKUP($B142, blitz!$AU:$AV, 2, FALSE), 0)</f>
        <v>0</v>
      </c>
      <c r="AQ142" t="b">
        <f t="shared" si="62"/>
        <v>1</v>
      </c>
      <c r="AR142" t="str">
        <f>IFERROR(VLOOKUP($B142, aegis!$AZ:$BA, 2, FALSE), 0)</f>
        <v>2</v>
      </c>
      <c r="AS142" t="str">
        <f>IFERROR(VLOOKUP($B142, duel!$AZ:$BA, 2, FALSE), 0)</f>
        <v>2</v>
      </c>
      <c r="AT142" t="str">
        <f>IFERROR(VLOOKUP($B142, blitz!$AZ:$BA, 2, FALSE), 0)</f>
        <v>2</v>
      </c>
      <c r="AU142" t="b">
        <f t="shared" si="63"/>
        <v>1</v>
      </c>
      <c r="AV142" t="str">
        <f>IFERROR(VLOOKUP($B142, aegis!$BE:$BF, 2, FALSE), 0)</f>
        <v>1</v>
      </c>
      <c r="AW142" t="str">
        <f>IFERROR(VLOOKUP($B142, duel!$BE:$BF, 2, FALSE), 0)</f>
        <v>1</v>
      </c>
      <c r="AX142" t="str">
        <f>IFERROR(VLOOKUP($B142, blitz!$BE:$BF, 2, FALSE), 0)</f>
        <v>1</v>
      </c>
      <c r="AY142" t="b">
        <f t="shared" si="64"/>
        <v>1</v>
      </c>
      <c r="AZ142" t="str">
        <f>IFERROR(VLOOKUP($B142, aegis!$BJ:$BK, 2, FALSE), 0)</f>
        <v>1</v>
      </c>
      <c r="BA142" t="str">
        <f>IFERROR(VLOOKUP($B142, duel!$BJ:$BK, 2, FALSE), 0)</f>
        <v>1</v>
      </c>
      <c r="BB142" t="str">
        <f>IFERROR(VLOOKUP($B142, blitz!$BJ:$BK, 2, FALSE), 0)</f>
        <v>1</v>
      </c>
      <c r="BC142" t="b">
        <f t="shared" si="65"/>
        <v>1</v>
      </c>
      <c r="BD142">
        <f>IFERROR(VLOOKUP($B142, aegis!$BO:$BP, 2, FALSE), 0)</f>
        <v>0</v>
      </c>
      <c r="BE142">
        <f>IFERROR(VLOOKUP($B142, duel!$BO:$BP, 2, FALSE), 0)</f>
        <v>0</v>
      </c>
      <c r="BF142">
        <f>IFERROR(VLOOKUP($B142, blitz!$BO:$BP, 2, FALSE), 0)</f>
        <v>0</v>
      </c>
      <c r="BG142" t="b">
        <f t="shared" si="66"/>
        <v>1</v>
      </c>
      <c r="BH142" t="str">
        <f>IFERROR(VLOOKUP($B142, aegis!$BT:$BU, 2, FALSE), 0)</f>
        <v>14</v>
      </c>
      <c r="BI142" t="str">
        <f>IFERROR(VLOOKUP($B142, duel!$BT:$BU, 2, FALSE), 0)</f>
        <v>14</v>
      </c>
      <c r="BJ142" t="str">
        <f>IFERROR(VLOOKUP($B142, blitz!$BT:$BU, 2, FALSE), 0)</f>
        <v>14</v>
      </c>
      <c r="BK142" t="b">
        <f t="shared" si="67"/>
        <v>1</v>
      </c>
      <c r="BL142" t="str">
        <f>IFERROR(VLOOKUP($B142, aegis!$BY:$BZ, 2, FALSE), 0)</f>
        <v>1</v>
      </c>
      <c r="BM142" t="str">
        <f>IFERROR(VLOOKUP($B142, duel!$BY:$BZ, 2, FALSE), 0)</f>
        <v>1</v>
      </c>
      <c r="BN142" t="str">
        <f>IFERROR(VLOOKUP($B142, blitz!$BY:$BZ, 2, FALSE), 0)</f>
        <v>1</v>
      </c>
      <c r="BO142" t="b">
        <f t="shared" si="68"/>
        <v>1</v>
      </c>
      <c r="BP142" t="str">
        <f>IFERROR(VLOOKUP($B142, aegis!$CD:$CE, 2, FALSE), 0)</f>
        <v>3</v>
      </c>
      <c r="BQ142" t="str">
        <f>IFERROR(VLOOKUP($B142, duel!$CD:$CE, 2, FALSE), 0)</f>
        <v>3</v>
      </c>
      <c r="BR142" t="str">
        <f>IFERROR(VLOOKUP($B142, blitz!$CD:$CE, 2, FALSE), 0)</f>
        <v>3</v>
      </c>
      <c r="BS142" t="b">
        <f t="shared" si="69"/>
        <v>1</v>
      </c>
      <c r="BT142">
        <f>IFERROR(VLOOKUP($B142, aegis!$CI:$CJ, 2, FALSE), 0)</f>
        <v>0</v>
      </c>
      <c r="BU142">
        <f>IFERROR(VLOOKUP($B142, duel!$CI:$CJ, 2, FALSE), 0)</f>
        <v>0</v>
      </c>
      <c r="BV142">
        <f>IFERROR(VLOOKUP($B142, blitz!$CI:$CJ, 2, FALSE), 0)</f>
        <v>0</v>
      </c>
      <c r="BW142" t="b">
        <f t="shared" si="70"/>
        <v>1</v>
      </c>
      <c r="BX142">
        <f>IFERROR(VLOOKUP($B142, aegis!$CN:$CO, 2, FALSE), 0)</f>
        <v>0</v>
      </c>
      <c r="BY142">
        <f>IFERROR(VLOOKUP($B142, duel!$CN:$CO, 2, FALSE), 0)</f>
        <v>0</v>
      </c>
      <c r="BZ142">
        <f>IFERROR(VLOOKUP($B142, blitz!$CN:$CO, 2, FALSE), 0)</f>
        <v>0</v>
      </c>
      <c r="CA142" t="b">
        <f t="shared" si="71"/>
        <v>1</v>
      </c>
      <c r="CB142">
        <f>IFERROR(VLOOKUP($B142, aegis!$CS:$CT, 2, FALSE), 0)</f>
        <v>0</v>
      </c>
      <c r="CC142">
        <f>IFERROR(VLOOKUP($B142, duel!$CS:$CT, 2, FALSE), 0)</f>
        <v>0</v>
      </c>
      <c r="CD142">
        <f>IFERROR(VLOOKUP($B142, blitz!$CS:$CT, 2, FALSE), 0)</f>
        <v>0</v>
      </c>
      <c r="CE142" t="b">
        <f t="shared" si="72"/>
        <v>1</v>
      </c>
      <c r="CF142" t="str">
        <f>IFERROR(VLOOKUP($B142, aegis!$CX:$CY, 2, FALSE), 0)</f>
        <v>51</v>
      </c>
      <c r="CG142" t="str">
        <f>IFERROR(VLOOKUP($B142, duel!$CX:$CY, 2, FALSE), 0)</f>
        <v>51</v>
      </c>
      <c r="CH142" t="str">
        <f>IFERROR(VLOOKUP($B142, blitz!$CX:$CY, 2, FALSE), 0)</f>
        <v>52</v>
      </c>
      <c r="CI142" t="b">
        <f t="shared" si="73"/>
        <v>0</v>
      </c>
      <c r="CJ142" t="str">
        <f>IFERROR(VLOOKUP($B142, aegis!$DC:$DD, 2, FALSE), 0)</f>
        <v>1</v>
      </c>
      <c r="CK142" t="str">
        <f>IFERROR(VLOOKUP($B142, duel!$DC:$DD, 2, FALSE), 0)</f>
        <v>1</v>
      </c>
      <c r="CL142" t="str">
        <f>IFERROR(VLOOKUP($B142, blitz!$DC:$DD, 2, FALSE), 0)</f>
        <v>1</v>
      </c>
      <c r="CM142" t="b">
        <f t="shared" si="74"/>
        <v>1</v>
      </c>
      <c r="CN142" t="str">
        <f>IFERROR(VLOOKUP($B142, aegis!$DH:$DI, 2, FALSE), 0)</f>
        <v>10</v>
      </c>
      <c r="CO142" t="str">
        <f>IFERROR(VLOOKUP($B142, duel!$DH:$DI, 2, FALSE), 0)</f>
        <v>10</v>
      </c>
      <c r="CP142" s="13">
        <f>IFERROR(VLOOKUP($B142, blitz!$DH:$DI, 2, FALSE), 0)</f>
        <v>0</v>
      </c>
      <c r="CQ142" t="b">
        <f t="shared" si="75"/>
        <v>1</v>
      </c>
      <c r="CR142" t="str">
        <f>IFERROR(VLOOKUP($B142, aegis!$DM:$DN, 2, FALSE), 0)</f>
        <v>1</v>
      </c>
      <c r="CS142" t="str">
        <f>IFERROR(VLOOKUP($B142, duel!$DM:$DN, 2, FALSE), 0)</f>
        <v>1</v>
      </c>
      <c r="CT142" t="str">
        <f>IFERROR(VLOOKUP($B142, blitz!$DM:$DN, 2, FALSE), 0)</f>
        <v>1</v>
      </c>
      <c r="CU142" t="b">
        <f t="shared" si="76"/>
        <v>1</v>
      </c>
      <c r="CV142" t="str">
        <f>IFERROR(VLOOKUP($B142, aegis!$DR:$DS, 2, FALSE), 0)</f>
        <v>12</v>
      </c>
      <c r="CW142" t="str">
        <f>IFERROR(VLOOKUP($B142, duel!$DR:$DS, 2, FALSE), 0)</f>
        <v>12</v>
      </c>
      <c r="CX142" t="str">
        <f>IFERROR(VLOOKUP($B142, blitz!$DR:$DS, 2, FALSE), 0)</f>
        <v>12</v>
      </c>
      <c r="CY142" t="b">
        <f t="shared" si="77"/>
        <v>1</v>
      </c>
    </row>
    <row r="143" spans="1:103">
      <c r="B143" s="6" t="s">
        <v>263</v>
      </c>
      <c r="C143" s="5" t="b">
        <f t="shared" si="52"/>
        <v>0</v>
      </c>
      <c r="D143" t="str">
        <f>IFERROR(VLOOKUP($B143, aegis!$B:$C, 2, FALSE), 0)</f>
        <v>24</v>
      </c>
      <c r="E143" t="str">
        <f>IFERROR(VLOOKUP($B143, duel!$B:$C, 2, FALSE), 0)</f>
        <v>24</v>
      </c>
      <c r="F143" t="str">
        <f>IFERROR(VLOOKUP($B143, blitz!$B:$C, 2, FALSE), 0)</f>
        <v>24</v>
      </c>
      <c r="G143" t="b">
        <f t="shared" si="53"/>
        <v>1</v>
      </c>
      <c r="H143" t="str">
        <f>IFERROR(VLOOKUP($B143, aegis!$G:$H, 2, FALSE), 0)</f>
        <v>14</v>
      </c>
      <c r="I143" t="str">
        <f>IFERROR(VLOOKUP($B143, duel!$G:$H, 2, FALSE), 0)</f>
        <v>14</v>
      </c>
      <c r="J143" t="str">
        <f>IFERROR(VLOOKUP($B143, blitz!$G:$H, 2, FALSE), 0)</f>
        <v>14</v>
      </c>
      <c r="K143" t="b">
        <f t="shared" si="54"/>
        <v>1</v>
      </c>
      <c r="L143" t="str">
        <f>IFERROR(VLOOKUP($B143, aegis!$L:$M, 2, FALSE), 0)</f>
        <v>24</v>
      </c>
      <c r="M143" t="str">
        <f>IFERROR(VLOOKUP($B143, duel!$L:$M, 2, FALSE), 0)</f>
        <v>24</v>
      </c>
      <c r="N143" t="str">
        <f>IFERROR(VLOOKUP($B143, blitz!$L:$M, 2, FALSE), 0)</f>
        <v>24</v>
      </c>
      <c r="O143" t="b">
        <f t="shared" si="55"/>
        <v>1</v>
      </c>
      <c r="P143" t="str">
        <f>IFERROR(VLOOKUP($B143, aegis!$Q:$R, 2, FALSE), 0)</f>
        <v>14</v>
      </c>
      <c r="Q143" t="str">
        <f>IFERROR(VLOOKUP($B143, duel!$Q:$R, 2, FALSE), 0)</f>
        <v>14</v>
      </c>
      <c r="R143" t="str">
        <f>IFERROR(VLOOKUP($B143, blitz!$Q:$R, 2, FALSE), 0)</f>
        <v>14</v>
      </c>
      <c r="S143" t="b">
        <f t="shared" si="56"/>
        <v>1</v>
      </c>
      <c r="T143">
        <f>IFERROR(VLOOKUP($B143, aegis!$V:$W, 2, FALSE), 0)</f>
        <v>0</v>
      </c>
      <c r="U143">
        <f>IFERROR(VLOOKUP($B143, duel!$V:$W, 2, FALSE), 0)</f>
        <v>0</v>
      </c>
      <c r="V143">
        <f>IFERROR(VLOOKUP($B143, blitz!$V:$W, 2, FALSE), 0)</f>
        <v>0</v>
      </c>
      <c r="W143" t="b">
        <f t="shared" si="57"/>
        <v>1</v>
      </c>
      <c r="X143" t="str">
        <f>IFERROR(VLOOKUP($B143, aegis!$AA:$AB, 2, FALSE), 0)</f>
        <v>2</v>
      </c>
      <c r="Y143" t="str">
        <f>IFERROR(VLOOKUP($B143, duel!$AA:$AB, 2, FALSE), 0)</f>
        <v>2</v>
      </c>
      <c r="Z143" t="str">
        <f>IFERROR(VLOOKUP($B143, blitz!$AA:$AB, 2, FALSE), 0)</f>
        <v>2</v>
      </c>
      <c r="AA143" t="b">
        <f t="shared" si="58"/>
        <v>1</v>
      </c>
      <c r="AB143" t="str">
        <f>IFERROR(VLOOKUP($B143, aegis!$AF:$AG, 2, FALSE), 0)</f>
        <v>12</v>
      </c>
      <c r="AC143" t="str">
        <f>IFERROR(VLOOKUP($B143, duel!$AF:$AG, 2, FALSE), 0)</f>
        <v>12</v>
      </c>
      <c r="AD143" t="str">
        <f>IFERROR(VLOOKUP($B143, blitz!$AF:$AG, 2, FALSE), 0)</f>
        <v>12</v>
      </c>
      <c r="AE143" t="b">
        <f t="shared" si="59"/>
        <v>1</v>
      </c>
      <c r="AF143" t="str">
        <f>IFERROR(VLOOKUP($B143, aegis!$AK:$AL, 2, FALSE), 0)</f>
        <v>3</v>
      </c>
      <c r="AG143" t="str">
        <f>IFERROR(VLOOKUP($B143, duel!$AK:$AL, 2, FALSE), 0)</f>
        <v>1</v>
      </c>
      <c r="AH143" t="str">
        <f>IFERROR(VLOOKUP($B143, blitz!$AK:$AL, 2, FALSE), 0)</f>
        <v>1</v>
      </c>
      <c r="AI143" t="b">
        <f t="shared" si="60"/>
        <v>0</v>
      </c>
      <c r="AJ143" t="str">
        <f>IFERROR(VLOOKUP($B143, aegis!$AP:$AQ, 2, FALSE), 0)</f>
        <v>1</v>
      </c>
      <c r="AK143" t="str">
        <f>IFERROR(VLOOKUP($B143, duel!$AP:$AQ, 2, FALSE), 0)</f>
        <v>1</v>
      </c>
      <c r="AL143" t="str">
        <f>IFERROR(VLOOKUP($B143, blitz!$AP:$AQ, 2, FALSE), 0)</f>
        <v>1</v>
      </c>
      <c r="AM143" t="b">
        <f t="shared" si="61"/>
        <v>1</v>
      </c>
      <c r="AN143">
        <f>IFERROR(VLOOKUP($B143, aegis!$AU:$AV, 2, FALSE), 0)</f>
        <v>0</v>
      </c>
      <c r="AO143">
        <f>IFERROR(VLOOKUP($B143, duel!$AU:$AV, 2, FALSE), 0)</f>
        <v>0</v>
      </c>
      <c r="AP143">
        <f>IFERROR(VLOOKUP($B143, blitz!$AU:$AV, 2, FALSE), 0)</f>
        <v>0</v>
      </c>
      <c r="AQ143" t="b">
        <f t="shared" si="62"/>
        <v>1</v>
      </c>
      <c r="AR143" t="str">
        <f>IFERROR(VLOOKUP($B143, aegis!$AZ:$BA, 2, FALSE), 0)</f>
        <v>2</v>
      </c>
      <c r="AS143" t="str">
        <f>IFERROR(VLOOKUP($B143, duel!$AZ:$BA, 2, FALSE), 0)</f>
        <v>2</v>
      </c>
      <c r="AT143" t="str">
        <f>IFERROR(VLOOKUP($B143, blitz!$AZ:$BA, 2, FALSE), 0)</f>
        <v>2</v>
      </c>
      <c r="AU143" t="b">
        <f t="shared" si="63"/>
        <v>1</v>
      </c>
      <c r="AV143" t="str">
        <f>IFERROR(VLOOKUP($B143, aegis!$BE:$BF, 2, FALSE), 0)</f>
        <v>1</v>
      </c>
      <c r="AW143" t="str">
        <f>IFERROR(VLOOKUP($B143, duel!$BE:$BF, 2, FALSE), 0)</f>
        <v>1</v>
      </c>
      <c r="AX143" t="str">
        <f>IFERROR(VLOOKUP($B143, blitz!$BE:$BF, 2, FALSE), 0)</f>
        <v>1</v>
      </c>
      <c r="AY143" t="b">
        <f t="shared" si="64"/>
        <v>1</v>
      </c>
      <c r="AZ143" t="str">
        <f>IFERROR(VLOOKUP($B143, aegis!$BJ:$BK, 2, FALSE), 0)</f>
        <v>1</v>
      </c>
      <c r="BA143" t="str">
        <f>IFERROR(VLOOKUP($B143, duel!$BJ:$BK, 2, FALSE), 0)</f>
        <v>1</v>
      </c>
      <c r="BB143" t="str">
        <f>IFERROR(VLOOKUP($B143, blitz!$BJ:$BK, 2, FALSE), 0)</f>
        <v>1</v>
      </c>
      <c r="BC143" t="b">
        <f t="shared" si="65"/>
        <v>1</v>
      </c>
      <c r="BD143">
        <f>IFERROR(VLOOKUP($B143, aegis!$BO:$BP, 2, FALSE), 0)</f>
        <v>0</v>
      </c>
      <c r="BE143">
        <f>IFERROR(VLOOKUP($B143, duel!$BO:$BP, 2, FALSE), 0)</f>
        <v>0</v>
      </c>
      <c r="BF143">
        <f>IFERROR(VLOOKUP($B143, blitz!$BO:$BP, 2, FALSE), 0)</f>
        <v>0</v>
      </c>
      <c r="BG143" t="b">
        <f t="shared" si="66"/>
        <v>1</v>
      </c>
      <c r="BH143" t="str">
        <f>IFERROR(VLOOKUP($B143, aegis!$BT:$BU, 2, FALSE), 0)</f>
        <v>8</v>
      </c>
      <c r="BI143" t="str">
        <f>IFERROR(VLOOKUP($B143, duel!$BT:$BU, 2, FALSE), 0)</f>
        <v>8</v>
      </c>
      <c r="BJ143" t="str">
        <f>IFERROR(VLOOKUP($B143, blitz!$BT:$BU, 2, FALSE), 0)</f>
        <v>8</v>
      </c>
      <c r="BK143" t="b">
        <f t="shared" si="67"/>
        <v>1</v>
      </c>
      <c r="BL143" t="str">
        <f>IFERROR(VLOOKUP($B143, aegis!$BY:$BZ, 2, FALSE), 0)</f>
        <v>1</v>
      </c>
      <c r="BM143" t="str">
        <f>IFERROR(VLOOKUP($B143, duel!$BY:$BZ, 2, FALSE), 0)</f>
        <v>1</v>
      </c>
      <c r="BN143" t="str">
        <f>IFERROR(VLOOKUP($B143, blitz!$BY:$BZ, 2, FALSE), 0)</f>
        <v>1</v>
      </c>
      <c r="BO143" t="b">
        <f t="shared" si="68"/>
        <v>1</v>
      </c>
      <c r="BP143" t="str">
        <f>IFERROR(VLOOKUP($B143, aegis!$CD:$CE, 2, FALSE), 0)</f>
        <v>3</v>
      </c>
      <c r="BQ143" t="str">
        <f>IFERROR(VLOOKUP($B143, duel!$CD:$CE, 2, FALSE), 0)</f>
        <v>3</v>
      </c>
      <c r="BR143" t="str">
        <f>IFERROR(VLOOKUP($B143, blitz!$CD:$CE, 2, FALSE), 0)</f>
        <v>3</v>
      </c>
      <c r="BS143" t="b">
        <f t="shared" si="69"/>
        <v>1</v>
      </c>
      <c r="BT143">
        <f>IFERROR(VLOOKUP($B143, aegis!$CI:$CJ, 2, FALSE), 0)</f>
        <v>0</v>
      </c>
      <c r="BU143">
        <f>IFERROR(VLOOKUP($B143, duel!$CI:$CJ, 2, FALSE), 0)</f>
        <v>0</v>
      </c>
      <c r="BV143">
        <f>IFERROR(VLOOKUP($B143, blitz!$CI:$CJ, 2, FALSE), 0)</f>
        <v>0</v>
      </c>
      <c r="BW143" t="b">
        <f t="shared" si="70"/>
        <v>1</v>
      </c>
      <c r="BX143">
        <f>IFERROR(VLOOKUP($B143, aegis!$CN:$CO, 2, FALSE), 0)</f>
        <v>0</v>
      </c>
      <c r="BY143">
        <f>IFERROR(VLOOKUP($B143, duel!$CN:$CO, 2, FALSE), 0)</f>
        <v>0</v>
      </c>
      <c r="BZ143">
        <f>IFERROR(VLOOKUP($B143, blitz!$CN:$CO, 2, FALSE), 0)</f>
        <v>0</v>
      </c>
      <c r="CA143" t="b">
        <f t="shared" si="71"/>
        <v>1</v>
      </c>
      <c r="CB143">
        <f>IFERROR(VLOOKUP($B143, aegis!$CS:$CT, 2, FALSE), 0)</f>
        <v>0</v>
      </c>
      <c r="CC143">
        <f>IFERROR(VLOOKUP($B143, duel!$CS:$CT, 2, FALSE), 0)</f>
        <v>0</v>
      </c>
      <c r="CD143">
        <f>IFERROR(VLOOKUP($B143, blitz!$CS:$CT, 2, FALSE), 0)</f>
        <v>0</v>
      </c>
      <c r="CE143" t="b">
        <f t="shared" si="72"/>
        <v>1</v>
      </c>
      <c r="CF143" t="str">
        <f>IFERROR(VLOOKUP($B143, aegis!$CX:$CY, 2, FALSE), 0)</f>
        <v>24</v>
      </c>
      <c r="CG143" t="str">
        <f>IFERROR(VLOOKUP($B143, duel!$CX:$CY, 2, FALSE), 0)</f>
        <v>24</v>
      </c>
      <c r="CH143" t="str">
        <f>IFERROR(VLOOKUP($B143, blitz!$CX:$CY, 2, FALSE), 0)</f>
        <v>24</v>
      </c>
      <c r="CI143" t="b">
        <f t="shared" si="73"/>
        <v>1</v>
      </c>
      <c r="CJ143" t="str">
        <f>IFERROR(VLOOKUP($B143, aegis!$DC:$DD, 2, FALSE), 0)</f>
        <v>1</v>
      </c>
      <c r="CK143" t="str">
        <f>IFERROR(VLOOKUP($B143, duel!$DC:$DD, 2, FALSE), 0)</f>
        <v>1</v>
      </c>
      <c r="CL143" t="str">
        <f>IFERROR(VLOOKUP($B143, blitz!$DC:$DD, 2, FALSE), 0)</f>
        <v>1</v>
      </c>
      <c r="CM143" t="b">
        <f t="shared" si="74"/>
        <v>1</v>
      </c>
      <c r="CN143" t="str">
        <f>IFERROR(VLOOKUP($B143, aegis!$DH:$DI, 2, FALSE), 0)</f>
        <v>1</v>
      </c>
      <c r="CO143" t="str">
        <f>IFERROR(VLOOKUP($B143, duel!$DH:$DI, 2, FALSE), 0)</f>
        <v>1</v>
      </c>
      <c r="CP143" s="13">
        <f>IFERROR(VLOOKUP($B143, blitz!$DH:$DI, 2, FALSE), 0)</f>
        <v>0</v>
      </c>
      <c r="CQ143" t="b">
        <f t="shared" si="75"/>
        <v>1</v>
      </c>
      <c r="CR143" t="str">
        <f>IFERROR(VLOOKUP($B143, aegis!$DM:$DN, 2, FALSE), 0)</f>
        <v>1</v>
      </c>
      <c r="CS143" t="str">
        <f>IFERROR(VLOOKUP($B143, duel!$DM:$DN, 2, FALSE), 0)</f>
        <v>1</v>
      </c>
      <c r="CT143" t="str">
        <f>IFERROR(VLOOKUP($B143, blitz!$DM:$DN, 2, FALSE), 0)</f>
        <v>1</v>
      </c>
      <c r="CU143" t="b">
        <f t="shared" si="76"/>
        <v>1</v>
      </c>
      <c r="CV143" t="str">
        <f>IFERROR(VLOOKUP($B143, aegis!$DR:$DS, 2, FALSE), 0)</f>
        <v>12</v>
      </c>
      <c r="CW143" t="str">
        <f>IFERROR(VLOOKUP($B143, duel!$DR:$DS, 2, FALSE), 0)</f>
        <v>12</v>
      </c>
      <c r="CX143" t="str">
        <f>IFERROR(VLOOKUP($B143, blitz!$DR:$DS, 2, FALSE), 0)</f>
        <v>12</v>
      </c>
      <c r="CY143" t="b">
        <f t="shared" si="77"/>
        <v>1</v>
      </c>
    </row>
    <row r="144" spans="1:103">
      <c r="B144" s="6" t="s">
        <v>265</v>
      </c>
      <c r="C144" s="5" t="b">
        <f t="shared" si="52"/>
        <v>0</v>
      </c>
      <c r="D144" t="str">
        <f>IFERROR(VLOOKUP($B144, aegis!$B:$C, 2, FALSE), 0)</f>
        <v>24</v>
      </c>
      <c r="E144" t="str">
        <f>IFERROR(VLOOKUP($B144, duel!$B:$C, 2, FALSE), 0)</f>
        <v>24</v>
      </c>
      <c r="F144" t="str">
        <f>IFERROR(VLOOKUP($B144, blitz!$B:$C, 2, FALSE), 0)</f>
        <v>24</v>
      </c>
      <c r="G144" t="b">
        <f t="shared" si="53"/>
        <v>1</v>
      </c>
      <c r="H144" t="str">
        <f>IFERROR(VLOOKUP($B144, aegis!$G:$H, 2, FALSE), 0)</f>
        <v>14</v>
      </c>
      <c r="I144" t="str">
        <f>IFERROR(VLOOKUP($B144, duel!$G:$H, 2, FALSE), 0)</f>
        <v>14</v>
      </c>
      <c r="J144" t="str">
        <f>IFERROR(VLOOKUP($B144, blitz!$G:$H, 2, FALSE), 0)</f>
        <v>14</v>
      </c>
      <c r="K144" t="b">
        <f t="shared" si="54"/>
        <v>1</v>
      </c>
      <c r="L144" t="str">
        <f>IFERROR(VLOOKUP($B144, aegis!$L:$M, 2, FALSE), 0)</f>
        <v>24</v>
      </c>
      <c r="M144" t="str">
        <f>IFERROR(VLOOKUP($B144, duel!$L:$M, 2, FALSE), 0)</f>
        <v>24</v>
      </c>
      <c r="N144" t="str">
        <f>IFERROR(VLOOKUP($B144, blitz!$L:$M, 2, FALSE), 0)</f>
        <v>24</v>
      </c>
      <c r="O144" t="b">
        <f t="shared" si="55"/>
        <v>1</v>
      </c>
      <c r="P144" t="str">
        <f>IFERROR(VLOOKUP($B144, aegis!$Q:$R, 2, FALSE), 0)</f>
        <v>14</v>
      </c>
      <c r="Q144" t="str">
        <f>IFERROR(VLOOKUP($B144, duel!$Q:$R, 2, FALSE), 0)</f>
        <v>14</v>
      </c>
      <c r="R144" t="str">
        <f>IFERROR(VLOOKUP($B144, blitz!$Q:$R, 2, FALSE), 0)</f>
        <v>14</v>
      </c>
      <c r="S144" t="b">
        <f t="shared" si="56"/>
        <v>1</v>
      </c>
      <c r="T144">
        <f>IFERROR(VLOOKUP($B144, aegis!$V:$W, 2, FALSE), 0)</f>
        <v>0</v>
      </c>
      <c r="U144">
        <f>IFERROR(VLOOKUP($B144, duel!$V:$W, 2, FALSE), 0)</f>
        <v>0</v>
      </c>
      <c r="V144">
        <f>IFERROR(VLOOKUP($B144, blitz!$V:$W, 2, FALSE), 0)</f>
        <v>0</v>
      </c>
      <c r="W144" t="b">
        <f t="shared" si="57"/>
        <v>1</v>
      </c>
      <c r="X144" t="str">
        <f>IFERROR(VLOOKUP($B144, aegis!$AA:$AB, 2, FALSE), 0)</f>
        <v>2</v>
      </c>
      <c r="Y144" t="str">
        <f>IFERROR(VLOOKUP($B144, duel!$AA:$AB, 2, FALSE), 0)</f>
        <v>2</v>
      </c>
      <c r="Z144" t="str">
        <f>IFERROR(VLOOKUP($B144, blitz!$AA:$AB, 2, FALSE), 0)</f>
        <v>2</v>
      </c>
      <c r="AA144" t="b">
        <f t="shared" si="58"/>
        <v>1</v>
      </c>
      <c r="AB144">
        <f>IFERROR(VLOOKUP($B144, aegis!$AF:$AG, 2, FALSE), 0)</f>
        <v>0</v>
      </c>
      <c r="AC144">
        <f>IFERROR(VLOOKUP($B144, duel!$AF:$AG, 2, FALSE), 0)</f>
        <v>0</v>
      </c>
      <c r="AD144">
        <f>IFERROR(VLOOKUP($B144, blitz!$AF:$AG, 2, FALSE), 0)</f>
        <v>0</v>
      </c>
      <c r="AE144" t="b">
        <f t="shared" si="59"/>
        <v>1</v>
      </c>
      <c r="AF144" t="str">
        <f>IFERROR(VLOOKUP($B144, aegis!$AK:$AL, 2, FALSE), 0)</f>
        <v>3</v>
      </c>
      <c r="AG144" t="str">
        <f>IFERROR(VLOOKUP($B144, duel!$AK:$AL, 2, FALSE), 0)</f>
        <v>1</v>
      </c>
      <c r="AH144" t="str">
        <f>IFERROR(VLOOKUP($B144, blitz!$AK:$AL, 2, FALSE), 0)</f>
        <v>1</v>
      </c>
      <c r="AI144" t="b">
        <f t="shared" si="60"/>
        <v>0</v>
      </c>
      <c r="AJ144" t="str">
        <f>IFERROR(VLOOKUP($B144, aegis!$AP:$AQ, 2, FALSE), 0)</f>
        <v>1</v>
      </c>
      <c r="AK144" t="str">
        <f>IFERROR(VLOOKUP($B144, duel!$AP:$AQ, 2, FALSE), 0)</f>
        <v>1</v>
      </c>
      <c r="AL144" t="str">
        <f>IFERROR(VLOOKUP($B144, blitz!$AP:$AQ, 2, FALSE), 0)</f>
        <v>1</v>
      </c>
      <c r="AM144" t="b">
        <f t="shared" si="61"/>
        <v>1</v>
      </c>
      <c r="AN144">
        <f>IFERROR(VLOOKUP($B144, aegis!$AU:$AV, 2, FALSE), 0)</f>
        <v>0</v>
      </c>
      <c r="AO144">
        <f>IFERROR(VLOOKUP($B144, duel!$AU:$AV, 2, FALSE), 0)</f>
        <v>0</v>
      </c>
      <c r="AP144">
        <f>IFERROR(VLOOKUP($B144, blitz!$AU:$AV, 2, FALSE), 0)</f>
        <v>0</v>
      </c>
      <c r="AQ144" t="b">
        <f t="shared" si="62"/>
        <v>1</v>
      </c>
      <c r="AR144" t="str">
        <f>IFERROR(VLOOKUP($B144, aegis!$AZ:$BA, 2, FALSE), 0)</f>
        <v>2</v>
      </c>
      <c r="AS144" t="str">
        <f>IFERROR(VLOOKUP($B144, duel!$AZ:$BA, 2, FALSE), 0)</f>
        <v>2</v>
      </c>
      <c r="AT144" t="str">
        <f>IFERROR(VLOOKUP($B144, blitz!$AZ:$BA, 2, FALSE), 0)</f>
        <v>2</v>
      </c>
      <c r="AU144" t="b">
        <f t="shared" si="63"/>
        <v>1</v>
      </c>
      <c r="AV144" t="str">
        <f>IFERROR(VLOOKUP($B144, aegis!$BE:$BF, 2, FALSE), 0)</f>
        <v>1</v>
      </c>
      <c r="AW144" t="str">
        <f>IFERROR(VLOOKUP($B144, duel!$BE:$BF, 2, FALSE), 0)</f>
        <v>1</v>
      </c>
      <c r="AX144" t="str">
        <f>IFERROR(VLOOKUP($B144, blitz!$BE:$BF, 2, FALSE), 0)</f>
        <v>1</v>
      </c>
      <c r="AY144" t="b">
        <f t="shared" si="64"/>
        <v>1</v>
      </c>
      <c r="AZ144" t="str">
        <f>IFERROR(VLOOKUP($B144, aegis!$BJ:$BK, 2, FALSE), 0)</f>
        <v>1</v>
      </c>
      <c r="BA144" t="str">
        <f>IFERROR(VLOOKUP($B144, duel!$BJ:$BK, 2, FALSE), 0)</f>
        <v>1</v>
      </c>
      <c r="BB144" t="str">
        <f>IFERROR(VLOOKUP($B144, blitz!$BJ:$BK, 2, FALSE), 0)</f>
        <v>1</v>
      </c>
      <c r="BC144" t="b">
        <f t="shared" si="65"/>
        <v>1</v>
      </c>
      <c r="BD144">
        <f>IFERROR(VLOOKUP($B144, aegis!$BO:$BP, 2, FALSE), 0)</f>
        <v>0</v>
      </c>
      <c r="BE144">
        <f>IFERROR(VLOOKUP($B144, duel!$BO:$BP, 2, FALSE), 0)</f>
        <v>0</v>
      </c>
      <c r="BF144">
        <f>IFERROR(VLOOKUP($B144, blitz!$BO:$BP, 2, FALSE), 0)</f>
        <v>0</v>
      </c>
      <c r="BG144" t="b">
        <f t="shared" si="66"/>
        <v>1</v>
      </c>
      <c r="BH144">
        <f>IFERROR(VLOOKUP($B144, aegis!$BT:$BU, 2, FALSE), 0)</f>
        <v>0</v>
      </c>
      <c r="BI144">
        <f>IFERROR(VLOOKUP($B144, duel!$BT:$BU, 2, FALSE), 0)</f>
        <v>0</v>
      </c>
      <c r="BJ144">
        <f>IFERROR(VLOOKUP($B144, blitz!$BT:$BU, 2, FALSE), 0)</f>
        <v>0</v>
      </c>
      <c r="BK144" t="b">
        <f t="shared" si="67"/>
        <v>1</v>
      </c>
      <c r="BL144" t="str">
        <f>IFERROR(VLOOKUP($B144, aegis!$BY:$BZ, 2, FALSE), 0)</f>
        <v>1</v>
      </c>
      <c r="BM144" t="str">
        <f>IFERROR(VLOOKUP($B144, duel!$BY:$BZ, 2, FALSE), 0)</f>
        <v>1</v>
      </c>
      <c r="BN144" t="str">
        <f>IFERROR(VLOOKUP($B144, blitz!$BY:$BZ, 2, FALSE), 0)</f>
        <v>1</v>
      </c>
      <c r="BO144" t="b">
        <f t="shared" si="68"/>
        <v>1</v>
      </c>
      <c r="BP144" t="str">
        <f>IFERROR(VLOOKUP($B144, aegis!$CD:$CE, 2, FALSE), 0)</f>
        <v>1</v>
      </c>
      <c r="BQ144" t="str">
        <f>IFERROR(VLOOKUP($B144, duel!$CD:$CE, 2, FALSE), 0)</f>
        <v>1</v>
      </c>
      <c r="BR144" t="str">
        <f>IFERROR(VLOOKUP($B144, blitz!$CD:$CE, 2, FALSE), 0)</f>
        <v>1</v>
      </c>
      <c r="BS144" t="b">
        <f t="shared" si="69"/>
        <v>1</v>
      </c>
      <c r="BT144">
        <f>IFERROR(VLOOKUP($B144, aegis!$CI:$CJ, 2, FALSE), 0)</f>
        <v>0</v>
      </c>
      <c r="BU144">
        <f>IFERROR(VLOOKUP($B144, duel!$CI:$CJ, 2, FALSE), 0)</f>
        <v>0</v>
      </c>
      <c r="BV144">
        <f>IFERROR(VLOOKUP($B144, blitz!$CI:$CJ, 2, FALSE), 0)</f>
        <v>0</v>
      </c>
      <c r="BW144" t="b">
        <f t="shared" si="70"/>
        <v>1</v>
      </c>
      <c r="BX144">
        <f>IFERROR(VLOOKUP($B144, aegis!$CN:$CO, 2, FALSE), 0)</f>
        <v>0</v>
      </c>
      <c r="BY144">
        <f>IFERROR(VLOOKUP($B144, duel!$CN:$CO, 2, FALSE), 0)</f>
        <v>0</v>
      </c>
      <c r="BZ144">
        <f>IFERROR(VLOOKUP($B144, blitz!$CN:$CO, 2, FALSE), 0)</f>
        <v>0</v>
      </c>
      <c r="CA144" t="b">
        <f t="shared" si="71"/>
        <v>1</v>
      </c>
      <c r="CB144">
        <f>IFERROR(VLOOKUP($B144, aegis!$CS:$CT, 2, FALSE), 0)</f>
        <v>0</v>
      </c>
      <c r="CC144">
        <f>IFERROR(VLOOKUP($B144, duel!$CS:$CT, 2, FALSE), 0)</f>
        <v>0</v>
      </c>
      <c r="CD144">
        <f>IFERROR(VLOOKUP($B144, blitz!$CS:$CT, 2, FALSE), 0)</f>
        <v>0</v>
      </c>
      <c r="CE144" t="b">
        <f t="shared" si="72"/>
        <v>1</v>
      </c>
      <c r="CF144">
        <f>IFERROR(VLOOKUP($B144, aegis!$CX:$CY, 2, FALSE), 0)</f>
        <v>0</v>
      </c>
      <c r="CG144">
        <f>IFERROR(VLOOKUP($B144, duel!$CX:$CY, 2, FALSE), 0)</f>
        <v>0</v>
      </c>
      <c r="CH144">
        <f>IFERROR(VLOOKUP($B144, blitz!$CX:$CY, 2, FALSE), 0)</f>
        <v>0</v>
      </c>
      <c r="CI144" t="b">
        <f t="shared" si="73"/>
        <v>1</v>
      </c>
      <c r="CJ144" t="str">
        <f>IFERROR(VLOOKUP($B144, aegis!$DC:$DD, 2, FALSE), 0)</f>
        <v>1</v>
      </c>
      <c r="CK144" t="str">
        <f>IFERROR(VLOOKUP($B144, duel!$DC:$DD, 2, FALSE), 0)</f>
        <v>1</v>
      </c>
      <c r="CL144" t="str">
        <f>IFERROR(VLOOKUP($B144, blitz!$DC:$DD, 2, FALSE), 0)</f>
        <v>1</v>
      </c>
      <c r="CM144" t="b">
        <f t="shared" si="74"/>
        <v>1</v>
      </c>
      <c r="CN144" t="str">
        <f>IFERROR(VLOOKUP($B144, aegis!$DH:$DI, 2, FALSE), 0)</f>
        <v>1</v>
      </c>
      <c r="CO144" t="str">
        <f>IFERROR(VLOOKUP($B144, duel!$DH:$DI, 2, FALSE), 0)</f>
        <v>1</v>
      </c>
      <c r="CP144" s="13">
        <f>IFERROR(VLOOKUP($B144, blitz!$DH:$DI, 2, FALSE), 0)</f>
        <v>0</v>
      </c>
      <c r="CQ144" t="b">
        <f t="shared" si="75"/>
        <v>1</v>
      </c>
      <c r="CR144" t="str">
        <f>IFERROR(VLOOKUP($B144, aegis!$DM:$DN, 2, FALSE), 0)</f>
        <v>1</v>
      </c>
      <c r="CS144" t="str">
        <f>IFERROR(VLOOKUP($B144, duel!$DM:$DN, 2, FALSE), 0)</f>
        <v>1</v>
      </c>
      <c r="CT144" t="str">
        <f>IFERROR(VLOOKUP($B144, blitz!$DM:$DN, 2, FALSE), 0)</f>
        <v>1</v>
      </c>
      <c r="CU144" t="b">
        <f t="shared" si="76"/>
        <v>1</v>
      </c>
      <c r="CV144">
        <f>IFERROR(VLOOKUP($B144, aegis!$DR:$DS, 2, FALSE), 0)</f>
        <v>0</v>
      </c>
      <c r="CW144">
        <f>IFERROR(VLOOKUP($B144, duel!$DR:$DS, 2, FALSE), 0)</f>
        <v>0</v>
      </c>
      <c r="CX144">
        <f>IFERROR(VLOOKUP($B144, blitz!$DR:$DS, 2, FALSE), 0)</f>
        <v>0</v>
      </c>
      <c r="CY144" t="b">
        <f t="shared" si="77"/>
        <v>1</v>
      </c>
    </row>
    <row r="145" spans="2:103">
      <c r="B145" s="6" t="s">
        <v>267</v>
      </c>
      <c r="C145" s="5" t="b">
        <f t="shared" si="52"/>
        <v>0</v>
      </c>
      <c r="D145" t="str">
        <f>IFERROR(VLOOKUP($B145, aegis!$B:$C, 2, FALSE), 0)</f>
        <v>24</v>
      </c>
      <c r="E145" t="str">
        <f>IFERROR(VLOOKUP($B145, duel!$B:$C, 2, FALSE), 0)</f>
        <v>24</v>
      </c>
      <c r="F145" t="str">
        <f>IFERROR(VLOOKUP($B145, blitz!$B:$C, 2, FALSE), 0)</f>
        <v>24</v>
      </c>
      <c r="G145" t="b">
        <f t="shared" si="53"/>
        <v>1</v>
      </c>
      <c r="H145" t="str">
        <f>IFERROR(VLOOKUP($B145, aegis!$G:$H, 2, FALSE), 0)</f>
        <v>14</v>
      </c>
      <c r="I145" t="str">
        <f>IFERROR(VLOOKUP($B145, duel!$G:$H, 2, FALSE), 0)</f>
        <v>14</v>
      </c>
      <c r="J145" t="str">
        <f>IFERROR(VLOOKUP($B145, blitz!$G:$H, 2, FALSE), 0)</f>
        <v>14</v>
      </c>
      <c r="K145" t="b">
        <f t="shared" si="54"/>
        <v>1</v>
      </c>
      <c r="L145" t="str">
        <f>IFERROR(VLOOKUP($B145, aegis!$L:$M, 2, FALSE), 0)</f>
        <v>24</v>
      </c>
      <c r="M145" t="str">
        <f>IFERROR(VLOOKUP($B145, duel!$L:$M, 2, FALSE), 0)</f>
        <v>24</v>
      </c>
      <c r="N145" t="str">
        <f>IFERROR(VLOOKUP($B145, blitz!$L:$M, 2, FALSE), 0)</f>
        <v>24</v>
      </c>
      <c r="O145" t="b">
        <f t="shared" si="55"/>
        <v>1</v>
      </c>
      <c r="P145" t="str">
        <f>IFERROR(VLOOKUP($B145, aegis!$Q:$R, 2, FALSE), 0)</f>
        <v>14</v>
      </c>
      <c r="Q145" t="str">
        <f>IFERROR(VLOOKUP($B145, duel!$Q:$R, 2, FALSE), 0)</f>
        <v>14</v>
      </c>
      <c r="R145" t="str">
        <f>IFERROR(VLOOKUP($B145, blitz!$Q:$R, 2, FALSE), 0)</f>
        <v>14</v>
      </c>
      <c r="S145" t="b">
        <f t="shared" si="56"/>
        <v>1</v>
      </c>
      <c r="T145">
        <f>IFERROR(VLOOKUP($B145, aegis!$V:$W, 2, FALSE), 0)</f>
        <v>0</v>
      </c>
      <c r="U145">
        <f>IFERROR(VLOOKUP($B145, duel!$V:$W, 2, FALSE), 0)</f>
        <v>0</v>
      </c>
      <c r="V145">
        <f>IFERROR(VLOOKUP($B145, blitz!$V:$W, 2, FALSE), 0)</f>
        <v>0</v>
      </c>
      <c r="W145" t="b">
        <f t="shared" si="57"/>
        <v>1</v>
      </c>
      <c r="X145" t="str">
        <f>IFERROR(VLOOKUP($B145, aegis!$AA:$AB, 2, FALSE), 0)</f>
        <v>2</v>
      </c>
      <c r="Y145" t="str">
        <f>IFERROR(VLOOKUP($B145, duel!$AA:$AB, 2, FALSE), 0)</f>
        <v>2</v>
      </c>
      <c r="Z145" t="str">
        <f>IFERROR(VLOOKUP($B145, blitz!$AA:$AB, 2, FALSE), 0)</f>
        <v>2</v>
      </c>
      <c r="AA145" t="b">
        <f t="shared" si="58"/>
        <v>1</v>
      </c>
      <c r="AB145">
        <f>IFERROR(VLOOKUP($B145, aegis!$AF:$AG, 2, FALSE), 0)</f>
        <v>0</v>
      </c>
      <c r="AC145">
        <f>IFERROR(VLOOKUP($B145, duel!$AF:$AG, 2, FALSE), 0)</f>
        <v>0</v>
      </c>
      <c r="AD145">
        <f>IFERROR(VLOOKUP($B145, blitz!$AF:$AG, 2, FALSE), 0)</f>
        <v>0</v>
      </c>
      <c r="AE145" t="b">
        <f t="shared" si="59"/>
        <v>1</v>
      </c>
      <c r="AF145" t="str">
        <f>IFERROR(VLOOKUP($B145, aegis!$AK:$AL, 2, FALSE), 0)</f>
        <v>3</v>
      </c>
      <c r="AG145" t="str">
        <f>IFERROR(VLOOKUP($B145, duel!$AK:$AL, 2, FALSE), 0)</f>
        <v>1</v>
      </c>
      <c r="AH145" t="str">
        <f>IFERROR(VLOOKUP($B145, blitz!$AK:$AL, 2, FALSE), 0)</f>
        <v>1</v>
      </c>
      <c r="AI145" t="b">
        <f t="shared" si="60"/>
        <v>0</v>
      </c>
      <c r="AJ145" t="str">
        <f>IFERROR(VLOOKUP($B145, aegis!$AP:$AQ, 2, FALSE), 0)</f>
        <v>1</v>
      </c>
      <c r="AK145" t="str">
        <f>IFERROR(VLOOKUP($B145, duel!$AP:$AQ, 2, FALSE), 0)</f>
        <v>1</v>
      </c>
      <c r="AL145" t="str">
        <f>IFERROR(VLOOKUP($B145, blitz!$AP:$AQ, 2, FALSE), 0)</f>
        <v>1</v>
      </c>
      <c r="AM145" t="b">
        <f t="shared" si="61"/>
        <v>1</v>
      </c>
      <c r="AN145">
        <f>IFERROR(VLOOKUP($B145, aegis!$AU:$AV, 2, FALSE), 0)</f>
        <v>0</v>
      </c>
      <c r="AO145">
        <f>IFERROR(VLOOKUP($B145, duel!$AU:$AV, 2, FALSE), 0)</f>
        <v>0</v>
      </c>
      <c r="AP145">
        <f>IFERROR(VLOOKUP($B145, blitz!$AU:$AV, 2, FALSE), 0)</f>
        <v>0</v>
      </c>
      <c r="AQ145" t="b">
        <f t="shared" si="62"/>
        <v>1</v>
      </c>
      <c r="AR145" t="str">
        <f>IFERROR(VLOOKUP($B145, aegis!$AZ:$BA, 2, FALSE), 0)</f>
        <v>2</v>
      </c>
      <c r="AS145" t="str">
        <f>IFERROR(VLOOKUP($B145, duel!$AZ:$BA, 2, FALSE), 0)</f>
        <v>2</v>
      </c>
      <c r="AT145" t="str">
        <f>IFERROR(VLOOKUP($B145, blitz!$AZ:$BA, 2, FALSE), 0)</f>
        <v>2</v>
      </c>
      <c r="AU145" t="b">
        <f t="shared" si="63"/>
        <v>1</v>
      </c>
      <c r="AV145" t="str">
        <f>IFERROR(VLOOKUP($B145, aegis!$BE:$BF, 2, FALSE), 0)</f>
        <v>1</v>
      </c>
      <c r="AW145" t="str">
        <f>IFERROR(VLOOKUP($B145, duel!$BE:$BF, 2, FALSE), 0)</f>
        <v>1</v>
      </c>
      <c r="AX145" t="str">
        <f>IFERROR(VLOOKUP($B145, blitz!$BE:$BF, 2, FALSE), 0)</f>
        <v>1</v>
      </c>
      <c r="AY145" t="b">
        <f t="shared" si="64"/>
        <v>1</v>
      </c>
      <c r="AZ145" t="str">
        <f>IFERROR(VLOOKUP($B145, aegis!$BJ:$BK, 2, FALSE), 0)</f>
        <v>1</v>
      </c>
      <c r="BA145" t="str">
        <f>IFERROR(VLOOKUP($B145, duel!$BJ:$BK, 2, FALSE), 0)</f>
        <v>1</v>
      </c>
      <c r="BB145" t="str">
        <f>IFERROR(VLOOKUP($B145, blitz!$BJ:$BK, 2, FALSE), 0)</f>
        <v>1</v>
      </c>
      <c r="BC145" t="b">
        <f t="shared" si="65"/>
        <v>1</v>
      </c>
      <c r="BD145">
        <f>IFERROR(VLOOKUP($B145, aegis!$BO:$BP, 2, FALSE), 0)</f>
        <v>0</v>
      </c>
      <c r="BE145">
        <f>IFERROR(VLOOKUP($B145, duel!$BO:$BP, 2, FALSE), 0)</f>
        <v>0</v>
      </c>
      <c r="BF145">
        <f>IFERROR(VLOOKUP($B145, blitz!$BO:$BP, 2, FALSE), 0)</f>
        <v>0</v>
      </c>
      <c r="BG145" t="b">
        <f t="shared" si="66"/>
        <v>1</v>
      </c>
      <c r="BH145">
        <f>IFERROR(VLOOKUP($B145, aegis!$BT:$BU, 2, FALSE), 0)</f>
        <v>0</v>
      </c>
      <c r="BI145">
        <f>IFERROR(VLOOKUP($B145, duel!$BT:$BU, 2, FALSE), 0)</f>
        <v>0</v>
      </c>
      <c r="BJ145">
        <f>IFERROR(VLOOKUP($B145, blitz!$BT:$BU, 2, FALSE), 0)</f>
        <v>0</v>
      </c>
      <c r="BK145" t="b">
        <f t="shared" si="67"/>
        <v>1</v>
      </c>
      <c r="BL145" t="str">
        <f>IFERROR(VLOOKUP($B145, aegis!$BY:$BZ, 2, FALSE), 0)</f>
        <v>1</v>
      </c>
      <c r="BM145" t="str">
        <f>IFERROR(VLOOKUP($B145, duel!$BY:$BZ, 2, FALSE), 0)</f>
        <v>1</v>
      </c>
      <c r="BN145" t="str">
        <f>IFERROR(VLOOKUP($B145, blitz!$BY:$BZ, 2, FALSE), 0)</f>
        <v>1</v>
      </c>
      <c r="BO145" t="b">
        <f t="shared" si="68"/>
        <v>1</v>
      </c>
      <c r="BP145" t="str">
        <f>IFERROR(VLOOKUP($B145, aegis!$CD:$CE, 2, FALSE), 0)</f>
        <v>1</v>
      </c>
      <c r="BQ145" t="str">
        <f>IFERROR(VLOOKUP($B145, duel!$CD:$CE, 2, FALSE), 0)</f>
        <v>1</v>
      </c>
      <c r="BR145" t="str">
        <f>IFERROR(VLOOKUP($B145, blitz!$CD:$CE, 2, FALSE), 0)</f>
        <v>1</v>
      </c>
      <c r="BS145" t="b">
        <f t="shared" si="69"/>
        <v>1</v>
      </c>
      <c r="BT145">
        <f>IFERROR(VLOOKUP($B145, aegis!$CI:$CJ, 2, FALSE), 0)</f>
        <v>0</v>
      </c>
      <c r="BU145">
        <f>IFERROR(VLOOKUP($B145, duel!$CI:$CJ, 2, FALSE), 0)</f>
        <v>0</v>
      </c>
      <c r="BV145">
        <f>IFERROR(VLOOKUP($B145, blitz!$CI:$CJ, 2, FALSE), 0)</f>
        <v>0</v>
      </c>
      <c r="BW145" t="b">
        <f t="shared" si="70"/>
        <v>1</v>
      </c>
      <c r="BX145">
        <f>IFERROR(VLOOKUP($B145, aegis!$CN:$CO, 2, FALSE), 0)</f>
        <v>0</v>
      </c>
      <c r="BY145">
        <f>IFERROR(VLOOKUP($B145, duel!$CN:$CO, 2, FALSE), 0)</f>
        <v>0</v>
      </c>
      <c r="BZ145">
        <f>IFERROR(VLOOKUP($B145, blitz!$CN:$CO, 2, FALSE), 0)</f>
        <v>0</v>
      </c>
      <c r="CA145" t="b">
        <f t="shared" si="71"/>
        <v>1</v>
      </c>
      <c r="CB145">
        <f>IFERROR(VLOOKUP($B145, aegis!$CS:$CT, 2, FALSE), 0)</f>
        <v>0</v>
      </c>
      <c r="CC145">
        <f>IFERROR(VLOOKUP($B145, duel!$CS:$CT, 2, FALSE), 0)</f>
        <v>0</v>
      </c>
      <c r="CD145">
        <f>IFERROR(VLOOKUP($B145, blitz!$CS:$CT, 2, FALSE), 0)</f>
        <v>0</v>
      </c>
      <c r="CE145" t="b">
        <f t="shared" si="72"/>
        <v>1</v>
      </c>
      <c r="CF145">
        <f>IFERROR(VLOOKUP($B145, aegis!$CX:$CY, 2, FALSE), 0)</f>
        <v>0</v>
      </c>
      <c r="CG145">
        <f>IFERROR(VLOOKUP($B145, duel!$CX:$CY, 2, FALSE), 0)</f>
        <v>0</v>
      </c>
      <c r="CH145">
        <f>IFERROR(VLOOKUP($B145, blitz!$CX:$CY, 2, FALSE), 0)</f>
        <v>0</v>
      </c>
      <c r="CI145" t="b">
        <f t="shared" si="73"/>
        <v>1</v>
      </c>
      <c r="CJ145" t="str">
        <f>IFERROR(VLOOKUP($B145, aegis!$DC:$DD, 2, FALSE), 0)</f>
        <v>1</v>
      </c>
      <c r="CK145" t="str">
        <f>IFERROR(VLOOKUP($B145, duel!$DC:$DD, 2, FALSE), 0)</f>
        <v>1</v>
      </c>
      <c r="CL145" t="str">
        <f>IFERROR(VLOOKUP($B145, blitz!$DC:$DD, 2, FALSE), 0)</f>
        <v>1</v>
      </c>
      <c r="CM145" t="b">
        <f t="shared" si="74"/>
        <v>1</v>
      </c>
      <c r="CN145" t="str">
        <f>IFERROR(VLOOKUP($B145, aegis!$DH:$DI, 2, FALSE), 0)</f>
        <v>1</v>
      </c>
      <c r="CO145" t="str">
        <f>IFERROR(VLOOKUP($B145, duel!$DH:$DI, 2, FALSE), 0)</f>
        <v>1</v>
      </c>
      <c r="CP145" s="13">
        <f>IFERROR(VLOOKUP($B145, blitz!$DH:$DI, 2, FALSE), 0)</f>
        <v>0</v>
      </c>
      <c r="CQ145" t="b">
        <f t="shared" si="75"/>
        <v>1</v>
      </c>
      <c r="CR145" t="str">
        <f>IFERROR(VLOOKUP($B145, aegis!$DM:$DN, 2, FALSE), 0)</f>
        <v>1</v>
      </c>
      <c r="CS145" t="str">
        <f>IFERROR(VLOOKUP($B145, duel!$DM:$DN, 2, FALSE), 0)</f>
        <v>1</v>
      </c>
      <c r="CT145" t="str">
        <f>IFERROR(VLOOKUP($B145, blitz!$DM:$DN, 2, FALSE), 0)</f>
        <v>1</v>
      </c>
      <c r="CU145" t="b">
        <f t="shared" si="76"/>
        <v>1</v>
      </c>
      <c r="CV145">
        <f>IFERROR(VLOOKUP($B145, aegis!$DR:$DS, 2, FALSE), 0)</f>
        <v>0</v>
      </c>
      <c r="CW145">
        <f>IFERROR(VLOOKUP($B145, duel!$DR:$DS, 2, FALSE), 0)</f>
        <v>0</v>
      </c>
      <c r="CX145">
        <f>IFERROR(VLOOKUP($B145, blitz!$DR:$DS, 2, FALSE), 0)</f>
        <v>0</v>
      </c>
      <c r="CY145" t="b">
        <f t="shared" si="77"/>
        <v>1</v>
      </c>
    </row>
    <row r="146" spans="2:103">
      <c r="B146" s="6" t="s">
        <v>268</v>
      </c>
      <c r="C146" s="5" t="b">
        <f t="shared" si="52"/>
        <v>0</v>
      </c>
      <c r="D146" t="str">
        <f>IFERROR(VLOOKUP($B146, aegis!$B:$C, 2, FALSE), 0)</f>
        <v>36</v>
      </c>
      <c r="E146" t="str">
        <f>IFERROR(VLOOKUP($B146, duel!$B:$C, 2, FALSE), 0)</f>
        <v>36</v>
      </c>
      <c r="F146" t="str">
        <f>IFERROR(VLOOKUP($B146, blitz!$B:$C, 2, FALSE), 0)</f>
        <v>36</v>
      </c>
      <c r="G146" t="b">
        <f t="shared" si="53"/>
        <v>1</v>
      </c>
      <c r="H146" t="str">
        <f>IFERROR(VLOOKUP($B146, aegis!$G:$H, 2, FALSE), 0)</f>
        <v>21</v>
      </c>
      <c r="I146" t="str">
        <f>IFERROR(VLOOKUP($B146, duel!$G:$H, 2, FALSE), 0)</f>
        <v>21</v>
      </c>
      <c r="J146" t="str">
        <f>IFERROR(VLOOKUP($B146, blitz!$G:$H, 2, FALSE), 0)</f>
        <v>21</v>
      </c>
      <c r="K146" t="b">
        <f t="shared" si="54"/>
        <v>1</v>
      </c>
      <c r="L146" t="str">
        <f>IFERROR(VLOOKUP($B146, aegis!$L:$M, 2, FALSE), 0)</f>
        <v>36</v>
      </c>
      <c r="M146" t="str">
        <f>IFERROR(VLOOKUP($B146, duel!$L:$M, 2, FALSE), 0)</f>
        <v>36</v>
      </c>
      <c r="N146" t="str">
        <f>IFERROR(VLOOKUP($B146, blitz!$L:$M, 2, FALSE), 0)</f>
        <v>36</v>
      </c>
      <c r="O146" t="b">
        <f t="shared" si="55"/>
        <v>1</v>
      </c>
      <c r="P146" t="str">
        <f>IFERROR(VLOOKUP($B146, aegis!$Q:$R, 2, FALSE), 0)</f>
        <v>21</v>
      </c>
      <c r="Q146" t="str">
        <f>IFERROR(VLOOKUP($B146, duel!$Q:$R, 2, FALSE), 0)</f>
        <v>21</v>
      </c>
      <c r="R146" t="str">
        <f>IFERROR(VLOOKUP($B146, blitz!$Q:$R, 2, FALSE), 0)</f>
        <v>21</v>
      </c>
      <c r="S146" t="b">
        <f t="shared" si="56"/>
        <v>1</v>
      </c>
      <c r="T146">
        <f>IFERROR(VLOOKUP($B146, aegis!$V:$W, 2, FALSE), 0)</f>
        <v>0</v>
      </c>
      <c r="U146">
        <f>IFERROR(VLOOKUP($B146, duel!$V:$W, 2, FALSE), 0)</f>
        <v>0</v>
      </c>
      <c r="V146">
        <f>IFERROR(VLOOKUP($B146, blitz!$V:$W, 2, FALSE), 0)</f>
        <v>0</v>
      </c>
      <c r="W146" t="b">
        <f t="shared" si="57"/>
        <v>1</v>
      </c>
      <c r="X146" t="str">
        <f>IFERROR(VLOOKUP($B146, aegis!$AA:$AB, 2, FALSE), 0)</f>
        <v>3</v>
      </c>
      <c r="Y146" t="str">
        <f>IFERROR(VLOOKUP($B146, duel!$AA:$AB, 2, FALSE), 0)</f>
        <v>3</v>
      </c>
      <c r="Z146" t="str">
        <f>IFERROR(VLOOKUP($B146, blitz!$AA:$AB, 2, FALSE), 0)</f>
        <v>3</v>
      </c>
      <c r="AA146" t="b">
        <f t="shared" si="58"/>
        <v>1</v>
      </c>
      <c r="AB146" t="str">
        <f>IFERROR(VLOOKUP($B146, aegis!$AF:$AG, 2, FALSE), 0)</f>
        <v>57</v>
      </c>
      <c r="AC146" t="str">
        <f>IFERROR(VLOOKUP($B146, duel!$AF:$AG, 2, FALSE), 0)</f>
        <v>57</v>
      </c>
      <c r="AD146" t="str">
        <f>IFERROR(VLOOKUP($B146, blitz!$AF:$AG, 2, FALSE), 0)</f>
        <v>57</v>
      </c>
      <c r="AE146" t="b">
        <f t="shared" si="59"/>
        <v>1</v>
      </c>
      <c r="AF146" t="str">
        <f>IFERROR(VLOOKUP($B146, aegis!$AK:$AL, 2, FALSE), 0)</f>
        <v>4</v>
      </c>
      <c r="AG146" t="str">
        <f>IFERROR(VLOOKUP($B146, duel!$AK:$AL, 2, FALSE), 0)</f>
        <v>1</v>
      </c>
      <c r="AH146" t="str">
        <f>IFERROR(VLOOKUP($B146, blitz!$AK:$AL, 2, FALSE), 0)</f>
        <v>1</v>
      </c>
      <c r="AI146" t="b">
        <f t="shared" si="60"/>
        <v>0</v>
      </c>
      <c r="AJ146" t="str">
        <f>IFERROR(VLOOKUP($B146, aegis!$AP:$AQ, 2, FALSE), 0)</f>
        <v>2</v>
      </c>
      <c r="AK146" t="str">
        <f>IFERROR(VLOOKUP($B146, duel!$AP:$AQ, 2, FALSE), 0)</f>
        <v>2</v>
      </c>
      <c r="AL146" t="str">
        <f>IFERROR(VLOOKUP($B146, blitz!$AP:$AQ, 2, FALSE), 0)</f>
        <v>2</v>
      </c>
      <c r="AM146" t="b">
        <f t="shared" si="61"/>
        <v>1</v>
      </c>
      <c r="AN146">
        <f>IFERROR(VLOOKUP($B146, aegis!$AU:$AV, 2, FALSE), 0)</f>
        <v>0</v>
      </c>
      <c r="AO146">
        <f>IFERROR(VLOOKUP($B146, duel!$AU:$AV, 2, FALSE), 0)</f>
        <v>0</v>
      </c>
      <c r="AP146">
        <f>IFERROR(VLOOKUP($B146, blitz!$AU:$AV, 2, FALSE), 0)</f>
        <v>0</v>
      </c>
      <c r="AQ146" t="b">
        <f t="shared" si="62"/>
        <v>1</v>
      </c>
      <c r="AR146" t="str">
        <f>IFERROR(VLOOKUP($B146, aegis!$AZ:$BA, 2, FALSE), 0)</f>
        <v>3</v>
      </c>
      <c r="AS146" t="str">
        <f>IFERROR(VLOOKUP($B146, duel!$AZ:$BA, 2, FALSE), 0)</f>
        <v>3</v>
      </c>
      <c r="AT146" t="str">
        <f>IFERROR(VLOOKUP($B146, blitz!$AZ:$BA, 2, FALSE), 0)</f>
        <v>3</v>
      </c>
      <c r="AU146" t="b">
        <f t="shared" si="63"/>
        <v>1</v>
      </c>
      <c r="AV146" t="str">
        <f>IFERROR(VLOOKUP($B146, aegis!$BE:$BF, 2, FALSE), 0)</f>
        <v>2</v>
      </c>
      <c r="AW146" t="str">
        <f>IFERROR(VLOOKUP($B146, duel!$BE:$BF, 2, FALSE), 0)</f>
        <v>2</v>
      </c>
      <c r="AX146" t="str">
        <f>IFERROR(VLOOKUP($B146, blitz!$BE:$BF, 2, FALSE), 0)</f>
        <v>2</v>
      </c>
      <c r="AY146" t="b">
        <f t="shared" si="64"/>
        <v>1</v>
      </c>
      <c r="AZ146" t="str">
        <f>IFERROR(VLOOKUP($B146, aegis!$BJ:$BK, 2, FALSE), 0)</f>
        <v>1</v>
      </c>
      <c r="BA146" t="str">
        <f>IFERROR(VLOOKUP($B146, duel!$BJ:$BK, 2, FALSE), 0)</f>
        <v>1</v>
      </c>
      <c r="BB146" t="str">
        <f>IFERROR(VLOOKUP($B146, blitz!$BJ:$BK, 2, FALSE), 0)</f>
        <v>1</v>
      </c>
      <c r="BC146" t="b">
        <f t="shared" si="65"/>
        <v>1</v>
      </c>
      <c r="BD146">
        <f>IFERROR(VLOOKUP($B146, aegis!$BO:$BP, 2, FALSE), 0)</f>
        <v>0</v>
      </c>
      <c r="BE146">
        <f>IFERROR(VLOOKUP($B146, duel!$BO:$BP, 2, FALSE), 0)</f>
        <v>0</v>
      </c>
      <c r="BF146">
        <f>IFERROR(VLOOKUP($B146, blitz!$BO:$BP, 2, FALSE), 0)</f>
        <v>0</v>
      </c>
      <c r="BG146" t="b">
        <f t="shared" si="66"/>
        <v>1</v>
      </c>
      <c r="BH146" t="str">
        <f>IFERROR(VLOOKUP($B146, aegis!$BT:$BU, 2, FALSE), 0)</f>
        <v>1</v>
      </c>
      <c r="BI146" t="str">
        <f>IFERROR(VLOOKUP($B146, duel!$BT:$BU, 2, FALSE), 0)</f>
        <v>1</v>
      </c>
      <c r="BJ146" t="str">
        <f>IFERROR(VLOOKUP($B146, blitz!$BT:$BU, 2, FALSE), 0)</f>
        <v>1</v>
      </c>
      <c r="BK146" t="b">
        <f t="shared" si="67"/>
        <v>1</v>
      </c>
      <c r="BL146" t="str">
        <f>IFERROR(VLOOKUP($B146, aegis!$BY:$BZ, 2, FALSE), 0)</f>
        <v>2</v>
      </c>
      <c r="BM146" t="str">
        <f>IFERROR(VLOOKUP($B146, duel!$BY:$BZ, 2, FALSE), 0)</f>
        <v>2</v>
      </c>
      <c r="BN146" t="str">
        <f>IFERROR(VLOOKUP($B146, blitz!$BY:$BZ, 2, FALSE), 0)</f>
        <v>2</v>
      </c>
      <c r="BO146" t="b">
        <f t="shared" si="68"/>
        <v>1</v>
      </c>
      <c r="BP146" t="str">
        <f>IFERROR(VLOOKUP($B146, aegis!$CD:$CE, 2, FALSE), 0)</f>
        <v>5</v>
      </c>
      <c r="BQ146" t="str">
        <f>IFERROR(VLOOKUP($B146, duel!$CD:$CE, 2, FALSE), 0)</f>
        <v>5</v>
      </c>
      <c r="BR146" t="str">
        <f>IFERROR(VLOOKUP($B146, blitz!$CD:$CE, 2, FALSE), 0)</f>
        <v>5</v>
      </c>
      <c r="BS146" t="b">
        <f t="shared" si="69"/>
        <v>1</v>
      </c>
      <c r="BT146">
        <f>IFERROR(VLOOKUP($B146, aegis!$CI:$CJ, 2, FALSE), 0)</f>
        <v>0</v>
      </c>
      <c r="BU146">
        <f>IFERROR(VLOOKUP($B146, duel!$CI:$CJ, 2, FALSE), 0)</f>
        <v>0</v>
      </c>
      <c r="BV146">
        <f>IFERROR(VLOOKUP($B146, blitz!$CI:$CJ, 2, FALSE), 0)</f>
        <v>0</v>
      </c>
      <c r="BW146" t="b">
        <f t="shared" si="70"/>
        <v>1</v>
      </c>
      <c r="BX146">
        <f>IFERROR(VLOOKUP($B146, aegis!$CN:$CO, 2, FALSE), 0)</f>
        <v>0</v>
      </c>
      <c r="BY146">
        <f>IFERROR(VLOOKUP($B146, duel!$CN:$CO, 2, FALSE), 0)</f>
        <v>0</v>
      </c>
      <c r="BZ146">
        <f>IFERROR(VLOOKUP($B146, blitz!$CN:$CO, 2, FALSE), 0)</f>
        <v>0</v>
      </c>
      <c r="CA146" t="b">
        <f t="shared" si="71"/>
        <v>1</v>
      </c>
      <c r="CB146">
        <f>IFERROR(VLOOKUP($B146, aegis!$CS:$CT, 2, FALSE), 0)</f>
        <v>0</v>
      </c>
      <c r="CC146">
        <f>IFERROR(VLOOKUP($B146, duel!$CS:$CT, 2, FALSE), 0)</f>
        <v>0</v>
      </c>
      <c r="CD146">
        <f>IFERROR(VLOOKUP($B146, blitz!$CS:$CT, 2, FALSE), 0)</f>
        <v>0</v>
      </c>
      <c r="CE146" t="b">
        <f t="shared" si="72"/>
        <v>1</v>
      </c>
      <c r="CF146" t="str">
        <f>IFERROR(VLOOKUP($B146, aegis!$CX:$CY, 2, FALSE), 0)</f>
        <v>24</v>
      </c>
      <c r="CG146" t="str">
        <f>IFERROR(VLOOKUP($B146, duel!$CX:$CY, 2, FALSE), 0)</f>
        <v>24</v>
      </c>
      <c r="CH146" t="str">
        <f>IFERROR(VLOOKUP($B146, blitz!$CX:$CY, 2, FALSE), 0)</f>
        <v>24</v>
      </c>
      <c r="CI146" t="b">
        <f t="shared" si="73"/>
        <v>1</v>
      </c>
      <c r="CJ146" t="str">
        <f>IFERROR(VLOOKUP($B146, aegis!$DC:$DD, 2, FALSE), 0)</f>
        <v>1</v>
      </c>
      <c r="CK146" t="str">
        <f>IFERROR(VLOOKUP($B146, duel!$DC:$DD, 2, FALSE), 0)</f>
        <v>1</v>
      </c>
      <c r="CL146" t="str">
        <f>IFERROR(VLOOKUP($B146, blitz!$DC:$DD, 2, FALSE), 0)</f>
        <v>1</v>
      </c>
      <c r="CM146" t="b">
        <f t="shared" si="74"/>
        <v>1</v>
      </c>
      <c r="CN146" t="str">
        <f>IFERROR(VLOOKUP($B146, aegis!$DH:$DI, 2, FALSE), 0)</f>
        <v>5</v>
      </c>
      <c r="CO146" t="str">
        <f>IFERROR(VLOOKUP($B146, duel!$DH:$DI, 2, FALSE), 0)</f>
        <v>5</v>
      </c>
      <c r="CP146" s="13">
        <f>IFERROR(VLOOKUP($B146, blitz!$DH:$DI, 2, FALSE), 0)</f>
        <v>0</v>
      </c>
      <c r="CQ146" t="b">
        <f t="shared" si="75"/>
        <v>1</v>
      </c>
      <c r="CR146" t="str">
        <f>IFERROR(VLOOKUP($B146, aegis!$DM:$DN, 2, FALSE), 0)</f>
        <v>5</v>
      </c>
      <c r="CS146" t="str">
        <f>IFERROR(VLOOKUP($B146, duel!$DM:$DN, 2, FALSE), 0)</f>
        <v>5</v>
      </c>
      <c r="CT146" t="str">
        <f>IFERROR(VLOOKUP($B146, blitz!$DM:$DN, 2, FALSE), 0)</f>
        <v>5</v>
      </c>
      <c r="CU146" t="b">
        <f t="shared" si="76"/>
        <v>1</v>
      </c>
      <c r="CV146" t="str">
        <f>IFERROR(VLOOKUP($B146, aegis!$DR:$DS, 2, FALSE), 0)</f>
        <v>57</v>
      </c>
      <c r="CW146" t="str">
        <f>IFERROR(VLOOKUP($B146, duel!$DR:$DS, 2, FALSE), 0)</f>
        <v>57</v>
      </c>
      <c r="CX146" t="str">
        <f>IFERROR(VLOOKUP($B146, blitz!$DR:$DS, 2, FALSE), 0)</f>
        <v>57</v>
      </c>
      <c r="CY146" t="b">
        <f t="shared" si="77"/>
        <v>1</v>
      </c>
    </row>
    <row r="147" spans="2:103">
      <c r="B147" s="6" t="s">
        <v>270</v>
      </c>
      <c r="C147" s="5" t="b">
        <f t="shared" si="52"/>
        <v>0</v>
      </c>
      <c r="D147" t="str">
        <f>IFERROR(VLOOKUP($B147, aegis!$B:$C, 2, FALSE), 0)</f>
        <v>24</v>
      </c>
      <c r="E147" t="str">
        <f>IFERROR(VLOOKUP($B147, duel!$B:$C, 2, FALSE), 0)</f>
        <v>24</v>
      </c>
      <c r="F147" t="str">
        <f>IFERROR(VLOOKUP($B147, blitz!$B:$C, 2, FALSE), 0)</f>
        <v>24</v>
      </c>
      <c r="G147" t="b">
        <f t="shared" si="53"/>
        <v>1</v>
      </c>
      <c r="H147" t="str">
        <f>IFERROR(VLOOKUP($B147, aegis!$G:$H, 2, FALSE), 0)</f>
        <v>14</v>
      </c>
      <c r="I147" t="str">
        <f>IFERROR(VLOOKUP($B147, duel!$G:$H, 2, FALSE), 0)</f>
        <v>14</v>
      </c>
      <c r="J147" t="str">
        <f>IFERROR(VLOOKUP($B147, blitz!$G:$H, 2, FALSE), 0)</f>
        <v>14</v>
      </c>
      <c r="K147" t="b">
        <f t="shared" si="54"/>
        <v>1</v>
      </c>
      <c r="L147" t="str">
        <f>IFERROR(VLOOKUP($B147, aegis!$L:$M, 2, FALSE), 0)</f>
        <v>24</v>
      </c>
      <c r="M147" t="str">
        <f>IFERROR(VLOOKUP($B147, duel!$L:$M, 2, FALSE), 0)</f>
        <v>24</v>
      </c>
      <c r="N147" t="str">
        <f>IFERROR(VLOOKUP($B147, blitz!$L:$M, 2, FALSE), 0)</f>
        <v>24</v>
      </c>
      <c r="O147" t="b">
        <f t="shared" si="55"/>
        <v>1</v>
      </c>
      <c r="P147" t="str">
        <f>IFERROR(VLOOKUP($B147, aegis!$Q:$R, 2, FALSE), 0)</f>
        <v>14</v>
      </c>
      <c r="Q147" t="str">
        <f>IFERROR(VLOOKUP($B147, duel!$Q:$R, 2, FALSE), 0)</f>
        <v>14</v>
      </c>
      <c r="R147" t="str">
        <f>IFERROR(VLOOKUP($B147, blitz!$Q:$R, 2, FALSE), 0)</f>
        <v>14</v>
      </c>
      <c r="S147" t="b">
        <f t="shared" si="56"/>
        <v>1</v>
      </c>
      <c r="T147">
        <f>IFERROR(VLOOKUP($B147, aegis!$V:$W, 2, FALSE), 0)</f>
        <v>0</v>
      </c>
      <c r="U147">
        <f>IFERROR(VLOOKUP($B147, duel!$V:$W, 2, FALSE), 0)</f>
        <v>0</v>
      </c>
      <c r="V147">
        <f>IFERROR(VLOOKUP($B147, blitz!$V:$W, 2, FALSE), 0)</f>
        <v>0</v>
      </c>
      <c r="W147" t="b">
        <f t="shared" si="57"/>
        <v>1</v>
      </c>
      <c r="X147" t="str">
        <f>IFERROR(VLOOKUP($B147, aegis!$AA:$AB, 2, FALSE), 0)</f>
        <v>2</v>
      </c>
      <c r="Y147" t="str">
        <f>IFERROR(VLOOKUP($B147, duel!$AA:$AB, 2, FALSE), 0)</f>
        <v>2</v>
      </c>
      <c r="Z147" t="str">
        <f>IFERROR(VLOOKUP($B147, blitz!$AA:$AB, 2, FALSE), 0)</f>
        <v>2</v>
      </c>
      <c r="AA147" t="b">
        <f t="shared" si="58"/>
        <v>1</v>
      </c>
      <c r="AB147" t="str">
        <f>IFERROR(VLOOKUP($B147, aegis!$AF:$AG, 2, FALSE), 0)</f>
        <v>9</v>
      </c>
      <c r="AC147" t="str">
        <f>IFERROR(VLOOKUP($B147, duel!$AF:$AG, 2, FALSE), 0)</f>
        <v>9</v>
      </c>
      <c r="AD147" t="str">
        <f>IFERROR(VLOOKUP($B147, blitz!$AF:$AG, 2, FALSE), 0)</f>
        <v>9</v>
      </c>
      <c r="AE147" t="b">
        <f t="shared" si="59"/>
        <v>1</v>
      </c>
      <c r="AF147" t="str">
        <f>IFERROR(VLOOKUP($B147, aegis!$AK:$AL, 2, FALSE), 0)</f>
        <v>3</v>
      </c>
      <c r="AG147" t="str">
        <f>IFERROR(VLOOKUP($B147, duel!$AK:$AL, 2, FALSE), 0)</f>
        <v>1</v>
      </c>
      <c r="AH147" t="str">
        <f>IFERROR(VLOOKUP($B147, blitz!$AK:$AL, 2, FALSE), 0)</f>
        <v>1</v>
      </c>
      <c r="AI147" t="b">
        <f t="shared" si="60"/>
        <v>0</v>
      </c>
      <c r="AJ147" t="str">
        <f>IFERROR(VLOOKUP($B147, aegis!$AP:$AQ, 2, FALSE), 0)</f>
        <v>1</v>
      </c>
      <c r="AK147" t="str">
        <f>IFERROR(VLOOKUP($B147, duel!$AP:$AQ, 2, FALSE), 0)</f>
        <v>1</v>
      </c>
      <c r="AL147" t="str">
        <f>IFERROR(VLOOKUP($B147, blitz!$AP:$AQ, 2, FALSE), 0)</f>
        <v>1</v>
      </c>
      <c r="AM147" t="b">
        <f t="shared" si="61"/>
        <v>1</v>
      </c>
      <c r="AN147">
        <f>IFERROR(VLOOKUP($B147, aegis!$AU:$AV, 2, FALSE), 0)</f>
        <v>0</v>
      </c>
      <c r="AO147">
        <f>IFERROR(VLOOKUP($B147, duel!$AU:$AV, 2, FALSE), 0)</f>
        <v>0</v>
      </c>
      <c r="AP147">
        <f>IFERROR(VLOOKUP($B147, blitz!$AU:$AV, 2, FALSE), 0)</f>
        <v>0</v>
      </c>
      <c r="AQ147" t="b">
        <f t="shared" si="62"/>
        <v>1</v>
      </c>
      <c r="AR147" t="str">
        <f>IFERROR(VLOOKUP($B147, aegis!$AZ:$BA, 2, FALSE), 0)</f>
        <v>2</v>
      </c>
      <c r="AS147" t="str">
        <f>IFERROR(VLOOKUP($B147, duel!$AZ:$BA, 2, FALSE), 0)</f>
        <v>2</v>
      </c>
      <c r="AT147" t="str">
        <f>IFERROR(VLOOKUP($B147, blitz!$AZ:$BA, 2, FALSE), 0)</f>
        <v>2</v>
      </c>
      <c r="AU147" t="b">
        <f t="shared" si="63"/>
        <v>1</v>
      </c>
      <c r="AV147" t="str">
        <f>IFERROR(VLOOKUP($B147, aegis!$BE:$BF, 2, FALSE), 0)</f>
        <v>1</v>
      </c>
      <c r="AW147" t="str">
        <f>IFERROR(VLOOKUP($B147, duel!$BE:$BF, 2, FALSE), 0)</f>
        <v>1</v>
      </c>
      <c r="AX147" t="str">
        <f>IFERROR(VLOOKUP($B147, blitz!$BE:$BF, 2, FALSE), 0)</f>
        <v>1</v>
      </c>
      <c r="AY147" t="b">
        <f t="shared" si="64"/>
        <v>1</v>
      </c>
      <c r="AZ147" t="str">
        <f>IFERROR(VLOOKUP($B147, aegis!$BJ:$BK, 2, FALSE), 0)</f>
        <v>1</v>
      </c>
      <c r="BA147" t="str">
        <f>IFERROR(VLOOKUP($B147, duel!$BJ:$BK, 2, FALSE), 0)</f>
        <v>1</v>
      </c>
      <c r="BB147" t="str">
        <f>IFERROR(VLOOKUP($B147, blitz!$BJ:$BK, 2, FALSE), 0)</f>
        <v>1</v>
      </c>
      <c r="BC147" t="b">
        <f t="shared" si="65"/>
        <v>1</v>
      </c>
      <c r="BD147">
        <f>IFERROR(VLOOKUP($B147, aegis!$BO:$BP, 2, FALSE), 0)</f>
        <v>0</v>
      </c>
      <c r="BE147">
        <f>IFERROR(VLOOKUP($B147, duel!$BO:$BP, 2, FALSE), 0)</f>
        <v>0</v>
      </c>
      <c r="BF147">
        <f>IFERROR(VLOOKUP($B147, blitz!$BO:$BP, 2, FALSE), 0)</f>
        <v>0</v>
      </c>
      <c r="BG147" t="b">
        <f t="shared" si="66"/>
        <v>1</v>
      </c>
      <c r="BH147" t="str">
        <f>IFERROR(VLOOKUP($B147, aegis!$BT:$BU, 2, FALSE), 0)</f>
        <v>5</v>
      </c>
      <c r="BI147" t="str">
        <f>IFERROR(VLOOKUP($B147, duel!$BT:$BU, 2, FALSE), 0)</f>
        <v>5</v>
      </c>
      <c r="BJ147" t="str">
        <f>IFERROR(VLOOKUP($B147, blitz!$BT:$BU, 2, FALSE), 0)</f>
        <v>5</v>
      </c>
      <c r="BK147" t="b">
        <f t="shared" si="67"/>
        <v>1</v>
      </c>
      <c r="BL147" t="str">
        <f>IFERROR(VLOOKUP($B147, aegis!$BY:$BZ, 2, FALSE), 0)</f>
        <v>1</v>
      </c>
      <c r="BM147" t="str">
        <f>IFERROR(VLOOKUP($B147, duel!$BY:$BZ, 2, FALSE), 0)</f>
        <v>1</v>
      </c>
      <c r="BN147" t="str">
        <f>IFERROR(VLOOKUP($B147, blitz!$BY:$BZ, 2, FALSE), 0)</f>
        <v>1</v>
      </c>
      <c r="BO147" t="b">
        <f t="shared" si="68"/>
        <v>1</v>
      </c>
      <c r="BP147" t="str">
        <f>IFERROR(VLOOKUP($B147, aegis!$CD:$CE, 2, FALSE), 0)</f>
        <v>4</v>
      </c>
      <c r="BQ147" t="str">
        <f>IFERROR(VLOOKUP($B147, duel!$CD:$CE, 2, FALSE), 0)</f>
        <v>4</v>
      </c>
      <c r="BR147" t="str">
        <f>IFERROR(VLOOKUP($B147, blitz!$CD:$CE, 2, FALSE), 0)</f>
        <v>4</v>
      </c>
      <c r="BS147" t="b">
        <f t="shared" si="69"/>
        <v>1</v>
      </c>
      <c r="BT147">
        <f>IFERROR(VLOOKUP($B147, aegis!$CI:$CJ, 2, FALSE), 0)</f>
        <v>0</v>
      </c>
      <c r="BU147">
        <f>IFERROR(VLOOKUP($B147, duel!$CI:$CJ, 2, FALSE), 0)</f>
        <v>0</v>
      </c>
      <c r="BV147">
        <f>IFERROR(VLOOKUP($B147, blitz!$CI:$CJ, 2, FALSE), 0)</f>
        <v>0</v>
      </c>
      <c r="BW147" t="b">
        <f t="shared" si="70"/>
        <v>1</v>
      </c>
      <c r="BX147">
        <f>IFERROR(VLOOKUP($B147, aegis!$CN:$CO, 2, FALSE), 0)</f>
        <v>0</v>
      </c>
      <c r="BY147">
        <f>IFERROR(VLOOKUP($B147, duel!$CN:$CO, 2, FALSE), 0)</f>
        <v>0</v>
      </c>
      <c r="BZ147">
        <f>IFERROR(VLOOKUP($B147, blitz!$CN:$CO, 2, FALSE), 0)</f>
        <v>0</v>
      </c>
      <c r="CA147" t="b">
        <f t="shared" si="71"/>
        <v>1</v>
      </c>
      <c r="CB147">
        <f>IFERROR(VLOOKUP($B147, aegis!$CS:$CT, 2, FALSE), 0)</f>
        <v>0</v>
      </c>
      <c r="CC147">
        <f>IFERROR(VLOOKUP($B147, duel!$CS:$CT, 2, FALSE), 0)</f>
        <v>0</v>
      </c>
      <c r="CD147">
        <f>IFERROR(VLOOKUP($B147, blitz!$CS:$CT, 2, FALSE), 0)</f>
        <v>0</v>
      </c>
      <c r="CE147" t="b">
        <f t="shared" si="72"/>
        <v>1</v>
      </c>
      <c r="CF147" t="str">
        <f>IFERROR(VLOOKUP($B147, aegis!$CX:$CY, 2, FALSE), 0)</f>
        <v>42</v>
      </c>
      <c r="CG147" t="str">
        <f>IFERROR(VLOOKUP($B147, duel!$CX:$CY, 2, FALSE), 0)</f>
        <v>42</v>
      </c>
      <c r="CH147" t="str">
        <f>IFERROR(VLOOKUP($B147, blitz!$CX:$CY, 2, FALSE), 0)</f>
        <v>42</v>
      </c>
      <c r="CI147" t="b">
        <f t="shared" si="73"/>
        <v>1</v>
      </c>
      <c r="CJ147" t="str">
        <f>IFERROR(VLOOKUP($B147, aegis!$DC:$DD, 2, FALSE), 0)</f>
        <v>1</v>
      </c>
      <c r="CK147" t="str">
        <f>IFERROR(VLOOKUP($B147, duel!$DC:$DD, 2, FALSE), 0)</f>
        <v>1</v>
      </c>
      <c r="CL147" t="str">
        <f>IFERROR(VLOOKUP($B147, blitz!$DC:$DD, 2, FALSE), 0)</f>
        <v>1</v>
      </c>
      <c r="CM147" t="b">
        <f t="shared" si="74"/>
        <v>1</v>
      </c>
      <c r="CN147" t="str">
        <f>IFERROR(VLOOKUP($B147, aegis!$DH:$DI, 2, FALSE), 0)</f>
        <v>4</v>
      </c>
      <c r="CO147" t="str">
        <f>IFERROR(VLOOKUP($B147, duel!$DH:$DI, 2, FALSE), 0)</f>
        <v>4</v>
      </c>
      <c r="CP147" s="13">
        <f>IFERROR(VLOOKUP($B147, blitz!$DH:$DI, 2, FALSE), 0)</f>
        <v>0</v>
      </c>
      <c r="CQ147" t="b">
        <f t="shared" si="75"/>
        <v>1</v>
      </c>
      <c r="CR147" t="str">
        <f>IFERROR(VLOOKUP($B147, aegis!$DM:$DN, 2, FALSE), 0)</f>
        <v>1</v>
      </c>
      <c r="CS147" t="str">
        <f>IFERROR(VLOOKUP($B147, duel!$DM:$DN, 2, FALSE), 0)</f>
        <v>1</v>
      </c>
      <c r="CT147" t="str">
        <f>IFERROR(VLOOKUP($B147, blitz!$DM:$DN, 2, FALSE), 0)</f>
        <v>1</v>
      </c>
      <c r="CU147" t="b">
        <f t="shared" si="76"/>
        <v>1</v>
      </c>
      <c r="CV147" t="str">
        <f>IFERROR(VLOOKUP($B147, aegis!$DR:$DS, 2, FALSE), 0)</f>
        <v>9</v>
      </c>
      <c r="CW147" t="str">
        <f>IFERROR(VLOOKUP($B147, duel!$DR:$DS, 2, FALSE), 0)</f>
        <v>9</v>
      </c>
      <c r="CX147" t="str">
        <f>IFERROR(VLOOKUP($B147, blitz!$DR:$DS, 2, FALSE), 0)</f>
        <v>9</v>
      </c>
      <c r="CY147" t="b">
        <f t="shared" si="77"/>
        <v>1</v>
      </c>
    </row>
    <row r="148" spans="2:103">
      <c r="B148" s="6" t="s">
        <v>272</v>
      </c>
      <c r="C148" s="5" t="b">
        <f t="shared" si="52"/>
        <v>0</v>
      </c>
      <c r="D148" t="str">
        <f>IFERROR(VLOOKUP($B148, aegis!$B:$C, 2, FALSE), 0)</f>
        <v>24</v>
      </c>
      <c r="E148" t="str">
        <f>IFERROR(VLOOKUP($B148, duel!$B:$C, 2, FALSE), 0)</f>
        <v>24</v>
      </c>
      <c r="F148" t="str">
        <f>IFERROR(VLOOKUP($B148, blitz!$B:$C, 2, FALSE), 0)</f>
        <v>24</v>
      </c>
      <c r="G148" t="b">
        <f t="shared" si="53"/>
        <v>1</v>
      </c>
      <c r="H148" t="str">
        <f>IFERROR(VLOOKUP($B148, aegis!$G:$H, 2, FALSE), 0)</f>
        <v>14</v>
      </c>
      <c r="I148" t="str">
        <f>IFERROR(VLOOKUP($B148, duel!$G:$H, 2, FALSE), 0)</f>
        <v>14</v>
      </c>
      <c r="J148" t="str">
        <f>IFERROR(VLOOKUP($B148, blitz!$G:$H, 2, FALSE), 0)</f>
        <v>14</v>
      </c>
      <c r="K148" t="b">
        <f t="shared" si="54"/>
        <v>1</v>
      </c>
      <c r="L148" t="str">
        <f>IFERROR(VLOOKUP($B148, aegis!$L:$M, 2, FALSE), 0)</f>
        <v>24</v>
      </c>
      <c r="M148" t="str">
        <f>IFERROR(VLOOKUP($B148, duel!$L:$M, 2, FALSE), 0)</f>
        <v>24</v>
      </c>
      <c r="N148" t="str">
        <f>IFERROR(VLOOKUP($B148, blitz!$L:$M, 2, FALSE), 0)</f>
        <v>24</v>
      </c>
      <c r="O148" t="b">
        <f t="shared" si="55"/>
        <v>1</v>
      </c>
      <c r="P148" t="str">
        <f>IFERROR(VLOOKUP($B148, aegis!$Q:$R, 2, FALSE), 0)</f>
        <v>14</v>
      </c>
      <c r="Q148" t="str">
        <f>IFERROR(VLOOKUP($B148, duel!$Q:$R, 2, FALSE), 0)</f>
        <v>14</v>
      </c>
      <c r="R148" t="str">
        <f>IFERROR(VLOOKUP($B148, blitz!$Q:$R, 2, FALSE), 0)</f>
        <v>14</v>
      </c>
      <c r="S148" t="b">
        <f t="shared" si="56"/>
        <v>1</v>
      </c>
      <c r="T148">
        <f>IFERROR(VLOOKUP($B148, aegis!$V:$W, 2, FALSE), 0)</f>
        <v>0</v>
      </c>
      <c r="U148">
        <f>IFERROR(VLOOKUP($B148, duel!$V:$W, 2, FALSE), 0)</f>
        <v>0</v>
      </c>
      <c r="V148">
        <f>IFERROR(VLOOKUP($B148, blitz!$V:$W, 2, FALSE), 0)</f>
        <v>0</v>
      </c>
      <c r="W148" t="b">
        <f t="shared" si="57"/>
        <v>1</v>
      </c>
      <c r="X148" t="str">
        <f>IFERROR(VLOOKUP($B148, aegis!$AA:$AB, 2, FALSE), 0)</f>
        <v>2</v>
      </c>
      <c r="Y148" t="str">
        <f>IFERROR(VLOOKUP($B148, duel!$AA:$AB, 2, FALSE), 0)</f>
        <v>2</v>
      </c>
      <c r="Z148" t="str">
        <f>IFERROR(VLOOKUP($B148, blitz!$AA:$AB, 2, FALSE), 0)</f>
        <v>2</v>
      </c>
      <c r="AA148" t="b">
        <f t="shared" si="58"/>
        <v>1</v>
      </c>
      <c r="AB148" t="str">
        <f>IFERROR(VLOOKUP($B148, aegis!$AF:$AG, 2, FALSE), 0)</f>
        <v>45</v>
      </c>
      <c r="AC148" t="str">
        <f>IFERROR(VLOOKUP($B148, duel!$AF:$AG, 2, FALSE), 0)</f>
        <v>45</v>
      </c>
      <c r="AD148" t="str">
        <f>IFERROR(VLOOKUP($B148, blitz!$AF:$AG, 2, FALSE), 0)</f>
        <v>45</v>
      </c>
      <c r="AE148" t="b">
        <f t="shared" si="59"/>
        <v>1</v>
      </c>
      <c r="AF148" t="str">
        <f>IFERROR(VLOOKUP($B148, aegis!$AK:$AL, 2, FALSE), 0)</f>
        <v>3</v>
      </c>
      <c r="AG148" t="str">
        <f>IFERROR(VLOOKUP($B148, duel!$AK:$AL, 2, FALSE), 0)</f>
        <v>1</v>
      </c>
      <c r="AH148" t="str">
        <f>IFERROR(VLOOKUP($B148, blitz!$AK:$AL, 2, FALSE), 0)</f>
        <v>1</v>
      </c>
      <c r="AI148" t="b">
        <f t="shared" si="60"/>
        <v>0</v>
      </c>
      <c r="AJ148" t="str">
        <f>IFERROR(VLOOKUP($B148, aegis!$AP:$AQ, 2, FALSE), 0)</f>
        <v>1</v>
      </c>
      <c r="AK148" t="str">
        <f>IFERROR(VLOOKUP($B148, duel!$AP:$AQ, 2, FALSE), 0)</f>
        <v>1</v>
      </c>
      <c r="AL148" t="str">
        <f>IFERROR(VLOOKUP($B148, blitz!$AP:$AQ, 2, FALSE), 0)</f>
        <v>1</v>
      </c>
      <c r="AM148" t="b">
        <f t="shared" si="61"/>
        <v>1</v>
      </c>
      <c r="AN148">
        <f>IFERROR(VLOOKUP($B148, aegis!$AU:$AV, 2, FALSE), 0)</f>
        <v>0</v>
      </c>
      <c r="AO148">
        <f>IFERROR(VLOOKUP($B148, duel!$AU:$AV, 2, FALSE), 0)</f>
        <v>0</v>
      </c>
      <c r="AP148">
        <f>IFERROR(VLOOKUP($B148, blitz!$AU:$AV, 2, FALSE), 0)</f>
        <v>0</v>
      </c>
      <c r="AQ148" t="b">
        <f t="shared" si="62"/>
        <v>1</v>
      </c>
      <c r="AR148" t="str">
        <f>IFERROR(VLOOKUP($B148, aegis!$AZ:$BA, 2, FALSE), 0)</f>
        <v>2</v>
      </c>
      <c r="AS148" t="str">
        <f>IFERROR(VLOOKUP($B148, duel!$AZ:$BA, 2, FALSE), 0)</f>
        <v>2</v>
      </c>
      <c r="AT148" t="str">
        <f>IFERROR(VLOOKUP($B148, blitz!$AZ:$BA, 2, FALSE), 0)</f>
        <v>2</v>
      </c>
      <c r="AU148" t="b">
        <f t="shared" si="63"/>
        <v>1</v>
      </c>
      <c r="AV148" t="str">
        <f>IFERROR(VLOOKUP($B148, aegis!$BE:$BF, 2, FALSE), 0)</f>
        <v>1</v>
      </c>
      <c r="AW148" t="str">
        <f>IFERROR(VLOOKUP($B148, duel!$BE:$BF, 2, FALSE), 0)</f>
        <v>1</v>
      </c>
      <c r="AX148" t="str">
        <f>IFERROR(VLOOKUP($B148, blitz!$BE:$BF, 2, FALSE), 0)</f>
        <v>1</v>
      </c>
      <c r="AY148" t="b">
        <f t="shared" si="64"/>
        <v>1</v>
      </c>
      <c r="AZ148" t="str">
        <f>IFERROR(VLOOKUP($B148, aegis!$BJ:$BK, 2, FALSE), 0)</f>
        <v>1</v>
      </c>
      <c r="BA148" t="str">
        <f>IFERROR(VLOOKUP($B148, duel!$BJ:$BK, 2, FALSE), 0)</f>
        <v>1</v>
      </c>
      <c r="BB148" t="str">
        <f>IFERROR(VLOOKUP($B148, blitz!$BJ:$BK, 2, FALSE), 0)</f>
        <v>1</v>
      </c>
      <c r="BC148" t="b">
        <f t="shared" si="65"/>
        <v>1</v>
      </c>
      <c r="BD148">
        <f>IFERROR(VLOOKUP($B148, aegis!$BO:$BP, 2, FALSE), 0)</f>
        <v>0</v>
      </c>
      <c r="BE148">
        <f>IFERROR(VLOOKUP($B148, duel!$BO:$BP, 2, FALSE), 0)</f>
        <v>0</v>
      </c>
      <c r="BF148">
        <f>IFERROR(VLOOKUP($B148, blitz!$BO:$BP, 2, FALSE), 0)</f>
        <v>0</v>
      </c>
      <c r="BG148" t="b">
        <f t="shared" si="66"/>
        <v>1</v>
      </c>
      <c r="BH148" t="str">
        <f>IFERROR(VLOOKUP($B148, aegis!$BT:$BU, 2, FALSE), 0)</f>
        <v>15</v>
      </c>
      <c r="BI148" t="str">
        <f>IFERROR(VLOOKUP($B148, duel!$BT:$BU, 2, FALSE), 0)</f>
        <v>15</v>
      </c>
      <c r="BJ148" t="str">
        <f>IFERROR(VLOOKUP($B148, blitz!$BT:$BU, 2, FALSE), 0)</f>
        <v>15</v>
      </c>
      <c r="BK148" t="b">
        <f t="shared" si="67"/>
        <v>1</v>
      </c>
      <c r="BL148" t="str">
        <f>IFERROR(VLOOKUP($B148, aegis!$BY:$BZ, 2, FALSE), 0)</f>
        <v>1</v>
      </c>
      <c r="BM148" t="str">
        <f>IFERROR(VLOOKUP($B148, duel!$BY:$BZ, 2, FALSE), 0)</f>
        <v>1</v>
      </c>
      <c r="BN148" t="str">
        <f>IFERROR(VLOOKUP($B148, blitz!$BY:$BZ, 2, FALSE), 0)</f>
        <v>1</v>
      </c>
      <c r="BO148" t="b">
        <f t="shared" si="68"/>
        <v>1</v>
      </c>
      <c r="BP148" t="str">
        <f>IFERROR(VLOOKUP($B148, aegis!$CD:$CE, 2, FALSE), 0)</f>
        <v>3</v>
      </c>
      <c r="BQ148" t="str">
        <f>IFERROR(VLOOKUP($B148, duel!$CD:$CE, 2, FALSE), 0)</f>
        <v>3</v>
      </c>
      <c r="BR148" t="str">
        <f>IFERROR(VLOOKUP($B148, blitz!$CD:$CE, 2, FALSE), 0)</f>
        <v>3</v>
      </c>
      <c r="BS148" t="b">
        <f t="shared" si="69"/>
        <v>1</v>
      </c>
      <c r="BT148">
        <f>IFERROR(VLOOKUP($B148, aegis!$CI:$CJ, 2, FALSE), 0)</f>
        <v>0</v>
      </c>
      <c r="BU148">
        <f>IFERROR(VLOOKUP($B148, duel!$CI:$CJ, 2, FALSE), 0)</f>
        <v>0</v>
      </c>
      <c r="BV148">
        <f>IFERROR(VLOOKUP($B148, blitz!$CI:$CJ, 2, FALSE), 0)</f>
        <v>0</v>
      </c>
      <c r="BW148" t="b">
        <f t="shared" si="70"/>
        <v>1</v>
      </c>
      <c r="BX148">
        <f>IFERROR(VLOOKUP($B148, aegis!$CN:$CO, 2, FALSE), 0)</f>
        <v>0</v>
      </c>
      <c r="BY148">
        <f>IFERROR(VLOOKUP($B148, duel!$CN:$CO, 2, FALSE), 0)</f>
        <v>0</v>
      </c>
      <c r="BZ148">
        <f>IFERROR(VLOOKUP($B148, blitz!$CN:$CO, 2, FALSE), 0)</f>
        <v>0</v>
      </c>
      <c r="CA148" t="b">
        <f t="shared" si="71"/>
        <v>1</v>
      </c>
      <c r="CB148">
        <f>IFERROR(VLOOKUP($B148, aegis!$CS:$CT, 2, FALSE), 0)</f>
        <v>0</v>
      </c>
      <c r="CC148">
        <f>IFERROR(VLOOKUP($B148, duel!$CS:$CT, 2, FALSE), 0)</f>
        <v>0</v>
      </c>
      <c r="CD148">
        <f>IFERROR(VLOOKUP($B148, blitz!$CS:$CT, 2, FALSE), 0)</f>
        <v>0</v>
      </c>
      <c r="CE148" t="b">
        <f t="shared" si="72"/>
        <v>1</v>
      </c>
      <c r="CF148" t="str">
        <f>IFERROR(VLOOKUP($B148, aegis!$CX:$CY, 2, FALSE), 0)</f>
        <v>39</v>
      </c>
      <c r="CG148" t="str">
        <f>IFERROR(VLOOKUP($B148, duel!$CX:$CY, 2, FALSE), 0)</f>
        <v>39</v>
      </c>
      <c r="CH148" t="str">
        <f>IFERROR(VLOOKUP($B148, blitz!$CX:$CY, 2, FALSE), 0)</f>
        <v>39</v>
      </c>
      <c r="CI148" t="b">
        <f t="shared" si="73"/>
        <v>1</v>
      </c>
      <c r="CJ148" t="str">
        <f>IFERROR(VLOOKUP($B148, aegis!$DC:$DD, 2, FALSE), 0)</f>
        <v>2</v>
      </c>
      <c r="CK148" t="str">
        <f>IFERROR(VLOOKUP($B148, duel!$DC:$DD, 2, FALSE), 0)</f>
        <v>2</v>
      </c>
      <c r="CL148" t="str">
        <f>IFERROR(VLOOKUP($B148, blitz!$DC:$DD, 2, FALSE), 0)</f>
        <v>2</v>
      </c>
      <c r="CM148" t="b">
        <f t="shared" si="74"/>
        <v>1</v>
      </c>
      <c r="CN148" t="str">
        <f>IFERROR(VLOOKUP($B148, aegis!$DH:$DI, 2, FALSE), 0)</f>
        <v>1</v>
      </c>
      <c r="CO148" t="str">
        <f>IFERROR(VLOOKUP($B148, duel!$DH:$DI, 2, FALSE), 0)</f>
        <v>1</v>
      </c>
      <c r="CP148" s="13">
        <f>IFERROR(VLOOKUP($B148, blitz!$DH:$DI, 2, FALSE), 0)</f>
        <v>0</v>
      </c>
      <c r="CQ148" t="b">
        <f t="shared" si="75"/>
        <v>1</v>
      </c>
      <c r="CR148" t="str">
        <f>IFERROR(VLOOKUP($B148, aegis!$DM:$DN, 2, FALSE), 0)</f>
        <v>1</v>
      </c>
      <c r="CS148" t="str">
        <f>IFERROR(VLOOKUP($B148, duel!$DM:$DN, 2, FALSE), 0)</f>
        <v>1</v>
      </c>
      <c r="CT148" t="str">
        <f>IFERROR(VLOOKUP($B148, blitz!$DM:$DN, 2, FALSE), 0)</f>
        <v>1</v>
      </c>
      <c r="CU148" t="b">
        <f t="shared" si="76"/>
        <v>1</v>
      </c>
      <c r="CV148" t="str">
        <f>IFERROR(VLOOKUP($B148, aegis!$DR:$DS, 2, FALSE), 0)</f>
        <v>45</v>
      </c>
      <c r="CW148" t="str">
        <f>IFERROR(VLOOKUP($B148, duel!$DR:$DS, 2, FALSE), 0)</f>
        <v>45</v>
      </c>
      <c r="CX148" t="str">
        <f>IFERROR(VLOOKUP($B148, blitz!$DR:$DS, 2, FALSE), 0)</f>
        <v>45</v>
      </c>
      <c r="CY148" t="b">
        <f t="shared" si="77"/>
        <v>1</v>
      </c>
    </row>
    <row r="149" spans="2:103">
      <c r="B149" s="6" t="s">
        <v>274</v>
      </c>
      <c r="C149" s="5" t="b">
        <f t="shared" si="52"/>
        <v>0</v>
      </c>
      <c r="D149" t="str">
        <f>IFERROR(VLOOKUP($B149, aegis!$B:$C, 2, FALSE), 0)</f>
        <v>24</v>
      </c>
      <c r="E149" t="str">
        <f>IFERROR(VLOOKUP($B149, duel!$B:$C, 2, FALSE), 0)</f>
        <v>24</v>
      </c>
      <c r="F149" t="str">
        <f>IFERROR(VLOOKUP($B149, blitz!$B:$C, 2, FALSE), 0)</f>
        <v>24</v>
      </c>
      <c r="G149" t="b">
        <f t="shared" si="53"/>
        <v>1</v>
      </c>
      <c r="H149" t="str">
        <f>IFERROR(VLOOKUP($B149, aegis!$G:$H, 2, FALSE), 0)</f>
        <v>14</v>
      </c>
      <c r="I149" t="str">
        <f>IFERROR(VLOOKUP($B149, duel!$G:$H, 2, FALSE), 0)</f>
        <v>14</v>
      </c>
      <c r="J149" t="str">
        <f>IFERROR(VLOOKUP($B149, blitz!$G:$H, 2, FALSE), 0)</f>
        <v>14</v>
      </c>
      <c r="K149" t="b">
        <f t="shared" si="54"/>
        <v>1</v>
      </c>
      <c r="L149" t="str">
        <f>IFERROR(VLOOKUP($B149, aegis!$L:$M, 2, FALSE), 0)</f>
        <v>24</v>
      </c>
      <c r="M149" t="str">
        <f>IFERROR(VLOOKUP($B149, duel!$L:$M, 2, FALSE), 0)</f>
        <v>24</v>
      </c>
      <c r="N149" t="str">
        <f>IFERROR(VLOOKUP($B149, blitz!$L:$M, 2, FALSE), 0)</f>
        <v>24</v>
      </c>
      <c r="O149" t="b">
        <f t="shared" si="55"/>
        <v>1</v>
      </c>
      <c r="P149" t="str">
        <f>IFERROR(VLOOKUP($B149, aegis!$Q:$R, 2, FALSE), 0)</f>
        <v>14</v>
      </c>
      <c r="Q149" t="str">
        <f>IFERROR(VLOOKUP($B149, duel!$Q:$R, 2, FALSE), 0)</f>
        <v>14</v>
      </c>
      <c r="R149" t="str">
        <f>IFERROR(VLOOKUP($B149, blitz!$Q:$R, 2, FALSE), 0)</f>
        <v>14</v>
      </c>
      <c r="S149" t="b">
        <f t="shared" si="56"/>
        <v>1</v>
      </c>
      <c r="T149">
        <f>IFERROR(VLOOKUP($B149, aegis!$V:$W, 2, FALSE), 0)</f>
        <v>0</v>
      </c>
      <c r="U149">
        <f>IFERROR(VLOOKUP($B149, duel!$V:$W, 2, FALSE), 0)</f>
        <v>0</v>
      </c>
      <c r="V149">
        <f>IFERROR(VLOOKUP($B149, blitz!$V:$W, 2, FALSE), 0)</f>
        <v>0</v>
      </c>
      <c r="W149" t="b">
        <f t="shared" si="57"/>
        <v>1</v>
      </c>
      <c r="X149" t="str">
        <f>IFERROR(VLOOKUP($B149, aegis!$AA:$AB, 2, FALSE), 0)</f>
        <v>2</v>
      </c>
      <c r="Y149" t="str">
        <f>IFERROR(VLOOKUP($B149, duel!$AA:$AB, 2, FALSE), 0)</f>
        <v>2</v>
      </c>
      <c r="Z149" t="str">
        <f>IFERROR(VLOOKUP($B149, blitz!$AA:$AB, 2, FALSE), 0)</f>
        <v>2</v>
      </c>
      <c r="AA149" t="b">
        <f t="shared" si="58"/>
        <v>1</v>
      </c>
      <c r="AB149" t="str">
        <f>IFERROR(VLOOKUP($B149, aegis!$AF:$AG, 2, FALSE), 0)</f>
        <v>47</v>
      </c>
      <c r="AC149" t="str">
        <f>IFERROR(VLOOKUP($B149, duel!$AF:$AG, 2, FALSE), 0)</f>
        <v>47</v>
      </c>
      <c r="AD149" t="str">
        <f>IFERROR(VLOOKUP($B149, blitz!$AF:$AG, 2, FALSE), 0)</f>
        <v>47</v>
      </c>
      <c r="AE149" t="b">
        <f t="shared" si="59"/>
        <v>1</v>
      </c>
      <c r="AF149" t="str">
        <f>IFERROR(VLOOKUP($B149, aegis!$AK:$AL, 2, FALSE), 0)</f>
        <v>3</v>
      </c>
      <c r="AG149" t="str">
        <f>IFERROR(VLOOKUP($B149, duel!$AK:$AL, 2, FALSE), 0)</f>
        <v>1</v>
      </c>
      <c r="AH149" t="str">
        <f>IFERROR(VLOOKUP($B149, blitz!$AK:$AL, 2, FALSE), 0)</f>
        <v>1</v>
      </c>
      <c r="AI149" t="b">
        <f t="shared" si="60"/>
        <v>0</v>
      </c>
      <c r="AJ149" t="str">
        <f>IFERROR(VLOOKUP($B149, aegis!$AP:$AQ, 2, FALSE), 0)</f>
        <v>1</v>
      </c>
      <c r="AK149" t="str">
        <f>IFERROR(VLOOKUP($B149, duel!$AP:$AQ, 2, FALSE), 0)</f>
        <v>1</v>
      </c>
      <c r="AL149" t="str">
        <f>IFERROR(VLOOKUP($B149, blitz!$AP:$AQ, 2, FALSE), 0)</f>
        <v>1</v>
      </c>
      <c r="AM149" t="b">
        <f t="shared" si="61"/>
        <v>1</v>
      </c>
      <c r="AN149">
        <f>IFERROR(VLOOKUP($B149, aegis!$AU:$AV, 2, FALSE), 0)</f>
        <v>0</v>
      </c>
      <c r="AO149">
        <f>IFERROR(VLOOKUP($B149, duel!$AU:$AV, 2, FALSE), 0)</f>
        <v>0</v>
      </c>
      <c r="AP149">
        <f>IFERROR(VLOOKUP($B149, blitz!$AU:$AV, 2, FALSE), 0)</f>
        <v>0</v>
      </c>
      <c r="AQ149" t="b">
        <f t="shared" si="62"/>
        <v>1</v>
      </c>
      <c r="AR149" t="str">
        <f>IFERROR(VLOOKUP($B149, aegis!$AZ:$BA, 2, FALSE), 0)</f>
        <v>2</v>
      </c>
      <c r="AS149" t="str">
        <f>IFERROR(VLOOKUP($B149, duel!$AZ:$BA, 2, FALSE), 0)</f>
        <v>2</v>
      </c>
      <c r="AT149" t="str">
        <f>IFERROR(VLOOKUP($B149, blitz!$AZ:$BA, 2, FALSE), 0)</f>
        <v>2</v>
      </c>
      <c r="AU149" t="b">
        <f t="shared" si="63"/>
        <v>1</v>
      </c>
      <c r="AV149" t="str">
        <f>IFERROR(VLOOKUP($B149, aegis!$BE:$BF, 2, FALSE), 0)</f>
        <v>1</v>
      </c>
      <c r="AW149" t="str">
        <f>IFERROR(VLOOKUP($B149, duel!$BE:$BF, 2, FALSE), 0)</f>
        <v>1</v>
      </c>
      <c r="AX149" t="str">
        <f>IFERROR(VLOOKUP($B149, blitz!$BE:$BF, 2, FALSE), 0)</f>
        <v>1</v>
      </c>
      <c r="AY149" t="b">
        <f t="shared" si="64"/>
        <v>1</v>
      </c>
      <c r="AZ149" t="str">
        <f>IFERROR(VLOOKUP($B149, aegis!$BJ:$BK, 2, FALSE), 0)</f>
        <v>1</v>
      </c>
      <c r="BA149" t="str">
        <f>IFERROR(VLOOKUP($B149, duel!$BJ:$BK, 2, FALSE), 0)</f>
        <v>1</v>
      </c>
      <c r="BB149" t="str">
        <f>IFERROR(VLOOKUP($B149, blitz!$BJ:$BK, 2, FALSE), 0)</f>
        <v>1</v>
      </c>
      <c r="BC149" t="b">
        <f t="shared" si="65"/>
        <v>1</v>
      </c>
      <c r="BD149">
        <f>IFERROR(VLOOKUP($B149, aegis!$BO:$BP, 2, FALSE), 0)</f>
        <v>0</v>
      </c>
      <c r="BE149">
        <f>IFERROR(VLOOKUP($B149, duel!$BO:$BP, 2, FALSE), 0)</f>
        <v>0</v>
      </c>
      <c r="BF149">
        <f>IFERROR(VLOOKUP($B149, blitz!$BO:$BP, 2, FALSE), 0)</f>
        <v>0</v>
      </c>
      <c r="BG149" t="b">
        <f t="shared" si="66"/>
        <v>1</v>
      </c>
      <c r="BH149">
        <f>IFERROR(VLOOKUP($B149, aegis!$BT:$BU, 2, FALSE), 0)</f>
        <v>0</v>
      </c>
      <c r="BI149">
        <f>IFERROR(VLOOKUP($B149, duel!$BT:$BU, 2, FALSE), 0)</f>
        <v>0</v>
      </c>
      <c r="BJ149">
        <f>IFERROR(VLOOKUP($B149, blitz!$BT:$BU, 2, FALSE), 0)</f>
        <v>0</v>
      </c>
      <c r="BK149" t="b">
        <f t="shared" si="67"/>
        <v>1</v>
      </c>
      <c r="BL149" t="str">
        <f>IFERROR(VLOOKUP($B149, aegis!$BY:$BZ, 2, FALSE), 0)</f>
        <v>1</v>
      </c>
      <c r="BM149" t="str">
        <f>IFERROR(VLOOKUP($B149, duel!$BY:$BZ, 2, FALSE), 0)</f>
        <v>1</v>
      </c>
      <c r="BN149" t="str">
        <f>IFERROR(VLOOKUP($B149, blitz!$BY:$BZ, 2, FALSE), 0)</f>
        <v>1</v>
      </c>
      <c r="BO149" t="b">
        <f t="shared" si="68"/>
        <v>1</v>
      </c>
      <c r="BP149" t="str">
        <f>IFERROR(VLOOKUP($B149, aegis!$CD:$CE, 2, FALSE), 0)</f>
        <v>5</v>
      </c>
      <c r="BQ149" t="str">
        <f>IFERROR(VLOOKUP($B149, duel!$CD:$CE, 2, FALSE), 0)</f>
        <v>5</v>
      </c>
      <c r="BR149" t="str">
        <f>IFERROR(VLOOKUP($B149, blitz!$CD:$CE, 2, FALSE), 0)</f>
        <v>5</v>
      </c>
      <c r="BS149" t="b">
        <f t="shared" si="69"/>
        <v>1</v>
      </c>
      <c r="BT149">
        <f>IFERROR(VLOOKUP($B149, aegis!$CI:$CJ, 2, FALSE), 0)</f>
        <v>0</v>
      </c>
      <c r="BU149">
        <f>IFERROR(VLOOKUP($B149, duel!$CI:$CJ, 2, FALSE), 0)</f>
        <v>0</v>
      </c>
      <c r="BV149">
        <f>IFERROR(VLOOKUP($B149, blitz!$CI:$CJ, 2, FALSE), 0)</f>
        <v>0</v>
      </c>
      <c r="BW149" t="b">
        <f t="shared" si="70"/>
        <v>1</v>
      </c>
      <c r="BX149">
        <f>IFERROR(VLOOKUP($B149, aegis!$CN:$CO, 2, FALSE), 0)</f>
        <v>0</v>
      </c>
      <c r="BY149">
        <f>IFERROR(VLOOKUP($B149, duel!$CN:$CO, 2, FALSE), 0)</f>
        <v>0</v>
      </c>
      <c r="BZ149">
        <f>IFERROR(VLOOKUP($B149, blitz!$CN:$CO, 2, FALSE), 0)</f>
        <v>0</v>
      </c>
      <c r="CA149" t="b">
        <f t="shared" si="71"/>
        <v>1</v>
      </c>
      <c r="CB149">
        <f>IFERROR(VLOOKUP($B149, aegis!$CS:$CT, 2, FALSE), 0)</f>
        <v>0</v>
      </c>
      <c r="CC149">
        <f>IFERROR(VLOOKUP($B149, duel!$CS:$CT, 2, FALSE), 0)</f>
        <v>0</v>
      </c>
      <c r="CD149">
        <f>IFERROR(VLOOKUP($B149, blitz!$CS:$CT, 2, FALSE), 0)</f>
        <v>0</v>
      </c>
      <c r="CE149" t="b">
        <f t="shared" si="72"/>
        <v>1</v>
      </c>
      <c r="CF149">
        <f>IFERROR(VLOOKUP($B149, aegis!$CX:$CY, 2, FALSE), 0)</f>
        <v>0</v>
      </c>
      <c r="CG149">
        <f>IFERROR(VLOOKUP($B149, duel!$CX:$CY, 2, FALSE), 0)</f>
        <v>0</v>
      </c>
      <c r="CH149">
        <f>IFERROR(VLOOKUP($B149, blitz!$CX:$CY, 2, FALSE), 0)</f>
        <v>0</v>
      </c>
      <c r="CI149" t="b">
        <f t="shared" si="73"/>
        <v>1</v>
      </c>
      <c r="CJ149" t="str">
        <f>IFERROR(VLOOKUP($B149, aegis!$DC:$DD, 2, FALSE), 0)</f>
        <v>1</v>
      </c>
      <c r="CK149" t="str">
        <f>IFERROR(VLOOKUP($B149, duel!$DC:$DD, 2, FALSE), 0)</f>
        <v>1</v>
      </c>
      <c r="CL149" t="str">
        <f>IFERROR(VLOOKUP($B149, blitz!$DC:$DD, 2, FALSE), 0)</f>
        <v>1</v>
      </c>
      <c r="CM149" t="b">
        <f t="shared" si="74"/>
        <v>1</v>
      </c>
      <c r="CN149" t="str">
        <f>IFERROR(VLOOKUP($B149, aegis!$DH:$DI, 2, FALSE), 0)</f>
        <v>3</v>
      </c>
      <c r="CO149" t="str">
        <f>IFERROR(VLOOKUP($B149, duel!$DH:$DI, 2, FALSE), 0)</f>
        <v>3</v>
      </c>
      <c r="CP149" s="13">
        <f>IFERROR(VLOOKUP($B149, blitz!$DH:$DI, 2, FALSE), 0)</f>
        <v>0</v>
      </c>
      <c r="CQ149" t="b">
        <f t="shared" si="75"/>
        <v>1</v>
      </c>
      <c r="CR149" t="str">
        <f>IFERROR(VLOOKUP($B149, aegis!$DM:$DN, 2, FALSE), 0)</f>
        <v>3</v>
      </c>
      <c r="CS149" t="str">
        <f>IFERROR(VLOOKUP($B149, duel!$DM:$DN, 2, FALSE), 0)</f>
        <v>3</v>
      </c>
      <c r="CT149" t="str">
        <f>IFERROR(VLOOKUP($B149, blitz!$DM:$DN, 2, FALSE), 0)</f>
        <v>3</v>
      </c>
      <c r="CU149" t="b">
        <f t="shared" si="76"/>
        <v>1</v>
      </c>
      <c r="CV149" t="str">
        <f>IFERROR(VLOOKUP($B149, aegis!$DR:$DS, 2, FALSE), 0)</f>
        <v>47</v>
      </c>
      <c r="CW149" t="str">
        <f>IFERROR(VLOOKUP($B149, duel!$DR:$DS, 2, FALSE), 0)</f>
        <v>47</v>
      </c>
      <c r="CX149" t="str">
        <f>IFERROR(VLOOKUP($B149, blitz!$DR:$DS, 2, FALSE), 0)</f>
        <v>47</v>
      </c>
      <c r="CY149" t="b">
        <f t="shared" si="77"/>
        <v>1</v>
      </c>
    </row>
    <row r="150" spans="2:103">
      <c r="B150" s="6" t="s">
        <v>276</v>
      </c>
      <c r="C150" s="5" t="b">
        <f t="shared" si="52"/>
        <v>0</v>
      </c>
      <c r="D150" t="str">
        <f>IFERROR(VLOOKUP($B150, aegis!$B:$C, 2, FALSE), 0)</f>
        <v>24</v>
      </c>
      <c r="E150" t="str">
        <f>IFERROR(VLOOKUP($B150, duel!$B:$C, 2, FALSE), 0)</f>
        <v>24</v>
      </c>
      <c r="F150" t="str">
        <f>IFERROR(VLOOKUP($B150, blitz!$B:$C, 2, FALSE), 0)</f>
        <v>24</v>
      </c>
      <c r="G150" t="b">
        <f t="shared" si="53"/>
        <v>1</v>
      </c>
      <c r="H150" t="str">
        <f>IFERROR(VLOOKUP($B150, aegis!$G:$H, 2, FALSE), 0)</f>
        <v>14</v>
      </c>
      <c r="I150" t="str">
        <f>IFERROR(VLOOKUP($B150, duel!$G:$H, 2, FALSE), 0)</f>
        <v>14</v>
      </c>
      <c r="J150" t="str">
        <f>IFERROR(VLOOKUP($B150, blitz!$G:$H, 2, FALSE), 0)</f>
        <v>14</v>
      </c>
      <c r="K150" t="b">
        <f t="shared" si="54"/>
        <v>1</v>
      </c>
      <c r="L150" t="str">
        <f>IFERROR(VLOOKUP($B150, aegis!$L:$M, 2, FALSE), 0)</f>
        <v>24</v>
      </c>
      <c r="M150" t="str">
        <f>IFERROR(VLOOKUP($B150, duel!$L:$M, 2, FALSE), 0)</f>
        <v>24</v>
      </c>
      <c r="N150" t="str">
        <f>IFERROR(VLOOKUP($B150, blitz!$L:$M, 2, FALSE), 0)</f>
        <v>24</v>
      </c>
      <c r="O150" t="b">
        <f t="shared" si="55"/>
        <v>1</v>
      </c>
      <c r="P150" t="str">
        <f>IFERROR(VLOOKUP($B150, aegis!$Q:$R, 2, FALSE), 0)</f>
        <v>14</v>
      </c>
      <c r="Q150" t="str">
        <f>IFERROR(VLOOKUP($B150, duel!$Q:$R, 2, FALSE), 0)</f>
        <v>14</v>
      </c>
      <c r="R150" t="str">
        <f>IFERROR(VLOOKUP($B150, blitz!$Q:$R, 2, FALSE), 0)</f>
        <v>14</v>
      </c>
      <c r="S150" t="b">
        <f t="shared" si="56"/>
        <v>1</v>
      </c>
      <c r="T150">
        <f>IFERROR(VLOOKUP($B150, aegis!$V:$W, 2, FALSE), 0)</f>
        <v>0</v>
      </c>
      <c r="U150">
        <f>IFERROR(VLOOKUP($B150, duel!$V:$W, 2, FALSE), 0)</f>
        <v>0</v>
      </c>
      <c r="V150">
        <f>IFERROR(VLOOKUP($B150, blitz!$V:$W, 2, FALSE), 0)</f>
        <v>0</v>
      </c>
      <c r="W150" t="b">
        <f t="shared" si="57"/>
        <v>1</v>
      </c>
      <c r="X150" t="str">
        <f>IFERROR(VLOOKUP($B150, aegis!$AA:$AB, 2, FALSE), 0)</f>
        <v>2</v>
      </c>
      <c r="Y150" t="str">
        <f>IFERROR(VLOOKUP($B150, duel!$AA:$AB, 2, FALSE), 0)</f>
        <v>2</v>
      </c>
      <c r="Z150" t="str">
        <f>IFERROR(VLOOKUP($B150, blitz!$AA:$AB, 2, FALSE), 0)</f>
        <v>2</v>
      </c>
      <c r="AA150" t="b">
        <f t="shared" si="58"/>
        <v>1</v>
      </c>
      <c r="AB150" t="str">
        <f>IFERROR(VLOOKUP($B150, aegis!$AF:$AG, 2, FALSE), 0)</f>
        <v>1</v>
      </c>
      <c r="AC150" t="str">
        <f>IFERROR(VLOOKUP($B150, duel!$AF:$AG, 2, FALSE), 0)</f>
        <v>1</v>
      </c>
      <c r="AD150" t="str">
        <f>IFERROR(VLOOKUP($B150, blitz!$AF:$AG, 2, FALSE), 0)</f>
        <v>1</v>
      </c>
      <c r="AE150" t="b">
        <f t="shared" si="59"/>
        <v>1</v>
      </c>
      <c r="AF150" t="str">
        <f>IFERROR(VLOOKUP($B150, aegis!$AK:$AL, 2, FALSE), 0)</f>
        <v>3</v>
      </c>
      <c r="AG150" t="str">
        <f>IFERROR(VLOOKUP($B150, duel!$AK:$AL, 2, FALSE), 0)</f>
        <v>1</v>
      </c>
      <c r="AH150" t="str">
        <f>IFERROR(VLOOKUP($B150, blitz!$AK:$AL, 2, FALSE), 0)</f>
        <v>1</v>
      </c>
      <c r="AI150" t="b">
        <f t="shared" si="60"/>
        <v>0</v>
      </c>
      <c r="AJ150" t="str">
        <f>IFERROR(VLOOKUP($B150, aegis!$AP:$AQ, 2, FALSE), 0)</f>
        <v>1</v>
      </c>
      <c r="AK150" t="str">
        <f>IFERROR(VLOOKUP($B150, duel!$AP:$AQ, 2, FALSE), 0)</f>
        <v>1</v>
      </c>
      <c r="AL150" t="str">
        <f>IFERROR(VLOOKUP($B150, blitz!$AP:$AQ, 2, FALSE), 0)</f>
        <v>1</v>
      </c>
      <c r="AM150" t="b">
        <f t="shared" si="61"/>
        <v>1</v>
      </c>
      <c r="AN150">
        <f>IFERROR(VLOOKUP($B150, aegis!$AU:$AV, 2, FALSE), 0)</f>
        <v>0</v>
      </c>
      <c r="AO150">
        <f>IFERROR(VLOOKUP($B150, duel!$AU:$AV, 2, FALSE), 0)</f>
        <v>0</v>
      </c>
      <c r="AP150">
        <f>IFERROR(VLOOKUP($B150, blitz!$AU:$AV, 2, FALSE), 0)</f>
        <v>0</v>
      </c>
      <c r="AQ150" t="b">
        <f t="shared" si="62"/>
        <v>1</v>
      </c>
      <c r="AR150" t="str">
        <f>IFERROR(VLOOKUP($B150, aegis!$AZ:$BA, 2, FALSE), 0)</f>
        <v>2</v>
      </c>
      <c r="AS150" t="str">
        <f>IFERROR(VLOOKUP($B150, duel!$AZ:$BA, 2, FALSE), 0)</f>
        <v>2</v>
      </c>
      <c r="AT150" t="str">
        <f>IFERROR(VLOOKUP($B150, blitz!$AZ:$BA, 2, FALSE), 0)</f>
        <v>2</v>
      </c>
      <c r="AU150" t="b">
        <f t="shared" si="63"/>
        <v>1</v>
      </c>
      <c r="AV150" t="str">
        <f>IFERROR(VLOOKUP($B150, aegis!$BE:$BF, 2, FALSE), 0)</f>
        <v>1</v>
      </c>
      <c r="AW150" t="str">
        <f>IFERROR(VLOOKUP($B150, duel!$BE:$BF, 2, FALSE), 0)</f>
        <v>1</v>
      </c>
      <c r="AX150" t="str">
        <f>IFERROR(VLOOKUP($B150, blitz!$BE:$BF, 2, FALSE), 0)</f>
        <v>1</v>
      </c>
      <c r="AY150" t="b">
        <f t="shared" si="64"/>
        <v>1</v>
      </c>
      <c r="AZ150" t="str">
        <f>IFERROR(VLOOKUP($B150, aegis!$BJ:$BK, 2, FALSE), 0)</f>
        <v>1</v>
      </c>
      <c r="BA150" t="str">
        <f>IFERROR(VLOOKUP($B150, duel!$BJ:$BK, 2, FALSE), 0)</f>
        <v>1</v>
      </c>
      <c r="BB150" t="str">
        <f>IFERROR(VLOOKUP($B150, blitz!$BJ:$BK, 2, FALSE), 0)</f>
        <v>1</v>
      </c>
      <c r="BC150" t="b">
        <f t="shared" si="65"/>
        <v>1</v>
      </c>
      <c r="BD150">
        <f>IFERROR(VLOOKUP($B150, aegis!$BO:$BP, 2, FALSE), 0)</f>
        <v>0</v>
      </c>
      <c r="BE150">
        <f>IFERROR(VLOOKUP($B150, duel!$BO:$BP, 2, FALSE), 0)</f>
        <v>0</v>
      </c>
      <c r="BF150">
        <f>IFERROR(VLOOKUP($B150, blitz!$BO:$BP, 2, FALSE), 0)</f>
        <v>0</v>
      </c>
      <c r="BG150" t="b">
        <f t="shared" si="66"/>
        <v>1</v>
      </c>
      <c r="BH150">
        <f>IFERROR(VLOOKUP($B150, aegis!$BT:$BU, 2, FALSE), 0)</f>
        <v>0</v>
      </c>
      <c r="BI150">
        <f>IFERROR(VLOOKUP($B150, duel!$BT:$BU, 2, FALSE), 0)</f>
        <v>0</v>
      </c>
      <c r="BJ150">
        <f>IFERROR(VLOOKUP($B150, blitz!$BT:$BU, 2, FALSE), 0)</f>
        <v>0</v>
      </c>
      <c r="BK150" t="b">
        <f t="shared" si="67"/>
        <v>1</v>
      </c>
      <c r="BL150" t="str">
        <f>IFERROR(VLOOKUP($B150, aegis!$BY:$BZ, 2, FALSE), 0)</f>
        <v>1</v>
      </c>
      <c r="BM150" t="str">
        <f>IFERROR(VLOOKUP($B150, duel!$BY:$BZ, 2, FALSE), 0)</f>
        <v>1</v>
      </c>
      <c r="BN150" t="str">
        <f>IFERROR(VLOOKUP($B150, blitz!$BY:$BZ, 2, FALSE), 0)</f>
        <v>1</v>
      </c>
      <c r="BO150" t="b">
        <f t="shared" si="68"/>
        <v>1</v>
      </c>
      <c r="BP150" t="str">
        <f>IFERROR(VLOOKUP($B150, aegis!$CD:$CE, 2, FALSE), 0)</f>
        <v>5</v>
      </c>
      <c r="BQ150" t="str">
        <f>IFERROR(VLOOKUP($B150, duel!$CD:$CE, 2, FALSE), 0)</f>
        <v>5</v>
      </c>
      <c r="BR150" t="str">
        <f>IFERROR(VLOOKUP($B150, blitz!$CD:$CE, 2, FALSE), 0)</f>
        <v>5</v>
      </c>
      <c r="BS150" t="b">
        <f t="shared" si="69"/>
        <v>1</v>
      </c>
      <c r="BT150">
        <f>IFERROR(VLOOKUP($B150, aegis!$CI:$CJ, 2, FALSE), 0)</f>
        <v>0</v>
      </c>
      <c r="BU150">
        <f>IFERROR(VLOOKUP($B150, duel!$CI:$CJ, 2, FALSE), 0)</f>
        <v>0</v>
      </c>
      <c r="BV150">
        <f>IFERROR(VLOOKUP($B150, blitz!$CI:$CJ, 2, FALSE), 0)</f>
        <v>0</v>
      </c>
      <c r="BW150" t="b">
        <f t="shared" si="70"/>
        <v>1</v>
      </c>
      <c r="BX150">
        <f>IFERROR(VLOOKUP($B150, aegis!$CN:$CO, 2, FALSE), 0)</f>
        <v>0</v>
      </c>
      <c r="BY150">
        <f>IFERROR(VLOOKUP($B150, duel!$CN:$CO, 2, FALSE), 0)</f>
        <v>0</v>
      </c>
      <c r="BZ150">
        <f>IFERROR(VLOOKUP($B150, blitz!$CN:$CO, 2, FALSE), 0)</f>
        <v>0</v>
      </c>
      <c r="CA150" t="b">
        <f t="shared" si="71"/>
        <v>1</v>
      </c>
      <c r="CB150">
        <f>IFERROR(VLOOKUP($B150, aegis!$CS:$CT, 2, FALSE), 0)</f>
        <v>0</v>
      </c>
      <c r="CC150">
        <f>IFERROR(VLOOKUP($B150, duel!$CS:$CT, 2, FALSE), 0)</f>
        <v>0</v>
      </c>
      <c r="CD150">
        <f>IFERROR(VLOOKUP($B150, blitz!$CS:$CT, 2, FALSE), 0)</f>
        <v>0</v>
      </c>
      <c r="CE150" t="b">
        <f t="shared" si="72"/>
        <v>1</v>
      </c>
      <c r="CF150">
        <f>IFERROR(VLOOKUP($B150, aegis!$CX:$CY, 2, FALSE), 0)</f>
        <v>0</v>
      </c>
      <c r="CG150">
        <f>IFERROR(VLOOKUP($B150, duel!$CX:$CY, 2, FALSE), 0)</f>
        <v>0</v>
      </c>
      <c r="CH150">
        <f>IFERROR(VLOOKUP($B150, blitz!$CX:$CY, 2, FALSE), 0)</f>
        <v>0</v>
      </c>
      <c r="CI150" t="b">
        <f t="shared" si="73"/>
        <v>1</v>
      </c>
      <c r="CJ150" t="str">
        <f>IFERROR(VLOOKUP($B150, aegis!$DC:$DD, 2, FALSE), 0)</f>
        <v>1</v>
      </c>
      <c r="CK150" t="str">
        <f>IFERROR(VLOOKUP($B150, duel!$DC:$DD, 2, FALSE), 0)</f>
        <v>1</v>
      </c>
      <c r="CL150" t="str">
        <f>IFERROR(VLOOKUP($B150, blitz!$DC:$DD, 2, FALSE), 0)</f>
        <v>1</v>
      </c>
      <c r="CM150" t="b">
        <f t="shared" si="74"/>
        <v>1</v>
      </c>
      <c r="CN150" t="str">
        <f>IFERROR(VLOOKUP($B150, aegis!$DH:$DI, 2, FALSE), 0)</f>
        <v>1</v>
      </c>
      <c r="CO150" t="str">
        <f>IFERROR(VLOOKUP($B150, duel!$DH:$DI, 2, FALSE), 0)</f>
        <v>1</v>
      </c>
      <c r="CP150" s="13">
        <f>IFERROR(VLOOKUP($B150, blitz!$DH:$DI, 2, FALSE), 0)</f>
        <v>0</v>
      </c>
      <c r="CQ150" t="b">
        <f t="shared" si="75"/>
        <v>1</v>
      </c>
      <c r="CR150" t="str">
        <f>IFERROR(VLOOKUP($B150, aegis!$DM:$DN, 2, FALSE), 0)</f>
        <v>2</v>
      </c>
      <c r="CS150" t="str">
        <f>IFERROR(VLOOKUP($B150, duel!$DM:$DN, 2, FALSE), 0)</f>
        <v>2</v>
      </c>
      <c r="CT150" t="str">
        <f>IFERROR(VLOOKUP($B150, blitz!$DM:$DN, 2, FALSE), 0)</f>
        <v>2</v>
      </c>
      <c r="CU150" t="b">
        <f t="shared" si="76"/>
        <v>1</v>
      </c>
      <c r="CV150" t="str">
        <f>IFERROR(VLOOKUP($B150, aegis!$DR:$DS, 2, FALSE), 0)</f>
        <v>1</v>
      </c>
      <c r="CW150" t="str">
        <f>IFERROR(VLOOKUP($B150, duel!$DR:$DS, 2, FALSE), 0)</f>
        <v>1</v>
      </c>
      <c r="CX150" t="str">
        <f>IFERROR(VLOOKUP($B150, blitz!$DR:$DS, 2, FALSE), 0)</f>
        <v>1</v>
      </c>
      <c r="CY150" t="b">
        <f t="shared" si="77"/>
        <v>1</v>
      </c>
    </row>
    <row r="151" spans="2:103">
      <c r="B151" s="6" t="s">
        <v>278</v>
      </c>
      <c r="C151" s="5" t="b">
        <f t="shared" si="52"/>
        <v>0</v>
      </c>
      <c r="D151" t="str">
        <f>IFERROR(VLOOKUP($B151, aegis!$B:$C, 2, FALSE), 0)</f>
        <v>12</v>
      </c>
      <c r="E151" t="str">
        <f>IFERROR(VLOOKUP($B151, duel!$B:$C, 2, FALSE), 0)</f>
        <v>12</v>
      </c>
      <c r="F151" t="str">
        <f>IFERROR(VLOOKUP($B151, blitz!$B:$C, 2, FALSE), 0)</f>
        <v>12</v>
      </c>
      <c r="G151" t="b">
        <f t="shared" si="53"/>
        <v>1</v>
      </c>
      <c r="H151" t="str">
        <f>IFERROR(VLOOKUP($B151, aegis!$G:$H, 2, FALSE), 0)</f>
        <v>7</v>
      </c>
      <c r="I151" t="str">
        <f>IFERROR(VLOOKUP($B151, duel!$G:$H, 2, FALSE), 0)</f>
        <v>7</v>
      </c>
      <c r="J151" t="str">
        <f>IFERROR(VLOOKUP($B151, blitz!$G:$H, 2, FALSE), 0)</f>
        <v>7</v>
      </c>
      <c r="K151" t="b">
        <f t="shared" si="54"/>
        <v>1</v>
      </c>
      <c r="L151" t="str">
        <f>IFERROR(VLOOKUP($B151, aegis!$L:$M, 2, FALSE), 0)</f>
        <v>12</v>
      </c>
      <c r="M151" t="str">
        <f>IFERROR(VLOOKUP($B151, duel!$L:$M, 2, FALSE), 0)</f>
        <v>12</v>
      </c>
      <c r="N151" t="str">
        <f>IFERROR(VLOOKUP($B151, blitz!$L:$M, 2, FALSE), 0)</f>
        <v>12</v>
      </c>
      <c r="O151" t="b">
        <f t="shared" si="55"/>
        <v>1</v>
      </c>
      <c r="P151" t="str">
        <f>IFERROR(VLOOKUP($B151, aegis!$Q:$R, 2, FALSE), 0)</f>
        <v>7</v>
      </c>
      <c r="Q151" t="str">
        <f>IFERROR(VLOOKUP($B151, duel!$Q:$R, 2, FALSE), 0)</f>
        <v>7</v>
      </c>
      <c r="R151" t="str">
        <f>IFERROR(VLOOKUP($B151, blitz!$Q:$R, 2, FALSE), 0)</f>
        <v>7</v>
      </c>
      <c r="S151" t="b">
        <f t="shared" si="56"/>
        <v>1</v>
      </c>
      <c r="T151">
        <f>IFERROR(VLOOKUP($B151, aegis!$V:$W, 2, FALSE), 0)</f>
        <v>0</v>
      </c>
      <c r="U151">
        <f>IFERROR(VLOOKUP($B151, duel!$V:$W, 2, FALSE), 0)</f>
        <v>0</v>
      </c>
      <c r="V151">
        <f>IFERROR(VLOOKUP($B151, blitz!$V:$W, 2, FALSE), 0)</f>
        <v>0</v>
      </c>
      <c r="W151" t="b">
        <f t="shared" si="57"/>
        <v>1</v>
      </c>
      <c r="X151" t="str">
        <f>IFERROR(VLOOKUP($B151, aegis!$AA:$AB, 2, FALSE), 0)</f>
        <v>1</v>
      </c>
      <c r="Y151" t="str">
        <f>IFERROR(VLOOKUP($B151, duel!$AA:$AB, 2, FALSE), 0)</f>
        <v>1</v>
      </c>
      <c r="Z151" t="str">
        <f>IFERROR(VLOOKUP($B151, blitz!$AA:$AB, 2, FALSE), 0)</f>
        <v>1</v>
      </c>
      <c r="AA151" t="b">
        <f t="shared" si="58"/>
        <v>1</v>
      </c>
      <c r="AB151">
        <f>IFERROR(VLOOKUP($B151, aegis!$AF:$AG, 2, FALSE), 0)</f>
        <v>0</v>
      </c>
      <c r="AC151">
        <f>IFERROR(VLOOKUP($B151, duel!$AF:$AG, 2, FALSE), 0)</f>
        <v>0</v>
      </c>
      <c r="AD151">
        <f>IFERROR(VLOOKUP($B151, blitz!$AF:$AG, 2, FALSE), 0)</f>
        <v>0</v>
      </c>
      <c r="AE151" t="b">
        <f t="shared" si="59"/>
        <v>1</v>
      </c>
      <c r="AF151" t="str">
        <f>IFERROR(VLOOKUP($B151, aegis!$AK:$AL, 2, FALSE), 0)</f>
        <v>2</v>
      </c>
      <c r="AG151" t="str">
        <f>IFERROR(VLOOKUP($B151, duel!$AK:$AL, 2, FALSE), 0)</f>
        <v>1</v>
      </c>
      <c r="AH151" t="str">
        <f>IFERROR(VLOOKUP($B151, blitz!$AK:$AL, 2, FALSE), 0)</f>
        <v>1</v>
      </c>
      <c r="AI151" t="b">
        <f t="shared" si="60"/>
        <v>0</v>
      </c>
      <c r="AJ151">
        <f>IFERROR(VLOOKUP($B151, aegis!$AP:$AQ, 2, FALSE), 0)</f>
        <v>0</v>
      </c>
      <c r="AK151">
        <f>IFERROR(VLOOKUP($B151, duel!$AP:$AQ, 2, FALSE), 0)</f>
        <v>0</v>
      </c>
      <c r="AL151">
        <f>IFERROR(VLOOKUP($B151, blitz!$AP:$AQ, 2, FALSE), 0)</f>
        <v>0</v>
      </c>
      <c r="AM151" t="b">
        <f t="shared" si="61"/>
        <v>1</v>
      </c>
      <c r="AN151">
        <f>IFERROR(VLOOKUP($B151, aegis!$AU:$AV, 2, FALSE), 0)</f>
        <v>0</v>
      </c>
      <c r="AO151">
        <f>IFERROR(VLOOKUP($B151, duel!$AU:$AV, 2, FALSE), 0)</f>
        <v>0</v>
      </c>
      <c r="AP151">
        <f>IFERROR(VLOOKUP($B151, blitz!$AU:$AV, 2, FALSE), 0)</f>
        <v>0</v>
      </c>
      <c r="AQ151" t="b">
        <f t="shared" si="62"/>
        <v>1</v>
      </c>
      <c r="AR151" t="str">
        <f>IFERROR(VLOOKUP($B151, aegis!$AZ:$BA, 2, FALSE), 0)</f>
        <v>1</v>
      </c>
      <c r="AS151" t="str">
        <f>IFERROR(VLOOKUP($B151, duel!$AZ:$BA, 2, FALSE), 0)</f>
        <v>1</v>
      </c>
      <c r="AT151" t="str">
        <f>IFERROR(VLOOKUP($B151, blitz!$AZ:$BA, 2, FALSE), 0)</f>
        <v>1</v>
      </c>
      <c r="AU151" t="b">
        <f t="shared" si="63"/>
        <v>1</v>
      </c>
      <c r="AV151">
        <f>IFERROR(VLOOKUP($B151, aegis!$BE:$BF, 2, FALSE), 0)</f>
        <v>0</v>
      </c>
      <c r="AW151">
        <f>IFERROR(VLOOKUP($B151, duel!$BE:$BF, 2, FALSE), 0)</f>
        <v>0</v>
      </c>
      <c r="AX151">
        <f>IFERROR(VLOOKUP($B151, blitz!$BE:$BF, 2, FALSE), 0)</f>
        <v>0</v>
      </c>
      <c r="AY151" t="b">
        <f t="shared" si="64"/>
        <v>1</v>
      </c>
      <c r="AZ151" t="str">
        <f>IFERROR(VLOOKUP($B151, aegis!$BJ:$BK, 2, FALSE), 0)</f>
        <v>1</v>
      </c>
      <c r="BA151" t="str">
        <f>IFERROR(VLOOKUP($B151, duel!$BJ:$BK, 2, FALSE), 0)</f>
        <v>1</v>
      </c>
      <c r="BB151" t="str">
        <f>IFERROR(VLOOKUP($B151, blitz!$BJ:$BK, 2, FALSE), 0)</f>
        <v>1</v>
      </c>
      <c r="BC151" t="b">
        <f t="shared" si="65"/>
        <v>1</v>
      </c>
      <c r="BD151">
        <f>IFERROR(VLOOKUP($B151, aegis!$BO:$BP, 2, FALSE), 0)</f>
        <v>0</v>
      </c>
      <c r="BE151">
        <f>IFERROR(VLOOKUP($B151, duel!$BO:$BP, 2, FALSE), 0)</f>
        <v>0</v>
      </c>
      <c r="BF151">
        <f>IFERROR(VLOOKUP($B151, blitz!$BO:$BP, 2, FALSE), 0)</f>
        <v>0</v>
      </c>
      <c r="BG151" t="b">
        <f t="shared" si="66"/>
        <v>1</v>
      </c>
      <c r="BH151">
        <f>IFERROR(VLOOKUP($B151, aegis!$BT:$BU, 2, FALSE), 0)</f>
        <v>0</v>
      </c>
      <c r="BI151">
        <f>IFERROR(VLOOKUP($B151, duel!$BT:$BU, 2, FALSE), 0)</f>
        <v>0</v>
      </c>
      <c r="BJ151">
        <f>IFERROR(VLOOKUP($B151, blitz!$BT:$BU, 2, FALSE), 0)</f>
        <v>0</v>
      </c>
      <c r="BK151" t="b">
        <f t="shared" si="67"/>
        <v>1</v>
      </c>
      <c r="BL151">
        <f>IFERROR(VLOOKUP($B151, aegis!$BY:$BZ, 2, FALSE), 0)</f>
        <v>0</v>
      </c>
      <c r="BM151">
        <f>IFERROR(VLOOKUP($B151, duel!$BY:$BZ, 2, FALSE), 0)</f>
        <v>0</v>
      </c>
      <c r="BN151">
        <f>IFERROR(VLOOKUP($B151, blitz!$BY:$BZ, 2, FALSE), 0)</f>
        <v>0</v>
      </c>
      <c r="BO151" t="b">
        <f t="shared" si="68"/>
        <v>1</v>
      </c>
      <c r="BP151" t="str">
        <f>IFERROR(VLOOKUP($B151, aegis!$CD:$CE, 2, FALSE), 0)</f>
        <v>1</v>
      </c>
      <c r="BQ151" t="str">
        <f>IFERROR(VLOOKUP($B151, duel!$CD:$CE, 2, FALSE), 0)</f>
        <v>1</v>
      </c>
      <c r="BR151" t="str">
        <f>IFERROR(VLOOKUP($B151, blitz!$CD:$CE, 2, FALSE), 0)</f>
        <v>1</v>
      </c>
      <c r="BS151" t="b">
        <f t="shared" si="69"/>
        <v>1</v>
      </c>
      <c r="BT151">
        <f>IFERROR(VLOOKUP($B151, aegis!$CI:$CJ, 2, FALSE), 0)</f>
        <v>0</v>
      </c>
      <c r="BU151">
        <f>IFERROR(VLOOKUP($B151, duel!$CI:$CJ, 2, FALSE), 0)</f>
        <v>0</v>
      </c>
      <c r="BV151">
        <f>IFERROR(VLOOKUP($B151, blitz!$CI:$CJ, 2, FALSE), 0)</f>
        <v>0</v>
      </c>
      <c r="BW151" t="b">
        <f t="shared" si="70"/>
        <v>1</v>
      </c>
      <c r="BX151">
        <f>IFERROR(VLOOKUP($B151, aegis!$CN:$CO, 2, FALSE), 0)</f>
        <v>0</v>
      </c>
      <c r="BY151">
        <f>IFERROR(VLOOKUP($B151, duel!$CN:$CO, 2, FALSE), 0)</f>
        <v>0</v>
      </c>
      <c r="BZ151">
        <f>IFERROR(VLOOKUP($B151, blitz!$CN:$CO, 2, FALSE), 0)</f>
        <v>0</v>
      </c>
      <c r="CA151" t="b">
        <f t="shared" si="71"/>
        <v>1</v>
      </c>
      <c r="CB151">
        <f>IFERROR(VLOOKUP($B151, aegis!$CS:$CT, 2, FALSE), 0)</f>
        <v>0</v>
      </c>
      <c r="CC151">
        <f>IFERROR(VLOOKUP($B151, duel!$CS:$CT, 2, FALSE), 0)</f>
        <v>0</v>
      </c>
      <c r="CD151">
        <f>IFERROR(VLOOKUP($B151, blitz!$CS:$CT, 2, FALSE), 0)</f>
        <v>0</v>
      </c>
      <c r="CE151" t="b">
        <f t="shared" si="72"/>
        <v>1</v>
      </c>
      <c r="CF151">
        <f>IFERROR(VLOOKUP($B151, aegis!$CX:$CY, 2, FALSE), 0)</f>
        <v>0</v>
      </c>
      <c r="CG151">
        <f>IFERROR(VLOOKUP($B151, duel!$CX:$CY, 2, FALSE), 0)</f>
        <v>0</v>
      </c>
      <c r="CH151">
        <f>IFERROR(VLOOKUP($B151, blitz!$CX:$CY, 2, FALSE), 0)</f>
        <v>0</v>
      </c>
      <c r="CI151" t="b">
        <f t="shared" si="73"/>
        <v>1</v>
      </c>
      <c r="CJ151" t="str">
        <f>IFERROR(VLOOKUP($B151, aegis!$DC:$DD, 2, FALSE), 0)</f>
        <v>2</v>
      </c>
      <c r="CK151" t="str">
        <f>IFERROR(VLOOKUP($B151, duel!$DC:$DD, 2, FALSE), 0)</f>
        <v>2</v>
      </c>
      <c r="CL151" t="str">
        <f>IFERROR(VLOOKUP($B151, blitz!$DC:$DD, 2, FALSE), 0)</f>
        <v>2</v>
      </c>
      <c r="CM151" t="b">
        <f t="shared" si="74"/>
        <v>1</v>
      </c>
      <c r="CN151">
        <f>IFERROR(VLOOKUP($B151, aegis!$DH:$DI, 2, FALSE), 0)</f>
        <v>0</v>
      </c>
      <c r="CO151">
        <f>IFERROR(VLOOKUP($B151, duel!$DH:$DI, 2, FALSE), 0)</f>
        <v>0</v>
      </c>
      <c r="CP151" s="13">
        <f>IFERROR(VLOOKUP($B151, blitz!$DH:$DI, 2, FALSE), 0)</f>
        <v>0</v>
      </c>
      <c r="CQ151" t="b">
        <f t="shared" si="75"/>
        <v>1</v>
      </c>
      <c r="CR151">
        <f>IFERROR(VLOOKUP($B151, aegis!$DM:$DN, 2, FALSE), 0)</f>
        <v>0</v>
      </c>
      <c r="CS151">
        <f>IFERROR(VLOOKUP($B151, duel!$DM:$DN, 2, FALSE), 0)</f>
        <v>0</v>
      </c>
      <c r="CT151">
        <f>IFERROR(VLOOKUP($B151, blitz!$DM:$DN, 2, FALSE), 0)</f>
        <v>0</v>
      </c>
      <c r="CU151" t="b">
        <f t="shared" si="76"/>
        <v>1</v>
      </c>
      <c r="CV151">
        <f>IFERROR(VLOOKUP($B151, aegis!$DR:$DS, 2, FALSE), 0)</f>
        <v>0</v>
      </c>
      <c r="CW151">
        <f>IFERROR(VLOOKUP($B151, duel!$DR:$DS, 2, FALSE), 0)</f>
        <v>0</v>
      </c>
      <c r="CX151">
        <f>IFERROR(VLOOKUP($B151, blitz!$DR:$DS, 2, FALSE), 0)</f>
        <v>0</v>
      </c>
      <c r="CY151" t="b">
        <f t="shared" si="77"/>
        <v>1</v>
      </c>
    </row>
    <row r="152" spans="2:103">
      <c r="B152" s="6" t="s">
        <v>280</v>
      </c>
      <c r="C152" s="5" t="b">
        <f t="shared" si="52"/>
        <v>0</v>
      </c>
      <c r="D152" t="str">
        <f>IFERROR(VLOOKUP($B152, aegis!$B:$C, 2, FALSE), 0)</f>
        <v>24</v>
      </c>
      <c r="E152" t="str">
        <f>IFERROR(VLOOKUP($B152, duel!$B:$C, 2, FALSE), 0)</f>
        <v>24</v>
      </c>
      <c r="F152" t="str">
        <f>IFERROR(VLOOKUP($B152, blitz!$B:$C, 2, FALSE), 0)</f>
        <v>24</v>
      </c>
      <c r="G152" t="b">
        <f t="shared" si="53"/>
        <v>1</v>
      </c>
      <c r="H152" t="str">
        <f>IFERROR(VLOOKUP($B152, aegis!$G:$H, 2, FALSE), 0)</f>
        <v>14</v>
      </c>
      <c r="I152" t="str">
        <f>IFERROR(VLOOKUP($B152, duel!$G:$H, 2, FALSE), 0)</f>
        <v>14</v>
      </c>
      <c r="J152" t="str">
        <f>IFERROR(VLOOKUP($B152, blitz!$G:$H, 2, FALSE), 0)</f>
        <v>14</v>
      </c>
      <c r="K152" t="b">
        <f t="shared" si="54"/>
        <v>1</v>
      </c>
      <c r="L152" t="str">
        <f>IFERROR(VLOOKUP($B152, aegis!$L:$M, 2, FALSE), 0)</f>
        <v>24</v>
      </c>
      <c r="M152" t="str">
        <f>IFERROR(VLOOKUP($B152, duel!$L:$M, 2, FALSE), 0)</f>
        <v>24</v>
      </c>
      <c r="N152" t="str">
        <f>IFERROR(VLOOKUP($B152, blitz!$L:$M, 2, FALSE), 0)</f>
        <v>24</v>
      </c>
      <c r="O152" t="b">
        <f t="shared" si="55"/>
        <v>1</v>
      </c>
      <c r="P152" t="str">
        <f>IFERROR(VLOOKUP($B152, aegis!$Q:$R, 2, FALSE), 0)</f>
        <v>14</v>
      </c>
      <c r="Q152" t="str">
        <f>IFERROR(VLOOKUP($B152, duel!$Q:$R, 2, FALSE), 0)</f>
        <v>14</v>
      </c>
      <c r="R152" t="str">
        <f>IFERROR(VLOOKUP($B152, blitz!$Q:$R, 2, FALSE), 0)</f>
        <v>14</v>
      </c>
      <c r="S152" t="b">
        <f t="shared" si="56"/>
        <v>1</v>
      </c>
      <c r="T152">
        <f>IFERROR(VLOOKUP($B152, aegis!$V:$W, 2, FALSE), 0)</f>
        <v>0</v>
      </c>
      <c r="U152">
        <f>IFERROR(VLOOKUP($B152, duel!$V:$W, 2, FALSE), 0)</f>
        <v>0</v>
      </c>
      <c r="V152">
        <f>IFERROR(VLOOKUP($B152, blitz!$V:$W, 2, FALSE), 0)</f>
        <v>0</v>
      </c>
      <c r="W152" t="b">
        <f t="shared" si="57"/>
        <v>1</v>
      </c>
      <c r="X152" t="str">
        <f>IFERROR(VLOOKUP($B152, aegis!$AA:$AB, 2, FALSE), 0)</f>
        <v>2</v>
      </c>
      <c r="Y152" t="str">
        <f>IFERROR(VLOOKUP($B152, duel!$AA:$AB, 2, FALSE), 0)</f>
        <v>2</v>
      </c>
      <c r="Z152" t="str">
        <f>IFERROR(VLOOKUP($B152, blitz!$AA:$AB, 2, FALSE), 0)</f>
        <v>2</v>
      </c>
      <c r="AA152" t="b">
        <f t="shared" si="58"/>
        <v>1</v>
      </c>
      <c r="AB152">
        <f>IFERROR(VLOOKUP($B152, aegis!$AF:$AG, 2, FALSE), 0)</f>
        <v>0</v>
      </c>
      <c r="AC152">
        <f>IFERROR(VLOOKUP($B152, duel!$AF:$AG, 2, FALSE), 0)</f>
        <v>0</v>
      </c>
      <c r="AD152">
        <f>IFERROR(VLOOKUP($B152, blitz!$AF:$AG, 2, FALSE), 0)</f>
        <v>0</v>
      </c>
      <c r="AE152" t="b">
        <f t="shared" si="59"/>
        <v>1</v>
      </c>
      <c r="AF152" t="str">
        <f>IFERROR(VLOOKUP($B152, aegis!$AK:$AL, 2, FALSE), 0)</f>
        <v>3</v>
      </c>
      <c r="AG152" t="str">
        <f>IFERROR(VLOOKUP($B152, duel!$AK:$AL, 2, FALSE), 0)</f>
        <v>1</v>
      </c>
      <c r="AH152" t="str">
        <f>IFERROR(VLOOKUP($B152, blitz!$AK:$AL, 2, FALSE), 0)</f>
        <v>1</v>
      </c>
      <c r="AI152" t="b">
        <f t="shared" si="60"/>
        <v>0</v>
      </c>
      <c r="AJ152" t="str">
        <f>IFERROR(VLOOKUP($B152, aegis!$AP:$AQ, 2, FALSE), 0)</f>
        <v>1</v>
      </c>
      <c r="AK152" t="str">
        <f>IFERROR(VLOOKUP($B152, duel!$AP:$AQ, 2, FALSE), 0)</f>
        <v>1</v>
      </c>
      <c r="AL152" t="str">
        <f>IFERROR(VLOOKUP($B152, blitz!$AP:$AQ, 2, FALSE), 0)</f>
        <v>1</v>
      </c>
      <c r="AM152" t="b">
        <f t="shared" si="61"/>
        <v>1</v>
      </c>
      <c r="AN152">
        <f>IFERROR(VLOOKUP($B152, aegis!$AU:$AV, 2, FALSE), 0)</f>
        <v>0</v>
      </c>
      <c r="AO152">
        <f>IFERROR(VLOOKUP($B152, duel!$AU:$AV, 2, FALSE), 0)</f>
        <v>0</v>
      </c>
      <c r="AP152">
        <f>IFERROR(VLOOKUP($B152, blitz!$AU:$AV, 2, FALSE), 0)</f>
        <v>0</v>
      </c>
      <c r="AQ152" t="b">
        <f t="shared" si="62"/>
        <v>1</v>
      </c>
      <c r="AR152" t="str">
        <f>IFERROR(VLOOKUP($B152, aegis!$AZ:$BA, 2, FALSE), 0)</f>
        <v>2</v>
      </c>
      <c r="AS152" t="str">
        <f>IFERROR(VLOOKUP($B152, duel!$AZ:$BA, 2, FALSE), 0)</f>
        <v>2</v>
      </c>
      <c r="AT152" t="str">
        <f>IFERROR(VLOOKUP($B152, blitz!$AZ:$BA, 2, FALSE), 0)</f>
        <v>2</v>
      </c>
      <c r="AU152" t="b">
        <f t="shared" si="63"/>
        <v>1</v>
      </c>
      <c r="AV152" t="str">
        <f>IFERROR(VLOOKUP($B152, aegis!$BE:$BF, 2, FALSE), 0)</f>
        <v>1</v>
      </c>
      <c r="AW152" t="str">
        <f>IFERROR(VLOOKUP($B152, duel!$BE:$BF, 2, FALSE), 0)</f>
        <v>1</v>
      </c>
      <c r="AX152" t="str">
        <f>IFERROR(VLOOKUP($B152, blitz!$BE:$BF, 2, FALSE), 0)</f>
        <v>1</v>
      </c>
      <c r="AY152" t="b">
        <f t="shared" si="64"/>
        <v>1</v>
      </c>
      <c r="AZ152" t="str">
        <f>IFERROR(VLOOKUP($B152, aegis!$BJ:$BK, 2, FALSE), 0)</f>
        <v>1</v>
      </c>
      <c r="BA152" t="str">
        <f>IFERROR(VLOOKUP($B152, duel!$BJ:$BK, 2, FALSE), 0)</f>
        <v>1</v>
      </c>
      <c r="BB152" t="str">
        <f>IFERROR(VLOOKUP($B152, blitz!$BJ:$BK, 2, FALSE), 0)</f>
        <v>1</v>
      </c>
      <c r="BC152" t="b">
        <f t="shared" si="65"/>
        <v>1</v>
      </c>
      <c r="BD152">
        <f>IFERROR(VLOOKUP($B152, aegis!$BO:$BP, 2, FALSE), 0)</f>
        <v>0</v>
      </c>
      <c r="BE152">
        <f>IFERROR(VLOOKUP($B152, duel!$BO:$BP, 2, FALSE), 0)</f>
        <v>0</v>
      </c>
      <c r="BF152">
        <f>IFERROR(VLOOKUP($B152, blitz!$BO:$BP, 2, FALSE), 0)</f>
        <v>0</v>
      </c>
      <c r="BG152" t="b">
        <f t="shared" si="66"/>
        <v>1</v>
      </c>
      <c r="BH152">
        <f>IFERROR(VLOOKUP($B152, aegis!$BT:$BU, 2, FALSE), 0)</f>
        <v>0</v>
      </c>
      <c r="BI152">
        <f>IFERROR(VLOOKUP($B152, duel!$BT:$BU, 2, FALSE), 0)</f>
        <v>0</v>
      </c>
      <c r="BJ152">
        <f>IFERROR(VLOOKUP($B152, blitz!$BT:$BU, 2, FALSE), 0)</f>
        <v>0</v>
      </c>
      <c r="BK152" t="b">
        <f t="shared" si="67"/>
        <v>1</v>
      </c>
      <c r="BL152" t="str">
        <f>IFERROR(VLOOKUP($B152, aegis!$BY:$BZ, 2, FALSE), 0)</f>
        <v>1</v>
      </c>
      <c r="BM152" t="str">
        <f>IFERROR(VLOOKUP($B152, duel!$BY:$BZ, 2, FALSE), 0)</f>
        <v>1</v>
      </c>
      <c r="BN152" t="str">
        <f>IFERROR(VLOOKUP($B152, blitz!$BY:$BZ, 2, FALSE), 0)</f>
        <v>1</v>
      </c>
      <c r="BO152" t="b">
        <f t="shared" si="68"/>
        <v>1</v>
      </c>
      <c r="BP152" t="str">
        <f>IFERROR(VLOOKUP($B152, aegis!$CD:$CE, 2, FALSE), 0)</f>
        <v>1</v>
      </c>
      <c r="BQ152" t="str">
        <f>IFERROR(VLOOKUP($B152, duel!$CD:$CE, 2, FALSE), 0)</f>
        <v>1</v>
      </c>
      <c r="BR152" t="str">
        <f>IFERROR(VLOOKUP($B152, blitz!$CD:$CE, 2, FALSE), 0)</f>
        <v>1</v>
      </c>
      <c r="BS152" t="b">
        <f t="shared" si="69"/>
        <v>1</v>
      </c>
      <c r="BT152">
        <f>IFERROR(VLOOKUP($B152, aegis!$CI:$CJ, 2, FALSE), 0)</f>
        <v>0</v>
      </c>
      <c r="BU152">
        <f>IFERROR(VLOOKUP($B152, duel!$CI:$CJ, 2, FALSE), 0)</f>
        <v>0</v>
      </c>
      <c r="BV152">
        <f>IFERROR(VLOOKUP($B152, blitz!$CI:$CJ, 2, FALSE), 0)</f>
        <v>0</v>
      </c>
      <c r="BW152" t="b">
        <f t="shared" si="70"/>
        <v>1</v>
      </c>
      <c r="BX152">
        <f>IFERROR(VLOOKUP($B152, aegis!$CN:$CO, 2, FALSE), 0)</f>
        <v>0</v>
      </c>
      <c r="BY152">
        <f>IFERROR(VLOOKUP($B152, duel!$CN:$CO, 2, FALSE), 0)</f>
        <v>0</v>
      </c>
      <c r="BZ152">
        <f>IFERROR(VLOOKUP($B152, blitz!$CN:$CO, 2, FALSE), 0)</f>
        <v>0</v>
      </c>
      <c r="CA152" t="b">
        <f t="shared" si="71"/>
        <v>1</v>
      </c>
      <c r="CB152">
        <f>IFERROR(VLOOKUP($B152, aegis!$CS:$CT, 2, FALSE), 0)</f>
        <v>0</v>
      </c>
      <c r="CC152">
        <f>IFERROR(VLOOKUP($B152, duel!$CS:$CT, 2, FALSE), 0)</f>
        <v>0</v>
      </c>
      <c r="CD152">
        <f>IFERROR(VLOOKUP($B152, blitz!$CS:$CT, 2, FALSE), 0)</f>
        <v>0</v>
      </c>
      <c r="CE152" t="b">
        <f t="shared" si="72"/>
        <v>1</v>
      </c>
      <c r="CF152">
        <f>IFERROR(VLOOKUP($B152, aegis!$CX:$CY, 2, FALSE), 0)</f>
        <v>0</v>
      </c>
      <c r="CG152">
        <f>IFERROR(VLOOKUP($B152, duel!$CX:$CY, 2, FALSE), 0)</f>
        <v>0</v>
      </c>
      <c r="CH152">
        <f>IFERROR(VLOOKUP($B152, blitz!$CX:$CY, 2, FALSE), 0)</f>
        <v>0</v>
      </c>
      <c r="CI152" t="b">
        <f t="shared" si="73"/>
        <v>1</v>
      </c>
      <c r="CJ152" t="str">
        <f>IFERROR(VLOOKUP($B152, aegis!$DC:$DD, 2, FALSE), 0)</f>
        <v>1</v>
      </c>
      <c r="CK152" t="str">
        <f>IFERROR(VLOOKUP($B152, duel!$DC:$DD, 2, FALSE), 0)</f>
        <v>1</v>
      </c>
      <c r="CL152" t="str">
        <f>IFERROR(VLOOKUP($B152, blitz!$DC:$DD, 2, FALSE), 0)</f>
        <v>1</v>
      </c>
      <c r="CM152" t="b">
        <f t="shared" si="74"/>
        <v>1</v>
      </c>
      <c r="CN152" t="str">
        <f>IFERROR(VLOOKUP($B152, aegis!$DH:$DI, 2, FALSE), 0)</f>
        <v>1</v>
      </c>
      <c r="CO152" t="str">
        <f>IFERROR(VLOOKUP($B152, duel!$DH:$DI, 2, FALSE), 0)</f>
        <v>1</v>
      </c>
      <c r="CP152" s="13">
        <f>IFERROR(VLOOKUP($B152, blitz!$DH:$DI, 2, FALSE), 0)</f>
        <v>0</v>
      </c>
      <c r="CQ152" t="b">
        <f t="shared" si="75"/>
        <v>1</v>
      </c>
      <c r="CR152" t="str">
        <f>IFERROR(VLOOKUP($B152, aegis!$DM:$DN, 2, FALSE), 0)</f>
        <v>1</v>
      </c>
      <c r="CS152" t="str">
        <f>IFERROR(VLOOKUP($B152, duel!$DM:$DN, 2, FALSE), 0)</f>
        <v>1</v>
      </c>
      <c r="CT152" t="str">
        <f>IFERROR(VLOOKUP($B152, blitz!$DM:$DN, 2, FALSE), 0)</f>
        <v>1</v>
      </c>
      <c r="CU152" t="b">
        <f t="shared" si="76"/>
        <v>1</v>
      </c>
      <c r="CV152">
        <f>IFERROR(VLOOKUP($B152, aegis!$DR:$DS, 2, FALSE), 0)</f>
        <v>0</v>
      </c>
      <c r="CW152">
        <f>IFERROR(VLOOKUP($B152, duel!$DR:$DS, 2, FALSE), 0)</f>
        <v>0</v>
      </c>
      <c r="CX152">
        <f>IFERROR(VLOOKUP($B152, blitz!$DR:$DS, 2, FALSE), 0)</f>
        <v>0</v>
      </c>
      <c r="CY152" t="b">
        <f t="shared" si="77"/>
        <v>1</v>
      </c>
    </row>
    <row r="153" spans="2:103">
      <c r="B153" s="6" t="s">
        <v>282</v>
      </c>
      <c r="C153" s="5" t="b">
        <f t="shared" si="52"/>
        <v>0</v>
      </c>
      <c r="D153" t="str">
        <f>IFERROR(VLOOKUP($B153, aegis!$B:$C, 2, FALSE), 0)</f>
        <v>24</v>
      </c>
      <c r="E153" t="str">
        <f>IFERROR(VLOOKUP($B153, duel!$B:$C, 2, FALSE), 0)</f>
        <v>24</v>
      </c>
      <c r="F153" t="str">
        <f>IFERROR(VLOOKUP($B153, blitz!$B:$C, 2, FALSE), 0)</f>
        <v>24</v>
      </c>
      <c r="G153" t="b">
        <f t="shared" si="53"/>
        <v>1</v>
      </c>
      <c r="H153" t="str">
        <f>IFERROR(VLOOKUP($B153, aegis!$G:$H, 2, FALSE), 0)</f>
        <v>14</v>
      </c>
      <c r="I153" t="str">
        <f>IFERROR(VLOOKUP($B153, duel!$G:$H, 2, FALSE), 0)</f>
        <v>14</v>
      </c>
      <c r="J153" t="str">
        <f>IFERROR(VLOOKUP($B153, blitz!$G:$H, 2, FALSE), 0)</f>
        <v>14</v>
      </c>
      <c r="K153" t="b">
        <f t="shared" si="54"/>
        <v>1</v>
      </c>
      <c r="L153" t="str">
        <f>IFERROR(VLOOKUP($B153, aegis!$L:$M, 2, FALSE), 0)</f>
        <v>24</v>
      </c>
      <c r="M153" t="str">
        <f>IFERROR(VLOOKUP($B153, duel!$L:$M, 2, FALSE), 0)</f>
        <v>24</v>
      </c>
      <c r="N153" t="str">
        <f>IFERROR(VLOOKUP($B153, blitz!$L:$M, 2, FALSE), 0)</f>
        <v>24</v>
      </c>
      <c r="O153" t="b">
        <f t="shared" si="55"/>
        <v>1</v>
      </c>
      <c r="P153" t="str">
        <f>IFERROR(VLOOKUP($B153, aegis!$Q:$R, 2, FALSE), 0)</f>
        <v>14</v>
      </c>
      <c r="Q153" t="str">
        <f>IFERROR(VLOOKUP($B153, duel!$Q:$R, 2, FALSE), 0)</f>
        <v>14</v>
      </c>
      <c r="R153" t="str">
        <f>IFERROR(VLOOKUP($B153, blitz!$Q:$R, 2, FALSE), 0)</f>
        <v>14</v>
      </c>
      <c r="S153" t="b">
        <f t="shared" si="56"/>
        <v>1</v>
      </c>
      <c r="T153">
        <f>IFERROR(VLOOKUP($B153, aegis!$V:$W, 2, FALSE), 0)</f>
        <v>0</v>
      </c>
      <c r="U153">
        <f>IFERROR(VLOOKUP($B153, duel!$V:$W, 2, FALSE), 0)</f>
        <v>0</v>
      </c>
      <c r="V153">
        <f>IFERROR(VLOOKUP($B153, blitz!$V:$W, 2, FALSE), 0)</f>
        <v>0</v>
      </c>
      <c r="W153" t="b">
        <f t="shared" si="57"/>
        <v>1</v>
      </c>
      <c r="X153" t="str">
        <f>IFERROR(VLOOKUP($B153, aegis!$AA:$AB, 2, FALSE), 0)</f>
        <v>2</v>
      </c>
      <c r="Y153" t="str">
        <f>IFERROR(VLOOKUP($B153, duel!$AA:$AB, 2, FALSE), 0)</f>
        <v>2</v>
      </c>
      <c r="Z153">
        <f>IFERROR(VLOOKUP($B153, blitz!$AA:$AB, 2, FALSE), 0)</f>
        <v>0</v>
      </c>
      <c r="AA153" t="b">
        <f t="shared" si="58"/>
        <v>0</v>
      </c>
      <c r="AB153">
        <f>IFERROR(VLOOKUP($B153, aegis!$AF:$AG, 2, FALSE), 0)</f>
        <v>0</v>
      </c>
      <c r="AC153">
        <f>IFERROR(VLOOKUP($B153, duel!$AF:$AG, 2, FALSE), 0)</f>
        <v>0</v>
      </c>
      <c r="AD153">
        <f>IFERROR(VLOOKUP($B153, blitz!$AF:$AG, 2, FALSE), 0)</f>
        <v>0</v>
      </c>
      <c r="AE153" t="b">
        <f t="shared" si="59"/>
        <v>1</v>
      </c>
      <c r="AF153" t="str">
        <f>IFERROR(VLOOKUP($B153, aegis!$AK:$AL, 2, FALSE), 0)</f>
        <v>3</v>
      </c>
      <c r="AG153" t="str">
        <f>IFERROR(VLOOKUP($B153, duel!$AK:$AL, 2, FALSE), 0)</f>
        <v>1</v>
      </c>
      <c r="AH153" t="str">
        <f>IFERROR(VLOOKUP($B153, blitz!$AK:$AL, 2, FALSE), 0)</f>
        <v>1</v>
      </c>
      <c r="AI153" t="b">
        <f t="shared" si="60"/>
        <v>0</v>
      </c>
      <c r="AJ153" t="str">
        <f>IFERROR(VLOOKUP($B153, aegis!$AP:$AQ, 2, FALSE), 0)</f>
        <v>1</v>
      </c>
      <c r="AK153" t="str">
        <f>IFERROR(VLOOKUP($B153, duel!$AP:$AQ, 2, FALSE), 0)</f>
        <v>1</v>
      </c>
      <c r="AL153" t="str">
        <f>IFERROR(VLOOKUP($B153, blitz!$AP:$AQ, 2, FALSE), 0)</f>
        <v>1</v>
      </c>
      <c r="AM153" t="b">
        <f t="shared" si="61"/>
        <v>1</v>
      </c>
      <c r="AN153">
        <f>IFERROR(VLOOKUP($B153, aegis!$AU:$AV, 2, FALSE), 0)</f>
        <v>0</v>
      </c>
      <c r="AO153">
        <f>IFERROR(VLOOKUP($B153, duel!$AU:$AV, 2, FALSE), 0)</f>
        <v>0</v>
      </c>
      <c r="AP153">
        <f>IFERROR(VLOOKUP($B153, blitz!$AU:$AV, 2, FALSE), 0)</f>
        <v>0</v>
      </c>
      <c r="AQ153" t="b">
        <f t="shared" si="62"/>
        <v>1</v>
      </c>
      <c r="AR153" t="str">
        <f>IFERROR(VLOOKUP($B153, aegis!$AZ:$BA, 2, FALSE), 0)</f>
        <v>2</v>
      </c>
      <c r="AS153" t="str">
        <f>IFERROR(VLOOKUP($B153, duel!$AZ:$BA, 2, FALSE), 0)</f>
        <v>2</v>
      </c>
      <c r="AT153" t="str">
        <f>IFERROR(VLOOKUP($B153, blitz!$AZ:$BA, 2, FALSE), 0)</f>
        <v>2</v>
      </c>
      <c r="AU153" t="b">
        <f t="shared" si="63"/>
        <v>1</v>
      </c>
      <c r="AV153" t="str">
        <f>IFERROR(VLOOKUP($B153, aegis!$BE:$BF, 2, FALSE), 0)</f>
        <v>1</v>
      </c>
      <c r="AW153" t="str">
        <f>IFERROR(VLOOKUP($B153, duel!$BE:$BF, 2, FALSE), 0)</f>
        <v>1</v>
      </c>
      <c r="AX153" t="str">
        <f>IFERROR(VLOOKUP($B153, blitz!$BE:$BF, 2, FALSE), 0)</f>
        <v>1</v>
      </c>
      <c r="AY153" t="b">
        <f t="shared" si="64"/>
        <v>1</v>
      </c>
      <c r="AZ153" t="str">
        <f>IFERROR(VLOOKUP($B153, aegis!$BJ:$BK, 2, FALSE), 0)</f>
        <v>1</v>
      </c>
      <c r="BA153" t="str">
        <f>IFERROR(VLOOKUP($B153, duel!$BJ:$BK, 2, FALSE), 0)</f>
        <v>1</v>
      </c>
      <c r="BB153" t="str">
        <f>IFERROR(VLOOKUP($B153, blitz!$BJ:$BK, 2, FALSE), 0)</f>
        <v>1</v>
      </c>
      <c r="BC153" t="b">
        <f t="shared" si="65"/>
        <v>1</v>
      </c>
      <c r="BD153">
        <f>IFERROR(VLOOKUP($B153, aegis!$BO:$BP, 2, FALSE), 0)</f>
        <v>0</v>
      </c>
      <c r="BE153">
        <f>IFERROR(VLOOKUP($B153, duel!$BO:$BP, 2, FALSE), 0)</f>
        <v>0</v>
      </c>
      <c r="BF153">
        <f>IFERROR(VLOOKUP($B153, blitz!$BO:$BP, 2, FALSE), 0)</f>
        <v>0</v>
      </c>
      <c r="BG153" t="b">
        <f t="shared" si="66"/>
        <v>1</v>
      </c>
      <c r="BH153">
        <f>IFERROR(VLOOKUP($B153, aegis!$BT:$BU, 2, FALSE), 0)</f>
        <v>0</v>
      </c>
      <c r="BI153">
        <f>IFERROR(VLOOKUP($B153, duel!$BT:$BU, 2, FALSE), 0)</f>
        <v>0</v>
      </c>
      <c r="BJ153">
        <f>IFERROR(VLOOKUP($B153, blitz!$BT:$BU, 2, FALSE), 0)</f>
        <v>0</v>
      </c>
      <c r="BK153" t="b">
        <f t="shared" si="67"/>
        <v>1</v>
      </c>
      <c r="BL153" t="str">
        <f>IFERROR(VLOOKUP($B153, aegis!$BY:$BZ, 2, FALSE), 0)</f>
        <v>1</v>
      </c>
      <c r="BM153" t="str">
        <f>IFERROR(VLOOKUP($B153, duel!$BY:$BZ, 2, FALSE), 0)</f>
        <v>1</v>
      </c>
      <c r="BN153" t="str">
        <f>IFERROR(VLOOKUP($B153, blitz!$BY:$BZ, 2, FALSE), 0)</f>
        <v>1</v>
      </c>
      <c r="BO153" t="b">
        <f t="shared" si="68"/>
        <v>1</v>
      </c>
      <c r="BP153" t="str">
        <f>IFERROR(VLOOKUP($B153, aegis!$CD:$CE, 2, FALSE), 0)</f>
        <v>4</v>
      </c>
      <c r="BQ153" t="str">
        <f>IFERROR(VLOOKUP($B153, duel!$CD:$CE, 2, FALSE), 0)</f>
        <v>4</v>
      </c>
      <c r="BR153" t="str">
        <f>IFERROR(VLOOKUP($B153, blitz!$CD:$CE, 2, FALSE), 0)</f>
        <v>4</v>
      </c>
      <c r="BS153" t="b">
        <f t="shared" si="69"/>
        <v>1</v>
      </c>
      <c r="BT153">
        <f>IFERROR(VLOOKUP($B153, aegis!$CI:$CJ, 2, FALSE), 0)</f>
        <v>0</v>
      </c>
      <c r="BU153">
        <f>IFERROR(VLOOKUP($B153, duel!$CI:$CJ, 2, FALSE), 0)</f>
        <v>0</v>
      </c>
      <c r="BV153">
        <f>IFERROR(VLOOKUP($B153, blitz!$CI:$CJ, 2, FALSE), 0)</f>
        <v>0</v>
      </c>
      <c r="BW153" t="b">
        <f t="shared" si="70"/>
        <v>1</v>
      </c>
      <c r="BX153">
        <f>IFERROR(VLOOKUP($B153, aegis!$CN:$CO, 2, FALSE), 0)</f>
        <v>0</v>
      </c>
      <c r="BY153">
        <f>IFERROR(VLOOKUP($B153, duel!$CN:$CO, 2, FALSE), 0)</f>
        <v>0</v>
      </c>
      <c r="BZ153">
        <f>IFERROR(VLOOKUP($B153, blitz!$CN:$CO, 2, FALSE), 0)</f>
        <v>0</v>
      </c>
      <c r="CA153" t="b">
        <f t="shared" si="71"/>
        <v>1</v>
      </c>
      <c r="CB153">
        <f>IFERROR(VLOOKUP($B153, aegis!$CS:$CT, 2, FALSE), 0)</f>
        <v>0</v>
      </c>
      <c r="CC153">
        <f>IFERROR(VLOOKUP($B153, duel!$CS:$CT, 2, FALSE), 0)</f>
        <v>0</v>
      </c>
      <c r="CD153">
        <f>IFERROR(VLOOKUP($B153, blitz!$CS:$CT, 2, FALSE), 0)</f>
        <v>0</v>
      </c>
      <c r="CE153" t="b">
        <f t="shared" si="72"/>
        <v>1</v>
      </c>
      <c r="CF153">
        <f>IFERROR(VLOOKUP($B153, aegis!$CX:$CY, 2, FALSE), 0)</f>
        <v>0</v>
      </c>
      <c r="CG153">
        <f>IFERROR(VLOOKUP($B153, duel!$CX:$CY, 2, FALSE), 0)</f>
        <v>0</v>
      </c>
      <c r="CH153">
        <f>IFERROR(VLOOKUP($B153, blitz!$CX:$CY, 2, FALSE), 0)</f>
        <v>0</v>
      </c>
      <c r="CI153" t="b">
        <f t="shared" si="73"/>
        <v>1</v>
      </c>
      <c r="CJ153" t="str">
        <f>IFERROR(VLOOKUP($B153, aegis!$DC:$DD, 2, FALSE), 0)</f>
        <v>2</v>
      </c>
      <c r="CK153" t="str">
        <f>IFERROR(VLOOKUP($B153, duel!$DC:$DD, 2, FALSE), 0)</f>
        <v>2</v>
      </c>
      <c r="CL153" t="str">
        <f>IFERROR(VLOOKUP($B153, blitz!$DC:$DD, 2, FALSE), 0)</f>
        <v>2</v>
      </c>
      <c r="CM153" t="b">
        <f t="shared" si="74"/>
        <v>1</v>
      </c>
      <c r="CN153" t="str">
        <f>IFERROR(VLOOKUP($B153, aegis!$DH:$DI, 2, FALSE), 0)</f>
        <v>1</v>
      </c>
      <c r="CO153" t="str">
        <f>IFERROR(VLOOKUP($B153, duel!$DH:$DI, 2, FALSE), 0)</f>
        <v>1</v>
      </c>
      <c r="CP153" s="13">
        <f>IFERROR(VLOOKUP($B153, blitz!$DH:$DI, 2, FALSE), 0)</f>
        <v>0</v>
      </c>
      <c r="CQ153" t="b">
        <f t="shared" si="75"/>
        <v>1</v>
      </c>
      <c r="CR153" t="str">
        <f>IFERROR(VLOOKUP($B153, aegis!$DM:$DN, 2, FALSE), 0)</f>
        <v>1</v>
      </c>
      <c r="CS153" t="str">
        <f>IFERROR(VLOOKUP($B153, duel!$DM:$DN, 2, FALSE), 0)</f>
        <v>1</v>
      </c>
      <c r="CT153" t="str">
        <f>IFERROR(VLOOKUP($B153, blitz!$DM:$DN, 2, FALSE), 0)</f>
        <v>1</v>
      </c>
      <c r="CU153" t="b">
        <f t="shared" si="76"/>
        <v>1</v>
      </c>
      <c r="CV153">
        <f>IFERROR(VLOOKUP($B153, aegis!$DR:$DS, 2, FALSE), 0)</f>
        <v>0</v>
      </c>
      <c r="CW153">
        <f>IFERROR(VLOOKUP($B153, duel!$DR:$DS, 2, FALSE), 0)</f>
        <v>0</v>
      </c>
      <c r="CX153">
        <f>IFERROR(VLOOKUP($B153, blitz!$DR:$DS, 2, FALSE), 0)</f>
        <v>0</v>
      </c>
      <c r="CY153" t="b">
        <f t="shared" si="77"/>
        <v>1</v>
      </c>
    </row>
    <row r="154" spans="2:103">
      <c r="B154" s="6" t="s">
        <v>336</v>
      </c>
      <c r="C154" s="5" t="b">
        <f t="shared" si="52"/>
        <v>1</v>
      </c>
      <c r="D154">
        <f>IFERROR(VLOOKUP($B154, aegis!$B:$C, 2, FALSE), 0)</f>
        <v>0</v>
      </c>
      <c r="E154">
        <f>IFERROR(VLOOKUP($B154, duel!$B:$C, 2, FALSE), 0)</f>
        <v>0</v>
      </c>
      <c r="F154">
        <f>IFERROR(VLOOKUP($B154, blitz!$B:$C, 2, FALSE), 0)</f>
        <v>0</v>
      </c>
      <c r="G154" t="b">
        <f t="shared" si="53"/>
        <v>1</v>
      </c>
      <c r="H154">
        <f>IFERROR(VLOOKUP($B154, aegis!$G:$H, 2, FALSE), 0)</f>
        <v>0</v>
      </c>
      <c r="I154">
        <f>IFERROR(VLOOKUP($B154, duel!$G:$H, 2, FALSE), 0)</f>
        <v>0</v>
      </c>
      <c r="J154">
        <f>IFERROR(VLOOKUP($B154, blitz!$G:$H, 2, FALSE), 0)</f>
        <v>0</v>
      </c>
      <c r="K154" t="b">
        <f t="shared" si="54"/>
        <v>1</v>
      </c>
      <c r="L154" t="str">
        <f>IFERROR(VLOOKUP($B154, aegis!$L:$M, 2, FALSE), 0)</f>
        <v>24</v>
      </c>
      <c r="M154" t="str">
        <f>IFERROR(VLOOKUP($B154, duel!$L:$M, 2, FALSE), 0)</f>
        <v>24</v>
      </c>
      <c r="N154" t="str">
        <f>IFERROR(VLOOKUP($B154, blitz!$L:$M, 2, FALSE), 0)</f>
        <v>24</v>
      </c>
      <c r="O154" t="b">
        <f t="shared" si="55"/>
        <v>1</v>
      </c>
      <c r="P154" t="str">
        <f>IFERROR(VLOOKUP($B154, aegis!$Q:$R, 2, FALSE), 0)</f>
        <v>14</v>
      </c>
      <c r="Q154" t="str">
        <f>IFERROR(VLOOKUP($B154, duel!$Q:$R, 2, FALSE), 0)</f>
        <v>14</v>
      </c>
      <c r="R154" t="str">
        <f>IFERROR(VLOOKUP($B154, blitz!$Q:$R, 2, FALSE), 0)</f>
        <v>14</v>
      </c>
      <c r="S154" t="b">
        <f t="shared" si="56"/>
        <v>1</v>
      </c>
      <c r="T154" t="str">
        <f>IFERROR(VLOOKUP($B154, aegis!$V:$W, 2, FALSE), 0)</f>
        <v>12</v>
      </c>
      <c r="U154" t="str">
        <f>IFERROR(VLOOKUP($B154, duel!$V:$W, 2, FALSE), 0)</f>
        <v>12</v>
      </c>
      <c r="V154" t="str">
        <f>IFERROR(VLOOKUP($B154, blitz!$V:$W, 2, FALSE), 0)</f>
        <v>12</v>
      </c>
      <c r="W154" t="b">
        <f t="shared" si="57"/>
        <v>1</v>
      </c>
      <c r="X154" t="str">
        <f>IFERROR(VLOOKUP($B154, aegis!$AA:$AB, 2, FALSE), 0)</f>
        <v>2</v>
      </c>
      <c r="Y154" t="str">
        <f>IFERROR(VLOOKUP($B154, duel!$AA:$AB, 2, FALSE), 0)</f>
        <v>2</v>
      </c>
      <c r="Z154" t="str">
        <f>IFERROR(VLOOKUP($B154, blitz!$AA:$AB, 2, FALSE), 0)</f>
        <v>2</v>
      </c>
      <c r="AA154" t="b">
        <f t="shared" si="58"/>
        <v>1</v>
      </c>
      <c r="AB154" t="str">
        <f>IFERROR(VLOOKUP($B154, aegis!$AF:$AG, 2, FALSE), 0)</f>
        <v>12</v>
      </c>
      <c r="AC154" t="str">
        <f>IFERROR(VLOOKUP($B154, duel!$AF:$AG, 2, FALSE), 0)</f>
        <v>12</v>
      </c>
      <c r="AD154" t="str">
        <f>IFERROR(VLOOKUP($B154, blitz!$AF:$AG, 2, FALSE), 0)</f>
        <v>12</v>
      </c>
      <c r="AE154" t="b">
        <f t="shared" si="59"/>
        <v>1</v>
      </c>
      <c r="AF154">
        <f>IFERROR(VLOOKUP($B154, aegis!$AK:$AL, 2, FALSE), 0)</f>
        <v>0</v>
      </c>
      <c r="AG154">
        <f>IFERROR(VLOOKUP($B154, duel!$AK:$AL, 2, FALSE), 0)</f>
        <v>0</v>
      </c>
      <c r="AH154">
        <f>IFERROR(VLOOKUP($B154, blitz!$AK:$AL, 2, FALSE), 0)</f>
        <v>0</v>
      </c>
      <c r="AI154" t="b">
        <f t="shared" si="60"/>
        <v>1</v>
      </c>
      <c r="AJ154" t="str">
        <f>IFERROR(VLOOKUP($B154, aegis!$AP:$AQ, 2, FALSE), 0)</f>
        <v>12</v>
      </c>
      <c r="AK154" t="str">
        <f>IFERROR(VLOOKUP($B154, duel!$AP:$AQ, 2, FALSE), 0)</f>
        <v>12</v>
      </c>
      <c r="AL154" t="str">
        <f>IFERROR(VLOOKUP($B154, blitz!$AP:$AQ, 2, FALSE), 0)</f>
        <v>12</v>
      </c>
      <c r="AM154" t="b">
        <f t="shared" si="61"/>
        <v>1</v>
      </c>
      <c r="AN154" t="str">
        <f>IFERROR(VLOOKUP($B154, aegis!$AU:$AV, 2, FALSE), 0)</f>
        <v>5763</v>
      </c>
      <c r="AO154" t="str">
        <f>IFERROR(VLOOKUP($B154, duel!$AU:$AV, 2, FALSE), 0)</f>
        <v>5763</v>
      </c>
      <c r="AP154" t="str">
        <f>IFERROR(VLOOKUP($B154, blitz!$AU:$AV, 2, FALSE), 0)</f>
        <v>5763</v>
      </c>
      <c r="AQ154" t="b">
        <f t="shared" si="62"/>
        <v>1</v>
      </c>
      <c r="AR154" t="str">
        <f>IFERROR(VLOOKUP($B154, aegis!$AZ:$BA, 2, FALSE), 0)</f>
        <v>2</v>
      </c>
      <c r="AS154" t="str">
        <f>IFERROR(VLOOKUP($B154, duel!$AZ:$BA, 2, FALSE), 0)</f>
        <v>2</v>
      </c>
      <c r="AT154" t="str">
        <f>IFERROR(VLOOKUP($B154, blitz!$AZ:$BA, 2, FALSE), 0)</f>
        <v>2</v>
      </c>
      <c r="AU154" t="b">
        <f t="shared" si="63"/>
        <v>1</v>
      </c>
      <c r="AV154" t="str">
        <f>IFERROR(VLOOKUP($B154, aegis!$BE:$BF, 2, FALSE), 0)</f>
        <v>15</v>
      </c>
      <c r="AW154" t="str">
        <f>IFERROR(VLOOKUP($B154, duel!$BE:$BF, 2, FALSE), 0)</f>
        <v>15</v>
      </c>
      <c r="AX154" t="str">
        <f>IFERROR(VLOOKUP($B154, blitz!$BE:$BF, 2, FALSE), 0)</f>
        <v>15</v>
      </c>
      <c r="AY154" t="b">
        <f t="shared" si="64"/>
        <v>1</v>
      </c>
      <c r="AZ154">
        <f>IFERROR(VLOOKUP($B154, aegis!$BJ:$BK, 2, FALSE), 0)</f>
        <v>0</v>
      </c>
      <c r="BA154">
        <f>IFERROR(VLOOKUP($B154, duel!$BJ:$BK, 2, FALSE), 0)</f>
        <v>0</v>
      </c>
      <c r="BB154">
        <f>IFERROR(VLOOKUP($B154, blitz!$BJ:$BK, 2, FALSE), 0)</f>
        <v>0</v>
      </c>
      <c r="BC154" t="b">
        <f t="shared" si="65"/>
        <v>1</v>
      </c>
      <c r="BD154">
        <f>IFERROR(VLOOKUP($B154, aegis!$BO:$BP, 2, FALSE), 0)</f>
        <v>0</v>
      </c>
      <c r="BE154">
        <f>IFERROR(VLOOKUP($B154, duel!$BO:$BP, 2, FALSE), 0)</f>
        <v>0</v>
      </c>
      <c r="BF154">
        <f>IFERROR(VLOOKUP($B154, blitz!$BO:$BP, 2, FALSE), 0)</f>
        <v>0</v>
      </c>
      <c r="BG154" t="b">
        <f t="shared" si="66"/>
        <v>1</v>
      </c>
      <c r="BH154" t="str">
        <f>IFERROR(VLOOKUP($B154, aegis!$BT:$BU, 2, FALSE), 0)</f>
        <v>1</v>
      </c>
      <c r="BI154" t="str">
        <f>IFERROR(VLOOKUP($B154, duel!$BT:$BU, 2, FALSE), 0)</f>
        <v>1</v>
      </c>
      <c r="BJ154" t="str">
        <f>IFERROR(VLOOKUP($B154, blitz!$BT:$BU, 2, FALSE), 0)</f>
        <v>1</v>
      </c>
      <c r="BK154" t="b">
        <f t="shared" si="67"/>
        <v>1</v>
      </c>
      <c r="BL154" t="str">
        <f>IFERROR(VLOOKUP($B154, aegis!$BY:$BZ, 2, FALSE), 0)</f>
        <v>12</v>
      </c>
      <c r="BM154" t="str">
        <f>IFERROR(VLOOKUP($B154, duel!$BY:$BZ, 2, FALSE), 0)</f>
        <v>12</v>
      </c>
      <c r="BN154" t="str">
        <f>IFERROR(VLOOKUP($B154, blitz!$BY:$BZ, 2, FALSE), 0)</f>
        <v>12</v>
      </c>
      <c r="BO154" t="b">
        <f t="shared" si="68"/>
        <v>1</v>
      </c>
      <c r="BP154" t="str">
        <f>IFERROR(VLOOKUP($B154, aegis!$CD:$CE, 2, FALSE), 0)</f>
        <v>3</v>
      </c>
      <c r="BQ154" t="str">
        <f>IFERROR(VLOOKUP($B154, duel!$CD:$CE, 2, FALSE), 0)</f>
        <v>3</v>
      </c>
      <c r="BR154" t="str">
        <f>IFERROR(VLOOKUP($B154, blitz!$CD:$CE, 2, FALSE), 0)</f>
        <v>3</v>
      </c>
      <c r="BS154" t="b">
        <f t="shared" si="69"/>
        <v>1</v>
      </c>
      <c r="BT154" t="str">
        <f>IFERROR(VLOOKUP($B154, aegis!$CI:$CJ, 2, FALSE), 0)</f>
        <v>102</v>
      </c>
      <c r="BU154" t="str">
        <f>IFERROR(VLOOKUP($B154, duel!$CI:$CJ, 2, FALSE), 0)</f>
        <v>102</v>
      </c>
      <c r="BV154" t="str">
        <f>IFERROR(VLOOKUP($B154, blitz!$CI:$CJ, 2, FALSE), 0)</f>
        <v>102</v>
      </c>
      <c r="BW154" t="b">
        <f t="shared" si="70"/>
        <v>1</v>
      </c>
      <c r="BX154" t="str">
        <f>IFERROR(VLOOKUP($B154, aegis!$CN:$CO, 2, FALSE), 0)</f>
        <v>102</v>
      </c>
      <c r="BY154" t="str">
        <f>IFERROR(VLOOKUP($B154, duel!$CN:$CO, 2, FALSE), 0)</f>
        <v>102</v>
      </c>
      <c r="BZ154" t="str">
        <f>IFERROR(VLOOKUP($B154, blitz!$CN:$CO, 2, FALSE), 0)</f>
        <v>102</v>
      </c>
      <c r="CA154" t="b">
        <f t="shared" si="71"/>
        <v>1</v>
      </c>
      <c r="CB154" t="str">
        <f>IFERROR(VLOOKUP($B154, aegis!$CS:$CT, 2, FALSE), 0)</f>
        <v>682</v>
      </c>
      <c r="CC154" t="str">
        <f>IFERROR(VLOOKUP($B154, duel!$CS:$CT, 2, FALSE), 0)</f>
        <v>682</v>
      </c>
      <c r="CD154" t="str">
        <f>IFERROR(VLOOKUP($B154, blitz!$CS:$CT, 2, FALSE), 0)</f>
        <v>682</v>
      </c>
      <c r="CE154" t="b">
        <f t="shared" si="72"/>
        <v>1</v>
      </c>
      <c r="CF154">
        <f>IFERROR(VLOOKUP($B154, aegis!$CX:$CY, 2, FALSE), 0)</f>
        <v>0</v>
      </c>
      <c r="CG154">
        <f>IFERROR(VLOOKUP($B154, duel!$CX:$CY, 2, FALSE), 0)</f>
        <v>0</v>
      </c>
      <c r="CH154">
        <f>IFERROR(VLOOKUP($B154, blitz!$CX:$CY, 2, FALSE), 0)</f>
        <v>0</v>
      </c>
      <c r="CI154" t="b">
        <f t="shared" si="73"/>
        <v>1</v>
      </c>
      <c r="CJ154">
        <f>IFERROR(VLOOKUP($B154, aegis!$DC:$DD, 2, FALSE), 0)</f>
        <v>0</v>
      </c>
      <c r="CK154">
        <f>IFERROR(VLOOKUP($B154, duel!$DC:$DD, 2, FALSE), 0)</f>
        <v>0</v>
      </c>
      <c r="CL154">
        <f>IFERROR(VLOOKUP($B154, blitz!$DC:$DD, 2, FALSE), 0)</f>
        <v>0</v>
      </c>
      <c r="CM154" t="b">
        <f t="shared" si="74"/>
        <v>1</v>
      </c>
      <c r="CN154" t="str">
        <f>IFERROR(VLOOKUP($B154, aegis!$DH:$DI, 2, FALSE), 0)</f>
        <v>17</v>
      </c>
      <c r="CO154" t="str">
        <f>IFERROR(VLOOKUP($B154, duel!$DH:$DI, 2, FALSE), 0)</f>
        <v>17</v>
      </c>
      <c r="CP154" s="13">
        <f>IFERROR(VLOOKUP($B154, blitz!$DH:$DI, 2, FALSE), 0)</f>
        <v>0</v>
      </c>
      <c r="CQ154" t="b">
        <f t="shared" si="75"/>
        <v>1</v>
      </c>
      <c r="CR154" t="str">
        <f>IFERROR(VLOOKUP($B154, aegis!$DM:$DN, 2, FALSE), 0)</f>
        <v>9</v>
      </c>
      <c r="CS154" t="str">
        <f>IFERROR(VLOOKUP($B154, duel!$DM:$DN, 2, FALSE), 0)</f>
        <v>9</v>
      </c>
      <c r="CT154" t="str">
        <f>IFERROR(VLOOKUP($B154, blitz!$DM:$DN, 2, FALSE), 0)</f>
        <v>9</v>
      </c>
      <c r="CU154" t="b">
        <f t="shared" si="76"/>
        <v>1</v>
      </c>
      <c r="CV154" t="str">
        <f>IFERROR(VLOOKUP($B154, aegis!$DR:$DS, 2, FALSE), 0)</f>
        <v>12</v>
      </c>
      <c r="CW154" t="str">
        <f>IFERROR(VLOOKUP($B154, duel!$DR:$DS, 2, FALSE), 0)</f>
        <v>12</v>
      </c>
      <c r="CX154" t="str">
        <f>IFERROR(VLOOKUP($B154, blitz!$DR:$DS, 2, FALSE), 0)</f>
        <v>12</v>
      </c>
      <c r="CY154" t="b">
        <f t="shared" si="77"/>
        <v>1</v>
      </c>
    </row>
    <row r="155" spans="2:103">
      <c r="B155" s="6" t="s">
        <v>337</v>
      </c>
      <c r="C155" s="5" t="b">
        <f t="shared" si="52"/>
        <v>1</v>
      </c>
      <c r="D155">
        <f>IFERROR(VLOOKUP($B155, aegis!$B:$C, 2, FALSE), 0)</f>
        <v>0</v>
      </c>
      <c r="E155">
        <f>IFERROR(VLOOKUP($B155, duel!$B:$C, 2, FALSE), 0)</f>
        <v>0</v>
      </c>
      <c r="F155">
        <f>IFERROR(VLOOKUP($B155, blitz!$B:$C, 2, FALSE), 0)</f>
        <v>0</v>
      </c>
      <c r="G155" t="b">
        <f t="shared" si="53"/>
        <v>1</v>
      </c>
      <c r="H155">
        <f>IFERROR(VLOOKUP($B155, aegis!$G:$H, 2, FALSE), 0)</f>
        <v>0</v>
      </c>
      <c r="I155">
        <f>IFERROR(VLOOKUP($B155, duel!$G:$H, 2, FALSE), 0)</f>
        <v>0</v>
      </c>
      <c r="J155">
        <f>IFERROR(VLOOKUP($B155, blitz!$G:$H, 2, FALSE), 0)</f>
        <v>0</v>
      </c>
      <c r="K155" t="b">
        <f t="shared" si="54"/>
        <v>1</v>
      </c>
      <c r="L155" t="str">
        <f>IFERROR(VLOOKUP($B155, aegis!$L:$M, 2, FALSE), 0)</f>
        <v>12</v>
      </c>
      <c r="M155" t="str">
        <f>IFERROR(VLOOKUP($B155, duel!$L:$M, 2, FALSE), 0)</f>
        <v>12</v>
      </c>
      <c r="N155" t="str">
        <f>IFERROR(VLOOKUP($B155, blitz!$L:$M, 2, FALSE), 0)</f>
        <v>12</v>
      </c>
      <c r="O155" t="b">
        <f t="shared" si="55"/>
        <v>1</v>
      </c>
      <c r="P155" t="str">
        <f>IFERROR(VLOOKUP($B155, aegis!$Q:$R, 2, FALSE), 0)</f>
        <v>7</v>
      </c>
      <c r="Q155" t="str">
        <f>IFERROR(VLOOKUP($B155, duel!$Q:$R, 2, FALSE), 0)</f>
        <v>7</v>
      </c>
      <c r="R155" t="str">
        <f>IFERROR(VLOOKUP($B155, blitz!$Q:$R, 2, FALSE), 0)</f>
        <v>7</v>
      </c>
      <c r="S155" t="b">
        <f t="shared" si="56"/>
        <v>1</v>
      </c>
      <c r="T155" t="str">
        <f>IFERROR(VLOOKUP($B155, aegis!$V:$W, 2, FALSE), 0)</f>
        <v>46</v>
      </c>
      <c r="U155" t="str">
        <f>IFERROR(VLOOKUP($B155, duel!$V:$W, 2, FALSE), 0)</f>
        <v>46</v>
      </c>
      <c r="V155" t="str">
        <f>IFERROR(VLOOKUP($B155, blitz!$V:$W, 2, FALSE), 0)</f>
        <v>46</v>
      </c>
      <c r="W155" t="b">
        <f t="shared" si="57"/>
        <v>1</v>
      </c>
      <c r="X155" t="str">
        <f>IFERROR(VLOOKUP($B155, aegis!$AA:$AB, 2, FALSE), 0)</f>
        <v>1</v>
      </c>
      <c r="Y155" t="str">
        <f>IFERROR(VLOOKUP($B155, duel!$AA:$AB, 2, FALSE), 0)</f>
        <v>1</v>
      </c>
      <c r="Z155" t="str">
        <f>IFERROR(VLOOKUP($B155, blitz!$AA:$AB, 2, FALSE), 0)</f>
        <v>1</v>
      </c>
      <c r="AA155" t="b">
        <f t="shared" si="58"/>
        <v>1</v>
      </c>
      <c r="AB155" t="str">
        <f>IFERROR(VLOOKUP($B155, aegis!$AF:$AG, 2, FALSE), 0)</f>
        <v>46</v>
      </c>
      <c r="AC155" t="str">
        <f>IFERROR(VLOOKUP($B155, duel!$AF:$AG, 2, FALSE), 0)</f>
        <v>46</v>
      </c>
      <c r="AD155" t="str">
        <f>IFERROR(VLOOKUP($B155, blitz!$AF:$AG, 2, FALSE), 0)</f>
        <v>46</v>
      </c>
      <c r="AE155" t="b">
        <f t="shared" si="59"/>
        <v>1</v>
      </c>
      <c r="AF155">
        <f>IFERROR(VLOOKUP($B155, aegis!$AK:$AL, 2, FALSE), 0)</f>
        <v>0</v>
      </c>
      <c r="AG155">
        <f>IFERROR(VLOOKUP($B155, duel!$AK:$AL, 2, FALSE), 0)</f>
        <v>0</v>
      </c>
      <c r="AH155">
        <f>IFERROR(VLOOKUP($B155, blitz!$AK:$AL, 2, FALSE), 0)</f>
        <v>0</v>
      </c>
      <c r="AI155" t="b">
        <f t="shared" si="60"/>
        <v>1</v>
      </c>
      <c r="AJ155" t="str">
        <f>IFERROR(VLOOKUP($B155, aegis!$AP:$AQ, 2, FALSE), 0)</f>
        <v>5</v>
      </c>
      <c r="AK155" t="str">
        <f>IFERROR(VLOOKUP($B155, duel!$AP:$AQ, 2, FALSE), 0)</f>
        <v>5</v>
      </c>
      <c r="AL155" t="str">
        <f>IFERROR(VLOOKUP($B155, blitz!$AP:$AQ, 2, FALSE), 0)</f>
        <v>5</v>
      </c>
      <c r="AM155" t="b">
        <f t="shared" si="61"/>
        <v>1</v>
      </c>
      <c r="AN155" t="str">
        <f>IFERROR(VLOOKUP($B155, aegis!$AU:$AV, 2, FALSE), 0)</f>
        <v>9</v>
      </c>
      <c r="AO155" t="str">
        <f>IFERROR(VLOOKUP($B155, duel!$AU:$AV, 2, FALSE), 0)</f>
        <v>9</v>
      </c>
      <c r="AP155" t="str">
        <f>IFERROR(VLOOKUP($B155, blitz!$AU:$AV, 2, FALSE), 0)</f>
        <v>9</v>
      </c>
      <c r="AQ155" t="b">
        <f t="shared" si="62"/>
        <v>1</v>
      </c>
      <c r="AR155" t="str">
        <f>IFERROR(VLOOKUP($B155, aegis!$AZ:$BA, 2, FALSE), 0)</f>
        <v>1</v>
      </c>
      <c r="AS155" t="str">
        <f>IFERROR(VLOOKUP($B155, duel!$AZ:$BA, 2, FALSE), 0)</f>
        <v>1</v>
      </c>
      <c r="AT155" t="str">
        <f>IFERROR(VLOOKUP($B155, blitz!$AZ:$BA, 2, FALSE), 0)</f>
        <v>1</v>
      </c>
      <c r="AU155" t="b">
        <f t="shared" si="63"/>
        <v>1</v>
      </c>
      <c r="AV155" t="str">
        <f>IFERROR(VLOOKUP($B155, aegis!$BE:$BF, 2, FALSE), 0)</f>
        <v>2</v>
      </c>
      <c r="AW155" t="str">
        <f>IFERROR(VLOOKUP($B155, duel!$BE:$BF, 2, FALSE), 0)</f>
        <v>2</v>
      </c>
      <c r="AX155" t="str">
        <f>IFERROR(VLOOKUP($B155, blitz!$BE:$BF, 2, FALSE), 0)</f>
        <v>2</v>
      </c>
      <c r="AY155" t="b">
        <f t="shared" si="64"/>
        <v>1</v>
      </c>
      <c r="AZ155">
        <f>IFERROR(VLOOKUP($B155, aegis!$BJ:$BK, 2, FALSE), 0)</f>
        <v>0</v>
      </c>
      <c r="BA155">
        <f>IFERROR(VLOOKUP($B155, duel!$BJ:$BK, 2, FALSE), 0)</f>
        <v>0</v>
      </c>
      <c r="BB155">
        <f>IFERROR(VLOOKUP($B155, blitz!$BJ:$BK, 2, FALSE), 0)</f>
        <v>0</v>
      </c>
      <c r="BC155" t="b">
        <f t="shared" si="65"/>
        <v>1</v>
      </c>
      <c r="BD155">
        <f>IFERROR(VLOOKUP($B155, aegis!$BO:$BP, 2, FALSE), 0)</f>
        <v>0</v>
      </c>
      <c r="BE155">
        <f>IFERROR(VLOOKUP($B155, duel!$BO:$BP, 2, FALSE), 0)</f>
        <v>0</v>
      </c>
      <c r="BF155">
        <f>IFERROR(VLOOKUP($B155, blitz!$BO:$BP, 2, FALSE), 0)</f>
        <v>0</v>
      </c>
      <c r="BG155" t="b">
        <f t="shared" si="66"/>
        <v>1</v>
      </c>
      <c r="BH155" t="str">
        <f>IFERROR(VLOOKUP($B155, aegis!$BT:$BU, 2, FALSE), 0)</f>
        <v>1</v>
      </c>
      <c r="BI155" t="str">
        <f>IFERROR(VLOOKUP($B155, duel!$BT:$BU, 2, FALSE), 0)</f>
        <v>1</v>
      </c>
      <c r="BJ155" t="str">
        <f>IFERROR(VLOOKUP($B155, blitz!$BT:$BU, 2, FALSE), 0)</f>
        <v>1</v>
      </c>
      <c r="BK155" t="b">
        <f t="shared" si="67"/>
        <v>1</v>
      </c>
      <c r="BL155" t="str">
        <f>IFERROR(VLOOKUP($B155, aegis!$BY:$BZ, 2, FALSE), 0)</f>
        <v>2</v>
      </c>
      <c r="BM155" t="str">
        <f>IFERROR(VLOOKUP($B155, duel!$BY:$BZ, 2, FALSE), 0)</f>
        <v>2</v>
      </c>
      <c r="BN155" t="str">
        <f>IFERROR(VLOOKUP($B155, blitz!$BY:$BZ, 2, FALSE), 0)</f>
        <v>2</v>
      </c>
      <c r="BO155" t="b">
        <f t="shared" si="68"/>
        <v>1</v>
      </c>
      <c r="BP155" t="str">
        <f>IFERROR(VLOOKUP($B155, aegis!$CD:$CE, 2, FALSE), 0)</f>
        <v>2</v>
      </c>
      <c r="BQ155" t="str">
        <f>IFERROR(VLOOKUP($B155, duel!$CD:$CE, 2, FALSE), 0)</f>
        <v>2</v>
      </c>
      <c r="BR155" t="str">
        <f>IFERROR(VLOOKUP($B155, blitz!$CD:$CE, 2, FALSE), 0)</f>
        <v>2</v>
      </c>
      <c r="BS155" t="b">
        <f t="shared" si="69"/>
        <v>1</v>
      </c>
      <c r="BT155" t="str">
        <f>IFERROR(VLOOKUP($B155, aegis!$CI:$CJ, 2, FALSE), 0)</f>
        <v>10</v>
      </c>
      <c r="BU155" t="str">
        <f>IFERROR(VLOOKUP($B155, duel!$CI:$CJ, 2, FALSE), 0)</f>
        <v>10</v>
      </c>
      <c r="BV155" t="str">
        <f>IFERROR(VLOOKUP($B155, blitz!$CI:$CJ, 2, FALSE), 0)</f>
        <v>10</v>
      </c>
      <c r="BW155" t="b">
        <f t="shared" si="70"/>
        <v>1</v>
      </c>
      <c r="BX155" t="str">
        <f>IFERROR(VLOOKUP($B155, aegis!$CN:$CO, 2, FALSE), 0)</f>
        <v>10</v>
      </c>
      <c r="BY155" t="str">
        <f>IFERROR(VLOOKUP($B155, duel!$CN:$CO, 2, FALSE), 0)</f>
        <v>10</v>
      </c>
      <c r="BZ155" t="str">
        <f>IFERROR(VLOOKUP($B155, blitz!$CN:$CO, 2, FALSE), 0)</f>
        <v>10</v>
      </c>
      <c r="CA155" t="b">
        <f t="shared" si="71"/>
        <v>1</v>
      </c>
      <c r="CB155" t="str">
        <f>IFERROR(VLOOKUP($B155, aegis!$CS:$CT, 2, FALSE), 0)</f>
        <v>42</v>
      </c>
      <c r="CC155" t="str">
        <f>IFERROR(VLOOKUP($B155, duel!$CS:$CT, 2, FALSE), 0)</f>
        <v>42</v>
      </c>
      <c r="CD155" t="str">
        <f>IFERROR(VLOOKUP($B155, blitz!$CS:$CT, 2, FALSE), 0)</f>
        <v>42</v>
      </c>
      <c r="CE155" t="b">
        <f t="shared" si="72"/>
        <v>1</v>
      </c>
      <c r="CF155">
        <f>IFERROR(VLOOKUP($B155, aegis!$CX:$CY, 2, FALSE), 0)</f>
        <v>0</v>
      </c>
      <c r="CG155">
        <f>IFERROR(VLOOKUP($B155, duel!$CX:$CY, 2, FALSE), 0)</f>
        <v>0</v>
      </c>
      <c r="CH155">
        <f>IFERROR(VLOOKUP($B155, blitz!$CX:$CY, 2, FALSE), 0)</f>
        <v>0</v>
      </c>
      <c r="CI155" t="b">
        <f t="shared" si="73"/>
        <v>1</v>
      </c>
      <c r="CJ155">
        <f>IFERROR(VLOOKUP($B155, aegis!$DC:$DD, 2, FALSE), 0)</f>
        <v>0</v>
      </c>
      <c r="CK155">
        <f>IFERROR(VLOOKUP($B155, duel!$DC:$DD, 2, FALSE), 0)</f>
        <v>0</v>
      </c>
      <c r="CL155">
        <f>IFERROR(VLOOKUP($B155, blitz!$DC:$DD, 2, FALSE), 0)</f>
        <v>0</v>
      </c>
      <c r="CM155" t="b">
        <f t="shared" si="74"/>
        <v>1</v>
      </c>
      <c r="CN155" t="str">
        <f>IFERROR(VLOOKUP($B155, aegis!$DH:$DI, 2, FALSE), 0)</f>
        <v>3</v>
      </c>
      <c r="CO155" t="str">
        <f>IFERROR(VLOOKUP($B155, duel!$DH:$DI, 2, FALSE), 0)</f>
        <v>3</v>
      </c>
      <c r="CP155" s="13">
        <f>IFERROR(VLOOKUP($B155, blitz!$DH:$DI, 2, FALSE), 0)</f>
        <v>0</v>
      </c>
      <c r="CQ155" t="b">
        <f t="shared" si="75"/>
        <v>1</v>
      </c>
      <c r="CR155" t="str">
        <f>IFERROR(VLOOKUP($B155, aegis!$DM:$DN, 2, FALSE), 0)</f>
        <v>4</v>
      </c>
      <c r="CS155" t="str">
        <f>IFERROR(VLOOKUP($B155, duel!$DM:$DN, 2, FALSE), 0)</f>
        <v>4</v>
      </c>
      <c r="CT155" t="str">
        <f>IFERROR(VLOOKUP($B155, blitz!$DM:$DN, 2, FALSE), 0)</f>
        <v>4</v>
      </c>
      <c r="CU155" t="b">
        <f t="shared" si="76"/>
        <v>1</v>
      </c>
      <c r="CV155" t="str">
        <f>IFERROR(VLOOKUP($B155, aegis!$DR:$DS, 2, FALSE), 0)</f>
        <v>46</v>
      </c>
      <c r="CW155" t="str">
        <f>IFERROR(VLOOKUP($B155, duel!$DR:$DS, 2, FALSE), 0)</f>
        <v>46</v>
      </c>
      <c r="CX155" t="str">
        <f>IFERROR(VLOOKUP($B155, blitz!$DR:$DS, 2, FALSE), 0)</f>
        <v>46</v>
      </c>
      <c r="CY155" t="b">
        <f t="shared" si="77"/>
        <v>1</v>
      </c>
    </row>
    <row r="156" spans="2:103">
      <c r="B156" s="6" t="s">
        <v>338</v>
      </c>
      <c r="C156" s="5" t="b">
        <f t="shared" si="52"/>
        <v>1</v>
      </c>
      <c r="D156">
        <f>IFERROR(VLOOKUP($B156, aegis!$B:$C, 2, FALSE), 0)</f>
        <v>0</v>
      </c>
      <c r="E156">
        <f>IFERROR(VLOOKUP($B156, duel!$B:$C, 2, FALSE), 0)</f>
        <v>0</v>
      </c>
      <c r="F156">
        <f>IFERROR(VLOOKUP($B156, blitz!$B:$C, 2, FALSE), 0)</f>
        <v>0</v>
      </c>
      <c r="G156" t="b">
        <f t="shared" si="53"/>
        <v>1</v>
      </c>
      <c r="H156">
        <f>IFERROR(VLOOKUP($B156, aegis!$G:$H, 2, FALSE), 0)</f>
        <v>0</v>
      </c>
      <c r="I156">
        <f>IFERROR(VLOOKUP($B156, duel!$G:$H, 2, FALSE), 0)</f>
        <v>0</v>
      </c>
      <c r="J156">
        <f>IFERROR(VLOOKUP($B156, blitz!$G:$H, 2, FALSE), 0)</f>
        <v>0</v>
      </c>
      <c r="K156" t="b">
        <f t="shared" si="54"/>
        <v>1</v>
      </c>
      <c r="L156" t="str">
        <f>IFERROR(VLOOKUP($B156, aegis!$L:$M, 2, FALSE), 0)</f>
        <v>24</v>
      </c>
      <c r="M156" t="str">
        <f>IFERROR(VLOOKUP($B156, duel!$L:$M, 2, FALSE), 0)</f>
        <v>24</v>
      </c>
      <c r="N156" t="str">
        <f>IFERROR(VLOOKUP($B156, blitz!$L:$M, 2, FALSE), 0)</f>
        <v>24</v>
      </c>
      <c r="O156" t="b">
        <f t="shared" si="55"/>
        <v>1</v>
      </c>
      <c r="P156" t="str">
        <f>IFERROR(VLOOKUP($B156, aegis!$Q:$R, 2, FALSE), 0)</f>
        <v>14</v>
      </c>
      <c r="Q156" t="str">
        <f>IFERROR(VLOOKUP($B156, duel!$Q:$R, 2, FALSE), 0)</f>
        <v>14</v>
      </c>
      <c r="R156" t="str">
        <f>IFERROR(VLOOKUP($B156, blitz!$Q:$R, 2, FALSE), 0)</f>
        <v>14</v>
      </c>
      <c r="S156" t="b">
        <f t="shared" si="56"/>
        <v>1</v>
      </c>
      <c r="T156" t="str">
        <f>IFERROR(VLOOKUP($B156, aegis!$V:$W, 2, FALSE), 0)</f>
        <v>2</v>
      </c>
      <c r="U156" t="str">
        <f>IFERROR(VLOOKUP($B156, duel!$V:$W, 2, FALSE), 0)</f>
        <v>2</v>
      </c>
      <c r="V156" t="str">
        <f>IFERROR(VLOOKUP($B156, blitz!$V:$W, 2, FALSE), 0)</f>
        <v>2</v>
      </c>
      <c r="W156" t="b">
        <f t="shared" si="57"/>
        <v>1</v>
      </c>
      <c r="X156" t="str">
        <f>IFERROR(VLOOKUP($B156, aegis!$AA:$AB, 2, FALSE), 0)</f>
        <v>2</v>
      </c>
      <c r="Y156" t="str">
        <f>IFERROR(VLOOKUP($B156, duel!$AA:$AB, 2, FALSE), 0)</f>
        <v>2</v>
      </c>
      <c r="Z156" t="str">
        <f>IFERROR(VLOOKUP($B156, blitz!$AA:$AB, 2, FALSE), 0)</f>
        <v>2</v>
      </c>
      <c r="AA156" t="b">
        <f t="shared" si="58"/>
        <v>1</v>
      </c>
      <c r="AB156" t="str">
        <f>IFERROR(VLOOKUP($B156, aegis!$AF:$AG, 2, FALSE), 0)</f>
        <v>2</v>
      </c>
      <c r="AC156" t="str">
        <f>IFERROR(VLOOKUP($B156, duel!$AF:$AG, 2, FALSE), 0)</f>
        <v>2</v>
      </c>
      <c r="AD156" t="str">
        <f>IFERROR(VLOOKUP($B156, blitz!$AF:$AG, 2, FALSE), 0)</f>
        <v>2</v>
      </c>
      <c r="AE156" t="b">
        <f t="shared" si="59"/>
        <v>1</v>
      </c>
      <c r="AF156">
        <f>IFERROR(VLOOKUP($B156, aegis!$AK:$AL, 2, FALSE), 0)</f>
        <v>0</v>
      </c>
      <c r="AG156">
        <f>IFERROR(VLOOKUP($B156, duel!$AK:$AL, 2, FALSE), 0)</f>
        <v>0</v>
      </c>
      <c r="AH156">
        <f>IFERROR(VLOOKUP($B156, blitz!$AK:$AL, 2, FALSE), 0)</f>
        <v>0</v>
      </c>
      <c r="AI156" t="b">
        <f t="shared" si="60"/>
        <v>1</v>
      </c>
      <c r="AJ156" t="str">
        <f>IFERROR(VLOOKUP($B156, aegis!$AP:$AQ, 2, FALSE), 0)</f>
        <v>4</v>
      </c>
      <c r="AK156" t="str">
        <f>IFERROR(VLOOKUP($B156, duel!$AP:$AQ, 2, FALSE), 0)</f>
        <v>4</v>
      </c>
      <c r="AL156" t="str">
        <f>IFERROR(VLOOKUP($B156, blitz!$AP:$AQ, 2, FALSE), 0)</f>
        <v>4</v>
      </c>
      <c r="AM156" t="b">
        <f t="shared" si="61"/>
        <v>1</v>
      </c>
      <c r="AN156" t="str">
        <f>IFERROR(VLOOKUP($B156, aegis!$AU:$AV, 2, FALSE), 0)</f>
        <v>14</v>
      </c>
      <c r="AO156" t="str">
        <f>IFERROR(VLOOKUP($B156, duel!$AU:$AV, 2, FALSE), 0)</f>
        <v>14</v>
      </c>
      <c r="AP156" t="str">
        <f>IFERROR(VLOOKUP($B156, blitz!$AU:$AV, 2, FALSE), 0)</f>
        <v>14</v>
      </c>
      <c r="AQ156" t="b">
        <f t="shared" si="62"/>
        <v>1</v>
      </c>
      <c r="AR156" t="str">
        <f>IFERROR(VLOOKUP($B156, aegis!$AZ:$BA, 2, FALSE), 0)</f>
        <v>2</v>
      </c>
      <c r="AS156" t="str">
        <f>IFERROR(VLOOKUP($B156, duel!$AZ:$BA, 2, FALSE), 0)</f>
        <v>2</v>
      </c>
      <c r="AT156" t="str">
        <f>IFERROR(VLOOKUP($B156, blitz!$AZ:$BA, 2, FALSE), 0)</f>
        <v>2</v>
      </c>
      <c r="AU156" t="b">
        <f t="shared" si="63"/>
        <v>1</v>
      </c>
      <c r="AV156" t="str">
        <f>IFERROR(VLOOKUP($B156, aegis!$BE:$BF, 2, FALSE), 0)</f>
        <v>2</v>
      </c>
      <c r="AW156" t="str">
        <f>IFERROR(VLOOKUP($B156, duel!$BE:$BF, 2, FALSE), 0)</f>
        <v>2</v>
      </c>
      <c r="AX156" t="str">
        <f>IFERROR(VLOOKUP($B156, blitz!$BE:$BF, 2, FALSE), 0)</f>
        <v>2</v>
      </c>
      <c r="AY156" t="b">
        <f t="shared" si="64"/>
        <v>1</v>
      </c>
      <c r="AZ156">
        <f>IFERROR(VLOOKUP($B156, aegis!$BJ:$BK, 2, FALSE), 0)</f>
        <v>0</v>
      </c>
      <c r="BA156">
        <f>IFERROR(VLOOKUP($B156, duel!$BJ:$BK, 2, FALSE), 0)</f>
        <v>0</v>
      </c>
      <c r="BB156">
        <f>IFERROR(VLOOKUP($B156, blitz!$BJ:$BK, 2, FALSE), 0)</f>
        <v>0</v>
      </c>
      <c r="BC156" t="b">
        <f t="shared" si="65"/>
        <v>1</v>
      </c>
      <c r="BD156">
        <f>IFERROR(VLOOKUP($B156, aegis!$BO:$BP, 2, FALSE), 0)</f>
        <v>0</v>
      </c>
      <c r="BE156">
        <f>IFERROR(VLOOKUP($B156, duel!$BO:$BP, 2, FALSE), 0)</f>
        <v>0</v>
      </c>
      <c r="BF156">
        <f>IFERROR(VLOOKUP($B156, blitz!$BO:$BP, 2, FALSE), 0)</f>
        <v>0</v>
      </c>
      <c r="BG156" t="b">
        <f t="shared" si="66"/>
        <v>1</v>
      </c>
      <c r="BH156" t="str">
        <f>IFERROR(VLOOKUP($B156, aegis!$BT:$BU, 2, FALSE), 0)</f>
        <v>1</v>
      </c>
      <c r="BI156" t="str">
        <f>IFERROR(VLOOKUP($B156, duel!$BT:$BU, 2, FALSE), 0)</f>
        <v>1</v>
      </c>
      <c r="BJ156" t="str">
        <f>IFERROR(VLOOKUP($B156, blitz!$BT:$BU, 2, FALSE), 0)</f>
        <v>1</v>
      </c>
      <c r="BK156" t="b">
        <f t="shared" si="67"/>
        <v>1</v>
      </c>
      <c r="BL156" t="str">
        <f>IFERROR(VLOOKUP($B156, aegis!$BY:$BZ, 2, FALSE), 0)</f>
        <v>7</v>
      </c>
      <c r="BM156" t="str">
        <f>IFERROR(VLOOKUP($B156, duel!$BY:$BZ, 2, FALSE), 0)</f>
        <v>7</v>
      </c>
      <c r="BN156" t="str">
        <f>IFERROR(VLOOKUP($B156, blitz!$BY:$BZ, 2, FALSE), 0)</f>
        <v>7</v>
      </c>
      <c r="BO156" t="b">
        <f t="shared" si="68"/>
        <v>1</v>
      </c>
      <c r="BP156" t="str">
        <f>IFERROR(VLOOKUP($B156, aegis!$CD:$CE, 2, FALSE), 0)</f>
        <v>3</v>
      </c>
      <c r="BQ156" t="str">
        <f>IFERROR(VLOOKUP($B156, duel!$CD:$CE, 2, FALSE), 0)</f>
        <v>3</v>
      </c>
      <c r="BR156" t="str">
        <f>IFERROR(VLOOKUP($B156, blitz!$CD:$CE, 2, FALSE), 0)</f>
        <v>3</v>
      </c>
      <c r="BS156" t="b">
        <f t="shared" si="69"/>
        <v>1</v>
      </c>
      <c r="BT156" t="str">
        <f>IFERROR(VLOOKUP($B156, aegis!$CI:$CJ, 2, FALSE), 0)</f>
        <v>23</v>
      </c>
      <c r="BU156" t="str">
        <f>IFERROR(VLOOKUP($B156, duel!$CI:$CJ, 2, FALSE), 0)</f>
        <v>23</v>
      </c>
      <c r="BV156" t="str">
        <f>IFERROR(VLOOKUP($B156, blitz!$CI:$CJ, 2, FALSE), 0)</f>
        <v>23</v>
      </c>
      <c r="BW156" t="b">
        <f t="shared" si="70"/>
        <v>1</v>
      </c>
      <c r="BX156" t="str">
        <f>IFERROR(VLOOKUP($B156, aegis!$CN:$CO, 2, FALSE), 0)</f>
        <v>23</v>
      </c>
      <c r="BY156" t="str">
        <f>IFERROR(VLOOKUP($B156, duel!$CN:$CO, 2, FALSE), 0)</f>
        <v>23</v>
      </c>
      <c r="BZ156" t="str">
        <f>IFERROR(VLOOKUP($B156, blitz!$CN:$CO, 2, FALSE), 0)</f>
        <v>23</v>
      </c>
      <c r="CA156" t="b">
        <f t="shared" si="71"/>
        <v>1</v>
      </c>
      <c r="CB156" t="str">
        <f>IFERROR(VLOOKUP($B156, aegis!$CS:$CT, 2, FALSE), 0)</f>
        <v>80</v>
      </c>
      <c r="CC156" t="str">
        <f>IFERROR(VLOOKUP($B156, duel!$CS:$CT, 2, FALSE), 0)</f>
        <v>80</v>
      </c>
      <c r="CD156" t="str">
        <f>IFERROR(VLOOKUP($B156, blitz!$CS:$CT, 2, FALSE), 0)</f>
        <v>80</v>
      </c>
      <c r="CE156" t="b">
        <f t="shared" si="72"/>
        <v>1</v>
      </c>
      <c r="CF156">
        <f>IFERROR(VLOOKUP($B156, aegis!$CX:$CY, 2, FALSE), 0)</f>
        <v>0</v>
      </c>
      <c r="CG156">
        <f>IFERROR(VLOOKUP($B156, duel!$CX:$CY, 2, FALSE), 0)</f>
        <v>0</v>
      </c>
      <c r="CH156">
        <f>IFERROR(VLOOKUP($B156, blitz!$CX:$CY, 2, FALSE), 0)</f>
        <v>0</v>
      </c>
      <c r="CI156" t="b">
        <f t="shared" si="73"/>
        <v>1</v>
      </c>
      <c r="CJ156">
        <f>IFERROR(VLOOKUP($B156, aegis!$DC:$DD, 2, FALSE), 0)</f>
        <v>0</v>
      </c>
      <c r="CK156">
        <f>IFERROR(VLOOKUP($B156, duel!$DC:$DD, 2, FALSE), 0)</f>
        <v>0</v>
      </c>
      <c r="CL156">
        <f>IFERROR(VLOOKUP($B156, blitz!$DC:$DD, 2, FALSE), 0)</f>
        <v>0</v>
      </c>
      <c r="CM156" t="b">
        <f t="shared" si="74"/>
        <v>1</v>
      </c>
      <c r="CN156" t="str">
        <f>IFERROR(VLOOKUP($B156, aegis!$DH:$DI, 2, FALSE), 0)</f>
        <v>10</v>
      </c>
      <c r="CO156" t="str">
        <f>IFERROR(VLOOKUP($B156, duel!$DH:$DI, 2, FALSE), 0)</f>
        <v>10</v>
      </c>
      <c r="CP156" s="13">
        <f>IFERROR(VLOOKUP($B156, blitz!$DH:$DI, 2, FALSE), 0)</f>
        <v>0</v>
      </c>
      <c r="CQ156" t="b">
        <f t="shared" si="75"/>
        <v>1</v>
      </c>
      <c r="CR156" t="str">
        <f>IFERROR(VLOOKUP($B156, aegis!$DM:$DN, 2, FALSE), 0)</f>
        <v>3</v>
      </c>
      <c r="CS156" t="str">
        <f>IFERROR(VLOOKUP($B156, duel!$DM:$DN, 2, FALSE), 0)</f>
        <v>3</v>
      </c>
      <c r="CT156" t="str">
        <f>IFERROR(VLOOKUP($B156, blitz!$DM:$DN, 2, FALSE), 0)</f>
        <v>3</v>
      </c>
      <c r="CU156" t="b">
        <f t="shared" si="76"/>
        <v>1</v>
      </c>
      <c r="CV156" t="str">
        <f>IFERROR(VLOOKUP($B156, aegis!$DR:$DS, 2, FALSE), 0)</f>
        <v>2</v>
      </c>
      <c r="CW156" t="str">
        <f>IFERROR(VLOOKUP($B156, duel!$DR:$DS, 2, FALSE), 0)</f>
        <v>2</v>
      </c>
      <c r="CX156" t="str">
        <f>IFERROR(VLOOKUP($B156, blitz!$DR:$DS, 2, FALSE), 0)</f>
        <v>2</v>
      </c>
      <c r="CY156" t="b">
        <f t="shared" si="77"/>
        <v>1</v>
      </c>
    </row>
    <row r="157" spans="2:103">
      <c r="B157" s="6" t="s">
        <v>284</v>
      </c>
      <c r="C157" s="5" t="b">
        <f t="shared" si="52"/>
        <v>0</v>
      </c>
      <c r="D157" t="str">
        <f>IFERROR(VLOOKUP($B157, aegis!$B:$C, 2, FALSE), 0)</f>
        <v>12</v>
      </c>
      <c r="E157" t="str">
        <f>IFERROR(VLOOKUP($B157, duel!$B:$C, 2, FALSE), 0)</f>
        <v>12</v>
      </c>
      <c r="F157" t="str">
        <f>IFERROR(VLOOKUP($B157, blitz!$B:$C, 2, FALSE), 0)</f>
        <v>12</v>
      </c>
      <c r="G157" t="b">
        <f t="shared" si="53"/>
        <v>1</v>
      </c>
      <c r="H157" t="str">
        <f>IFERROR(VLOOKUP($B157, aegis!$G:$H, 2, FALSE), 0)</f>
        <v>7</v>
      </c>
      <c r="I157" t="str">
        <f>IFERROR(VLOOKUP($B157, duel!$G:$H, 2, FALSE), 0)</f>
        <v>7</v>
      </c>
      <c r="J157" t="str">
        <f>IFERROR(VLOOKUP($B157, blitz!$G:$H, 2, FALSE), 0)</f>
        <v>7</v>
      </c>
      <c r="K157" t="b">
        <f t="shared" si="54"/>
        <v>1</v>
      </c>
      <c r="L157" t="str">
        <f>IFERROR(VLOOKUP($B157, aegis!$L:$M, 2, FALSE), 0)</f>
        <v>12</v>
      </c>
      <c r="M157" t="str">
        <f>IFERROR(VLOOKUP($B157, duel!$L:$M, 2, FALSE), 0)</f>
        <v>12</v>
      </c>
      <c r="N157" t="str">
        <f>IFERROR(VLOOKUP($B157, blitz!$L:$M, 2, FALSE), 0)</f>
        <v>12</v>
      </c>
      <c r="O157" t="b">
        <f t="shared" si="55"/>
        <v>1</v>
      </c>
      <c r="P157" t="str">
        <f>IFERROR(VLOOKUP($B157, aegis!$Q:$R, 2, FALSE), 0)</f>
        <v>7</v>
      </c>
      <c r="Q157" t="str">
        <f>IFERROR(VLOOKUP($B157, duel!$Q:$R, 2, FALSE), 0)</f>
        <v>7</v>
      </c>
      <c r="R157" t="str">
        <f>IFERROR(VLOOKUP($B157, blitz!$Q:$R, 2, FALSE), 0)</f>
        <v>7</v>
      </c>
      <c r="S157" t="b">
        <f t="shared" si="56"/>
        <v>1</v>
      </c>
      <c r="T157">
        <f>IFERROR(VLOOKUP($B157, aegis!$V:$W, 2, FALSE), 0)</f>
        <v>0</v>
      </c>
      <c r="U157">
        <f>IFERROR(VLOOKUP($B157, duel!$V:$W, 2, FALSE), 0)</f>
        <v>0</v>
      </c>
      <c r="V157">
        <f>IFERROR(VLOOKUP($B157, blitz!$V:$W, 2, FALSE), 0)</f>
        <v>0</v>
      </c>
      <c r="W157" t="b">
        <f t="shared" si="57"/>
        <v>1</v>
      </c>
      <c r="X157" t="str">
        <f>IFERROR(VLOOKUP($B157, aegis!$AA:$AB, 2, FALSE), 0)</f>
        <v>1</v>
      </c>
      <c r="Y157" t="str">
        <f>IFERROR(VLOOKUP($B157, duel!$AA:$AB, 2, FALSE), 0)</f>
        <v>2</v>
      </c>
      <c r="Z157" t="str">
        <f>IFERROR(VLOOKUP($B157, blitz!$AA:$AB, 2, FALSE), 0)</f>
        <v>1</v>
      </c>
      <c r="AA157" t="b">
        <f t="shared" si="58"/>
        <v>0</v>
      </c>
      <c r="AB157">
        <f>IFERROR(VLOOKUP($B157, aegis!$AF:$AG, 2, FALSE), 0)</f>
        <v>0</v>
      </c>
      <c r="AC157">
        <f>IFERROR(VLOOKUP($B157, duel!$AF:$AG, 2, FALSE), 0)</f>
        <v>0</v>
      </c>
      <c r="AD157">
        <f>IFERROR(VLOOKUP($B157, blitz!$AF:$AG, 2, FALSE), 0)</f>
        <v>0</v>
      </c>
      <c r="AE157" t="b">
        <f t="shared" si="59"/>
        <v>1</v>
      </c>
      <c r="AF157" t="str">
        <f>IFERROR(VLOOKUP($B157, aegis!$AK:$AL, 2, FALSE), 0)</f>
        <v>2</v>
      </c>
      <c r="AG157" t="str">
        <f>IFERROR(VLOOKUP($B157, duel!$AK:$AL, 2, FALSE), 0)</f>
        <v>1</v>
      </c>
      <c r="AH157" t="str">
        <f>IFERROR(VLOOKUP($B157, blitz!$AK:$AL, 2, FALSE), 0)</f>
        <v>1</v>
      </c>
      <c r="AI157" t="b">
        <f t="shared" si="60"/>
        <v>0</v>
      </c>
      <c r="AJ157" t="str">
        <f>IFERROR(VLOOKUP($B157, aegis!$AP:$AQ, 2, FALSE), 0)</f>
        <v>1</v>
      </c>
      <c r="AK157" t="str">
        <f>IFERROR(VLOOKUP($B157, duel!$AP:$AQ, 2, FALSE), 0)</f>
        <v>1</v>
      </c>
      <c r="AL157" t="str">
        <f>IFERROR(VLOOKUP($B157, blitz!$AP:$AQ, 2, FALSE), 0)</f>
        <v>1</v>
      </c>
      <c r="AM157" t="b">
        <f t="shared" si="61"/>
        <v>1</v>
      </c>
      <c r="AN157">
        <f>IFERROR(VLOOKUP($B157, aegis!$AU:$AV, 2, FALSE), 0)</f>
        <v>0</v>
      </c>
      <c r="AO157">
        <f>IFERROR(VLOOKUP($B157, duel!$AU:$AV, 2, FALSE), 0)</f>
        <v>0</v>
      </c>
      <c r="AP157">
        <f>IFERROR(VLOOKUP($B157, blitz!$AU:$AV, 2, FALSE), 0)</f>
        <v>0</v>
      </c>
      <c r="AQ157" t="b">
        <f t="shared" si="62"/>
        <v>1</v>
      </c>
      <c r="AR157" t="str">
        <f>IFERROR(VLOOKUP($B157, aegis!$AZ:$BA, 2, FALSE), 0)</f>
        <v>1</v>
      </c>
      <c r="AS157" t="str">
        <f>IFERROR(VLOOKUP($B157, duel!$AZ:$BA, 2, FALSE), 0)</f>
        <v>1</v>
      </c>
      <c r="AT157" t="str">
        <f>IFERROR(VLOOKUP($B157, blitz!$AZ:$BA, 2, FALSE), 0)</f>
        <v>1</v>
      </c>
      <c r="AU157" t="b">
        <f t="shared" si="63"/>
        <v>1</v>
      </c>
      <c r="AV157">
        <f>IFERROR(VLOOKUP($B157, aegis!$BE:$BF, 2, FALSE), 0)</f>
        <v>0</v>
      </c>
      <c r="AW157">
        <f>IFERROR(VLOOKUP($B157, duel!$BE:$BF, 2, FALSE), 0)</f>
        <v>0</v>
      </c>
      <c r="AX157">
        <f>IFERROR(VLOOKUP($B157, blitz!$BE:$BF, 2, FALSE), 0)</f>
        <v>0</v>
      </c>
      <c r="AY157" t="b">
        <f t="shared" si="64"/>
        <v>1</v>
      </c>
      <c r="AZ157" t="str">
        <f>IFERROR(VLOOKUP($B157, aegis!$BJ:$BK, 2, FALSE), 0)</f>
        <v>1</v>
      </c>
      <c r="BA157" t="str">
        <f>IFERROR(VLOOKUP($B157, duel!$BJ:$BK, 2, FALSE), 0)</f>
        <v>1</v>
      </c>
      <c r="BB157" t="str">
        <f>IFERROR(VLOOKUP($B157, blitz!$BJ:$BK, 2, FALSE), 0)</f>
        <v>1</v>
      </c>
      <c r="BC157" t="b">
        <f t="shared" si="65"/>
        <v>1</v>
      </c>
      <c r="BD157">
        <f>IFERROR(VLOOKUP($B157, aegis!$BO:$BP, 2, FALSE), 0)</f>
        <v>0</v>
      </c>
      <c r="BE157">
        <f>IFERROR(VLOOKUP($B157, duel!$BO:$BP, 2, FALSE), 0)</f>
        <v>0</v>
      </c>
      <c r="BF157">
        <f>IFERROR(VLOOKUP($B157, blitz!$BO:$BP, 2, FALSE), 0)</f>
        <v>0</v>
      </c>
      <c r="BG157" t="b">
        <f t="shared" si="66"/>
        <v>1</v>
      </c>
      <c r="BH157">
        <f>IFERROR(VLOOKUP($B157, aegis!$BT:$BU, 2, FALSE), 0)</f>
        <v>0</v>
      </c>
      <c r="BI157">
        <f>IFERROR(VLOOKUP($B157, duel!$BT:$BU, 2, FALSE), 0)</f>
        <v>0</v>
      </c>
      <c r="BJ157">
        <f>IFERROR(VLOOKUP($B157, blitz!$BT:$BU, 2, FALSE), 0)</f>
        <v>0</v>
      </c>
      <c r="BK157" t="b">
        <f t="shared" si="67"/>
        <v>1</v>
      </c>
      <c r="BL157">
        <f>IFERROR(VLOOKUP($B157, aegis!$BY:$BZ, 2, FALSE), 0)</f>
        <v>0</v>
      </c>
      <c r="BM157">
        <f>IFERROR(VLOOKUP($B157, duel!$BY:$BZ, 2, FALSE), 0)</f>
        <v>0</v>
      </c>
      <c r="BN157">
        <f>IFERROR(VLOOKUP($B157, blitz!$BY:$BZ, 2, FALSE), 0)</f>
        <v>0</v>
      </c>
      <c r="BO157" t="b">
        <f t="shared" si="68"/>
        <v>1</v>
      </c>
      <c r="BP157" t="str">
        <f>IFERROR(VLOOKUP($B157, aegis!$CD:$CE, 2, FALSE), 0)</f>
        <v>149</v>
      </c>
      <c r="BQ157" t="str">
        <f>IFERROR(VLOOKUP($B157, duel!$CD:$CE, 2, FALSE), 0)</f>
        <v>149</v>
      </c>
      <c r="BR157" t="str">
        <f>IFERROR(VLOOKUP($B157, blitz!$CD:$CE, 2, FALSE), 0)</f>
        <v>149</v>
      </c>
      <c r="BS157" t="b">
        <f t="shared" si="69"/>
        <v>1</v>
      </c>
      <c r="BT157">
        <f>IFERROR(VLOOKUP($B157, aegis!$CI:$CJ, 2, FALSE), 0)</f>
        <v>0</v>
      </c>
      <c r="BU157">
        <f>IFERROR(VLOOKUP($B157, duel!$CI:$CJ, 2, FALSE), 0)</f>
        <v>0</v>
      </c>
      <c r="BV157">
        <f>IFERROR(VLOOKUP($B157, blitz!$CI:$CJ, 2, FALSE), 0)</f>
        <v>0</v>
      </c>
      <c r="BW157" t="b">
        <f t="shared" si="70"/>
        <v>1</v>
      </c>
      <c r="BX157">
        <f>IFERROR(VLOOKUP($B157, aegis!$CN:$CO, 2, FALSE), 0)</f>
        <v>0</v>
      </c>
      <c r="BY157">
        <f>IFERROR(VLOOKUP($B157, duel!$CN:$CO, 2, FALSE), 0)</f>
        <v>0</v>
      </c>
      <c r="BZ157">
        <f>IFERROR(VLOOKUP($B157, blitz!$CN:$CO, 2, FALSE), 0)</f>
        <v>0</v>
      </c>
      <c r="CA157" t="b">
        <f t="shared" si="71"/>
        <v>1</v>
      </c>
      <c r="CB157">
        <f>IFERROR(VLOOKUP($B157, aegis!$CS:$CT, 2, FALSE), 0)</f>
        <v>0</v>
      </c>
      <c r="CC157">
        <f>IFERROR(VLOOKUP($B157, duel!$CS:$CT, 2, FALSE), 0)</f>
        <v>0</v>
      </c>
      <c r="CD157">
        <f>IFERROR(VLOOKUP($B157, blitz!$CS:$CT, 2, FALSE), 0)</f>
        <v>0</v>
      </c>
      <c r="CE157" t="b">
        <f t="shared" si="72"/>
        <v>1</v>
      </c>
      <c r="CF157">
        <f>IFERROR(VLOOKUP($B157, aegis!$CX:$CY, 2, FALSE), 0)</f>
        <v>0</v>
      </c>
      <c r="CG157">
        <f>IFERROR(VLOOKUP($B157, duel!$CX:$CY, 2, FALSE), 0)</f>
        <v>0</v>
      </c>
      <c r="CH157">
        <f>IFERROR(VLOOKUP($B157, blitz!$CX:$CY, 2, FALSE), 0)</f>
        <v>0</v>
      </c>
      <c r="CI157" t="b">
        <f t="shared" si="73"/>
        <v>1</v>
      </c>
      <c r="CJ157">
        <f>IFERROR(VLOOKUP($B157, aegis!$DC:$DD, 2, FALSE), 0)</f>
        <v>0</v>
      </c>
      <c r="CK157">
        <f>IFERROR(VLOOKUP($B157, duel!$DC:$DD, 2, FALSE), 0)</f>
        <v>0</v>
      </c>
      <c r="CL157">
        <f>IFERROR(VLOOKUP($B157, blitz!$DC:$DD, 2, FALSE), 0)</f>
        <v>0</v>
      </c>
      <c r="CM157" t="b">
        <f t="shared" si="74"/>
        <v>1</v>
      </c>
      <c r="CN157">
        <f>IFERROR(VLOOKUP($B157, aegis!$DH:$DI, 2, FALSE), 0)</f>
        <v>0</v>
      </c>
      <c r="CO157">
        <f>IFERROR(VLOOKUP($B157, duel!$DH:$DI, 2, FALSE), 0)</f>
        <v>0</v>
      </c>
      <c r="CP157" s="13">
        <f>IFERROR(VLOOKUP($B157, blitz!$DH:$DI, 2, FALSE), 0)</f>
        <v>0</v>
      </c>
      <c r="CQ157" t="b">
        <f t="shared" si="75"/>
        <v>1</v>
      </c>
      <c r="CR157">
        <f>IFERROR(VLOOKUP($B157, aegis!$DM:$DN, 2, FALSE), 0)</f>
        <v>0</v>
      </c>
      <c r="CS157">
        <f>IFERROR(VLOOKUP($B157, duel!$DM:$DN, 2, FALSE), 0)</f>
        <v>0</v>
      </c>
      <c r="CT157">
        <f>IFERROR(VLOOKUP($B157, blitz!$DM:$DN, 2, FALSE), 0)</f>
        <v>0</v>
      </c>
      <c r="CU157" t="b">
        <f t="shared" si="76"/>
        <v>1</v>
      </c>
      <c r="CV157">
        <f>IFERROR(VLOOKUP($B157, aegis!$DR:$DS, 2, FALSE), 0)</f>
        <v>0</v>
      </c>
      <c r="CW157">
        <f>IFERROR(VLOOKUP($B157, duel!$DR:$DS, 2, FALSE), 0)</f>
        <v>0</v>
      </c>
      <c r="CX157">
        <f>IFERROR(VLOOKUP($B157, blitz!$DR:$DS, 2, FALSE), 0)</f>
        <v>0</v>
      </c>
      <c r="CY157" t="b">
        <f t="shared" si="77"/>
        <v>1</v>
      </c>
    </row>
  </sheetData>
  <autoFilter ref="B4:CY157" xr:uid="{DB628ACA-8BC3-4AC9-B038-B9246DA9B03E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E28-E0D7-4F4F-AF62-F644816078DC}">
  <dimension ref="B1:DT156"/>
  <sheetViews>
    <sheetView topLeftCell="DA20" workbookViewId="0">
      <selection activeCell="DR35" sqref="DR35"/>
    </sheetView>
  </sheetViews>
  <sheetFormatPr defaultRowHeight="18.75"/>
  <cols>
    <col min="1" max="3" width="9" style="4"/>
    <col min="4" max="4" width="9" style="4" customWidth="1"/>
    <col min="5" max="6" width="9" style="4"/>
    <col min="7" max="7" width="9" style="4" customWidth="1"/>
    <col min="8" max="34" width="9" style="4"/>
    <col min="35" max="35" width="12.25" style="4" customWidth="1"/>
    <col min="36" max="16384" width="9" style="4"/>
  </cols>
  <sheetData>
    <row r="1" spans="2:124">
      <c r="B1" s="4" t="s">
        <v>0</v>
      </c>
    </row>
    <row r="2" spans="2:124">
      <c r="B2" s="4" t="s">
        <v>19</v>
      </c>
      <c r="G2" s="4" t="s">
        <v>7</v>
      </c>
      <c r="L2" s="4" t="s">
        <v>309</v>
      </c>
      <c r="Q2" s="4" t="s">
        <v>9</v>
      </c>
      <c r="V2" s="4" t="s">
        <v>10</v>
      </c>
      <c r="AA2" s="4" t="s">
        <v>3</v>
      </c>
      <c r="AF2" s="4" t="s">
        <v>459</v>
      </c>
      <c r="AK2" s="4" t="s">
        <v>613</v>
      </c>
      <c r="AP2" s="4" t="s">
        <v>4</v>
      </c>
      <c r="AU2" s="4" t="s">
        <v>6</v>
      </c>
      <c r="AZ2" s="4" t="s">
        <v>731</v>
      </c>
      <c r="BE2" s="4" t="s">
        <v>780</v>
      </c>
      <c r="BJ2" s="4" t="s">
        <v>791</v>
      </c>
      <c r="BO2" s="4" t="s">
        <v>837</v>
      </c>
      <c r="BT2" s="4" t="s">
        <v>13</v>
      </c>
      <c r="BY2" s="4" t="s">
        <v>14</v>
      </c>
      <c r="CD2" s="4" t="s">
        <v>966</v>
      </c>
      <c r="CI2" s="4" t="s">
        <v>1034</v>
      </c>
      <c r="CN2" s="4" t="s">
        <v>1067</v>
      </c>
      <c r="CS2" s="4" t="s">
        <v>1068</v>
      </c>
      <c r="CX2" s="4" t="s">
        <v>5</v>
      </c>
      <c r="DC2" s="4" t="s">
        <v>12</v>
      </c>
      <c r="DH2" s="4" t="s">
        <v>1329</v>
      </c>
      <c r="DM2" s="4" t="s">
        <v>11</v>
      </c>
      <c r="DR2" s="4" t="s">
        <v>1396</v>
      </c>
    </row>
    <row r="4" spans="2:124">
      <c r="B4" s="4" t="s">
        <v>20</v>
      </c>
      <c r="C4" s="4" t="s">
        <v>21</v>
      </c>
      <c r="D4" s="4" t="s">
        <v>22</v>
      </c>
      <c r="G4" s="4" t="s">
        <v>20</v>
      </c>
      <c r="H4" s="4" t="s">
        <v>285</v>
      </c>
      <c r="I4" s="4" t="s">
        <v>22</v>
      </c>
      <c r="L4" s="4" t="s">
        <v>310</v>
      </c>
      <c r="M4" s="4" t="s">
        <v>104</v>
      </c>
      <c r="N4" s="4" t="s">
        <v>311</v>
      </c>
      <c r="Q4" s="4" t="s">
        <v>310</v>
      </c>
      <c r="R4" s="4" t="s">
        <v>298</v>
      </c>
      <c r="S4" s="4" t="s">
        <v>311</v>
      </c>
      <c r="V4" s="4" t="s">
        <v>310</v>
      </c>
      <c r="W4" s="4" t="s">
        <v>345</v>
      </c>
      <c r="X4" s="4" t="s">
        <v>30</v>
      </c>
      <c r="AA4" s="4" t="s">
        <v>310</v>
      </c>
      <c r="AB4" s="4" t="s">
        <v>441</v>
      </c>
      <c r="AC4" s="4" t="s">
        <v>442</v>
      </c>
      <c r="AF4" s="4" t="s">
        <v>310</v>
      </c>
      <c r="AG4" s="4" t="s">
        <v>345</v>
      </c>
      <c r="AH4" s="4" t="s">
        <v>30</v>
      </c>
      <c r="AK4" s="4" t="s">
        <v>20</v>
      </c>
      <c r="AL4" s="4" t="s">
        <v>446</v>
      </c>
      <c r="AM4" s="4" t="s">
        <v>30</v>
      </c>
      <c r="AP4" s="4" t="s">
        <v>310</v>
      </c>
      <c r="AQ4" s="4" t="s">
        <v>346</v>
      </c>
      <c r="AR4" s="4" t="s">
        <v>632</v>
      </c>
      <c r="AU4" s="4" t="s">
        <v>310</v>
      </c>
      <c r="AV4" s="4" t="s">
        <v>346</v>
      </c>
      <c r="AW4" s="4" t="s">
        <v>632</v>
      </c>
      <c r="AZ4" s="4" t="s">
        <v>310</v>
      </c>
      <c r="BA4" s="4" t="s">
        <v>441</v>
      </c>
      <c r="BB4" s="4" t="s">
        <v>632</v>
      </c>
      <c r="BE4" s="4" t="s">
        <v>790</v>
      </c>
      <c r="BF4" s="4" t="s">
        <v>345</v>
      </c>
      <c r="BG4" s="4" t="s">
        <v>632</v>
      </c>
      <c r="BJ4" s="4" t="s">
        <v>20</v>
      </c>
      <c r="BK4" s="4" t="s">
        <v>441</v>
      </c>
      <c r="BL4" s="4" t="s">
        <v>732</v>
      </c>
      <c r="BO4" s="4" t="s">
        <v>838</v>
      </c>
      <c r="BT4" s="4" t="s">
        <v>20</v>
      </c>
      <c r="BU4" s="4" t="s">
        <v>511</v>
      </c>
      <c r="BV4" s="4" t="s">
        <v>839</v>
      </c>
      <c r="BY4" s="4" t="s">
        <v>790</v>
      </c>
      <c r="BZ4" s="4" t="s">
        <v>345</v>
      </c>
      <c r="CA4" s="4" t="s">
        <v>632</v>
      </c>
      <c r="CD4" s="4" t="s">
        <v>1033</v>
      </c>
      <c r="CE4" s="4" t="s">
        <v>438</v>
      </c>
      <c r="CF4" s="4" t="s">
        <v>967</v>
      </c>
      <c r="CI4" s="4" t="s">
        <v>310</v>
      </c>
      <c r="CJ4" s="4" t="s">
        <v>346</v>
      </c>
      <c r="CK4" s="4" t="s">
        <v>632</v>
      </c>
      <c r="CN4" s="4" t="s">
        <v>310</v>
      </c>
      <c r="CO4" s="4" t="s">
        <v>346</v>
      </c>
      <c r="CP4" s="4" t="s">
        <v>632</v>
      </c>
      <c r="CS4" s="4" t="s">
        <v>310</v>
      </c>
      <c r="CT4" s="4" t="s">
        <v>289</v>
      </c>
      <c r="CU4" s="4" t="s">
        <v>632</v>
      </c>
      <c r="CX4" s="4" t="s">
        <v>20</v>
      </c>
      <c r="CY4" s="4" t="s">
        <v>1079</v>
      </c>
      <c r="CZ4" s="4" t="s">
        <v>1080</v>
      </c>
      <c r="DC4" s="4" t="s">
        <v>20</v>
      </c>
      <c r="DD4" s="4" t="s">
        <v>346</v>
      </c>
      <c r="DE4" s="4" t="s">
        <v>1280</v>
      </c>
      <c r="DH4" s="4" t="s">
        <v>310</v>
      </c>
      <c r="DI4" s="4" t="s">
        <v>346</v>
      </c>
      <c r="DJ4" s="4" t="s">
        <v>632</v>
      </c>
      <c r="DM4" s="4" t="s">
        <v>790</v>
      </c>
      <c r="DN4" s="4" t="s">
        <v>445</v>
      </c>
      <c r="DO4" s="4" t="s">
        <v>632</v>
      </c>
      <c r="DR4" s="4" t="s">
        <v>310</v>
      </c>
      <c r="DS4" s="4" t="s">
        <v>345</v>
      </c>
      <c r="DT4" s="4" t="s">
        <v>632</v>
      </c>
    </row>
    <row r="5" spans="2:124">
      <c r="B5" s="4" t="s">
        <v>23</v>
      </c>
      <c r="C5" s="4" t="s">
        <v>24</v>
      </c>
      <c r="D5" s="4" t="s">
        <v>25</v>
      </c>
      <c r="G5" s="4" t="s">
        <v>23</v>
      </c>
      <c r="H5" s="4" t="s">
        <v>286</v>
      </c>
      <c r="I5" s="4" t="s">
        <v>25</v>
      </c>
      <c r="L5" s="4" t="s">
        <v>312</v>
      </c>
      <c r="M5" s="4" t="s">
        <v>104</v>
      </c>
      <c r="N5" s="4" t="s">
        <v>311</v>
      </c>
      <c r="Q5" s="4" t="s">
        <v>312</v>
      </c>
      <c r="R5" s="4" t="s">
        <v>298</v>
      </c>
      <c r="S5" s="4" t="s">
        <v>311</v>
      </c>
      <c r="V5" s="4" t="s">
        <v>318</v>
      </c>
      <c r="W5" s="4" t="s">
        <v>346</v>
      </c>
      <c r="X5" s="4" t="s">
        <v>30</v>
      </c>
      <c r="AA5" s="4" t="s">
        <v>312</v>
      </c>
      <c r="AB5" s="4" t="s">
        <v>441</v>
      </c>
      <c r="AC5" s="4" t="s">
        <v>442</v>
      </c>
      <c r="AF5" s="4" t="s">
        <v>318</v>
      </c>
      <c r="AG5" s="4" t="s">
        <v>346</v>
      </c>
      <c r="AH5" s="4" t="s">
        <v>30</v>
      </c>
      <c r="AK5" s="4" t="s">
        <v>23</v>
      </c>
      <c r="AL5" s="4" t="s">
        <v>450</v>
      </c>
      <c r="AM5" s="4" t="s">
        <v>30</v>
      </c>
      <c r="AP5" s="4" t="s">
        <v>312</v>
      </c>
      <c r="AQ5" s="4" t="s">
        <v>441</v>
      </c>
      <c r="AR5" s="4" t="s">
        <v>632</v>
      </c>
      <c r="AU5" s="4" t="s">
        <v>318</v>
      </c>
      <c r="AV5" s="4" t="s">
        <v>441</v>
      </c>
      <c r="AW5" s="4" t="s">
        <v>632</v>
      </c>
      <c r="AZ5" s="4" t="s">
        <v>312</v>
      </c>
      <c r="BA5" s="4" t="s">
        <v>441</v>
      </c>
      <c r="BB5" s="4" t="s">
        <v>632</v>
      </c>
      <c r="BE5" s="4" t="s">
        <v>318</v>
      </c>
      <c r="BF5" s="4" t="s">
        <v>345</v>
      </c>
      <c r="BG5" s="4" t="s">
        <v>632</v>
      </c>
      <c r="BJ5" s="4" t="s">
        <v>23</v>
      </c>
      <c r="BK5" s="4" t="s">
        <v>441</v>
      </c>
      <c r="BL5" s="4" t="s">
        <v>732</v>
      </c>
      <c r="BT5" s="4" t="s">
        <v>23</v>
      </c>
      <c r="BU5" s="4" t="s">
        <v>438</v>
      </c>
      <c r="BV5" s="4" t="s">
        <v>840</v>
      </c>
      <c r="BY5" s="4" t="s">
        <v>318</v>
      </c>
      <c r="BZ5" s="4" t="s">
        <v>345</v>
      </c>
      <c r="CA5" s="4" t="s">
        <v>632</v>
      </c>
      <c r="CD5" s="4" t="s">
        <v>23</v>
      </c>
      <c r="CE5" s="4" t="s">
        <v>397</v>
      </c>
      <c r="CF5" s="4" t="s">
        <v>968</v>
      </c>
      <c r="CI5" s="4" t="s">
        <v>318</v>
      </c>
      <c r="CJ5" s="4" t="s">
        <v>434</v>
      </c>
      <c r="CK5" s="4" t="s">
        <v>632</v>
      </c>
      <c r="CN5" s="4" t="s">
        <v>318</v>
      </c>
      <c r="CO5" s="4" t="s">
        <v>434</v>
      </c>
      <c r="CP5" s="4" t="s">
        <v>632</v>
      </c>
      <c r="CS5" s="4" t="s">
        <v>318</v>
      </c>
      <c r="CT5" s="4" t="s">
        <v>513</v>
      </c>
      <c r="CU5" s="4" t="s">
        <v>632</v>
      </c>
      <c r="CX5" s="4" t="s">
        <v>23</v>
      </c>
      <c r="CY5" s="4" t="s">
        <v>1081</v>
      </c>
      <c r="CZ5" s="4" t="s">
        <v>1082</v>
      </c>
      <c r="DC5" s="4" t="s">
        <v>23</v>
      </c>
      <c r="DD5" s="4" t="s">
        <v>441</v>
      </c>
      <c r="DE5" s="4" t="s">
        <v>1281</v>
      </c>
      <c r="DH5" s="4" t="s">
        <v>318</v>
      </c>
      <c r="DI5" s="4" t="s">
        <v>345</v>
      </c>
      <c r="DJ5" s="4" t="s">
        <v>632</v>
      </c>
      <c r="DM5" s="4" t="s">
        <v>318</v>
      </c>
      <c r="DN5" s="4" t="s">
        <v>346</v>
      </c>
      <c r="DO5" s="4" t="s">
        <v>632</v>
      </c>
      <c r="DR5" s="4" t="s">
        <v>318</v>
      </c>
      <c r="DS5" s="4" t="s">
        <v>346</v>
      </c>
      <c r="DT5" s="4" t="s">
        <v>632</v>
      </c>
    </row>
    <row r="6" spans="2:124">
      <c r="B6" s="4" t="s">
        <v>26</v>
      </c>
      <c r="C6" s="4" t="s">
        <v>27</v>
      </c>
      <c r="D6" s="4" t="s">
        <v>25</v>
      </c>
      <c r="G6" s="4" t="s">
        <v>26</v>
      </c>
      <c r="H6" s="4" t="s">
        <v>287</v>
      </c>
      <c r="I6" s="4" t="s">
        <v>25</v>
      </c>
      <c r="L6" s="4" t="s">
        <v>313</v>
      </c>
      <c r="M6" s="4" t="s">
        <v>104</v>
      </c>
      <c r="N6" s="4" t="s">
        <v>311</v>
      </c>
      <c r="Q6" s="4" t="s">
        <v>313</v>
      </c>
      <c r="R6" s="4" t="s">
        <v>298</v>
      </c>
      <c r="S6" s="4" t="s">
        <v>311</v>
      </c>
      <c r="V6" s="4" t="s">
        <v>20</v>
      </c>
      <c r="W6" s="4" t="s">
        <v>347</v>
      </c>
      <c r="X6" s="4" t="s">
        <v>22</v>
      </c>
      <c r="AA6" s="4" t="s">
        <v>313</v>
      </c>
      <c r="AB6" s="4" t="s">
        <v>441</v>
      </c>
      <c r="AC6" s="4" t="s">
        <v>442</v>
      </c>
      <c r="AF6" s="4" t="s">
        <v>20</v>
      </c>
      <c r="AG6" s="4" t="s">
        <v>460</v>
      </c>
      <c r="AH6" s="4" t="s">
        <v>461</v>
      </c>
      <c r="AK6" s="4" t="s">
        <v>26</v>
      </c>
      <c r="AL6" s="4" t="s">
        <v>293</v>
      </c>
      <c r="AM6" s="4" t="s">
        <v>30</v>
      </c>
      <c r="AP6" s="4" t="s">
        <v>313</v>
      </c>
      <c r="AQ6" s="4" t="s">
        <v>441</v>
      </c>
      <c r="AR6" s="4" t="s">
        <v>632</v>
      </c>
      <c r="AU6" s="4" t="s">
        <v>20</v>
      </c>
      <c r="AV6" s="4" t="s">
        <v>377</v>
      </c>
      <c r="AW6" s="4" t="s">
        <v>727</v>
      </c>
      <c r="AZ6" s="4" t="s">
        <v>313</v>
      </c>
      <c r="BA6" s="4" t="s">
        <v>441</v>
      </c>
      <c r="BB6" s="4" t="s">
        <v>632</v>
      </c>
      <c r="BE6" s="4" t="s">
        <v>20</v>
      </c>
      <c r="BF6" s="4" t="s">
        <v>438</v>
      </c>
      <c r="BG6" s="4" t="s">
        <v>781</v>
      </c>
      <c r="BJ6" s="4" t="s">
        <v>26</v>
      </c>
      <c r="BK6" s="4" t="s">
        <v>441</v>
      </c>
      <c r="BL6" s="4" t="s">
        <v>732</v>
      </c>
      <c r="BT6" s="4" t="s">
        <v>26</v>
      </c>
      <c r="BU6" s="4" t="s">
        <v>555</v>
      </c>
      <c r="BV6" s="4" t="s">
        <v>841</v>
      </c>
      <c r="BY6" s="4" t="s">
        <v>20</v>
      </c>
      <c r="BZ6" s="4" t="s">
        <v>104</v>
      </c>
      <c r="CA6" s="4" t="s">
        <v>962</v>
      </c>
      <c r="CD6" s="4" t="s">
        <v>26</v>
      </c>
      <c r="CE6" s="4" t="s">
        <v>969</v>
      </c>
      <c r="CF6" s="4" t="s">
        <v>970</v>
      </c>
      <c r="CI6" s="4" t="s">
        <v>20</v>
      </c>
      <c r="CJ6" s="4" t="s">
        <v>563</v>
      </c>
      <c r="CK6" s="4" t="s">
        <v>1035</v>
      </c>
      <c r="CN6" s="4" t="s">
        <v>20</v>
      </c>
      <c r="CO6" s="4" t="s">
        <v>563</v>
      </c>
      <c r="CP6" s="4" t="s">
        <v>1035</v>
      </c>
      <c r="CS6" s="4" t="s">
        <v>20</v>
      </c>
      <c r="CT6" s="4" t="s">
        <v>1069</v>
      </c>
      <c r="CU6" s="4" t="s">
        <v>1035</v>
      </c>
      <c r="CX6" s="4" t="s">
        <v>26</v>
      </c>
      <c r="CY6" s="4" t="s">
        <v>441</v>
      </c>
      <c r="CZ6" s="4" t="s">
        <v>1083</v>
      </c>
      <c r="DC6" s="4" t="s">
        <v>26</v>
      </c>
      <c r="DD6" s="4" t="s">
        <v>345</v>
      </c>
      <c r="DE6" s="4" t="s">
        <v>1281</v>
      </c>
      <c r="DH6" s="4" t="s">
        <v>20</v>
      </c>
      <c r="DI6" s="4" t="s">
        <v>289</v>
      </c>
      <c r="DJ6" s="4" t="s">
        <v>1330</v>
      </c>
      <c r="DM6" s="4" t="s">
        <v>20</v>
      </c>
      <c r="DN6" s="4" t="s">
        <v>555</v>
      </c>
      <c r="DO6" s="4" t="s">
        <v>1383</v>
      </c>
      <c r="DR6" s="4" t="s">
        <v>20</v>
      </c>
      <c r="DS6" s="4" t="s">
        <v>460</v>
      </c>
      <c r="DT6" s="4" t="s">
        <v>1397</v>
      </c>
    </row>
    <row r="7" spans="2:124">
      <c r="B7" s="4" t="s">
        <v>28</v>
      </c>
      <c r="C7" s="4" t="s">
        <v>29</v>
      </c>
      <c r="D7" s="4" t="s">
        <v>30</v>
      </c>
      <c r="G7" s="4" t="s">
        <v>28</v>
      </c>
      <c r="H7" s="4" t="s">
        <v>288</v>
      </c>
      <c r="I7" s="4" t="s">
        <v>30</v>
      </c>
      <c r="L7" s="4" t="s">
        <v>314</v>
      </c>
      <c r="M7" s="4" t="s">
        <v>104</v>
      </c>
      <c r="N7" s="4" t="s">
        <v>311</v>
      </c>
      <c r="Q7" s="4" t="s">
        <v>314</v>
      </c>
      <c r="R7" s="4" t="s">
        <v>298</v>
      </c>
      <c r="S7" s="4" t="s">
        <v>311</v>
      </c>
      <c r="V7" s="4" t="s">
        <v>23</v>
      </c>
      <c r="W7" s="4" t="s">
        <v>348</v>
      </c>
      <c r="X7" s="4" t="s">
        <v>349</v>
      </c>
      <c r="AA7" s="4" t="s">
        <v>314</v>
      </c>
      <c r="AB7" s="4" t="s">
        <v>441</v>
      </c>
      <c r="AC7" s="4" t="s">
        <v>442</v>
      </c>
      <c r="AF7" s="4" t="s">
        <v>23</v>
      </c>
      <c r="AG7" s="4" t="s">
        <v>462</v>
      </c>
      <c r="AH7" s="4" t="s">
        <v>463</v>
      </c>
      <c r="AK7" s="4" t="s">
        <v>28</v>
      </c>
      <c r="AL7" s="4" t="s">
        <v>446</v>
      </c>
      <c r="AM7" s="4" t="s">
        <v>30</v>
      </c>
      <c r="AP7" s="4" t="s">
        <v>314</v>
      </c>
      <c r="AQ7" s="4" t="s">
        <v>441</v>
      </c>
      <c r="AR7" s="4" t="s">
        <v>632</v>
      </c>
      <c r="AU7" s="4" t="s">
        <v>99</v>
      </c>
      <c r="AV7" s="4" t="s">
        <v>728</v>
      </c>
      <c r="AW7" s="4" t="s">
        <v>729</v>
      </c>
      <c r="AZ7" s="4" t="s">
        <v>314</v>
      </c>
      <c r="BA7" s="4" t="s">
        <v>441</v>
      </c>
      <c r="BB7" s="4" t="s">
        <v>632</v>
      </c>
      <c r="BE7" s="4" t="s">
        <v>23</v>
      </c>
      <c r="BF7" s="4" t="s">
        <v>444</v>
      </c>
      <c r="BG7" s="4" t="s">
        <v>634</v>
      </c>
      <c r="BJ7" s="4" t="s">
        <v>28</v>
      </c>
      <c r="BK7" s="4" t="s">
        <v>441</v>
      </c>
      <c r="BL7" s="4" t="s">
        <v>792</v>
      </c>
      <c r="BT7" s="4" t="s">
        <v>28</v>
      </c>
      <c r="BU7" s="4" t="s">
        <v>842</v>
      </c>
      <c r="BV7" s="4" t="s">
        <v>843</v>
      </c>
      <c r="BY7" s="4" t="s">
        <v>23</v>
      </c>
      <c r="BZ7" s="4" t="s">
        <v>434</v>
      </c>
      <c r="CA7" s="4" t="s">
        <v>634</v>
      </c>
      <c r="CD7" s="4" t="s">
        <v>28</v>
      </c>
      <c r="CE7" s="4" t="s">
        <v>521</v>
      </c>
      <c r="CF7" s="4" t="s">
        <v>30</v>
      </c>
      <c r="CI7" s="4" t="s">
        <v>23</v>
      </c>
      <c r="CJ7" s="4" t="s">
        <v>298</v>
      </c>
      <c r="CK7" s="4" t="s">
        <v>1036</v>
      </c>
      <c r="CN7" s="4" t="s">
        <v>23</v>
      </c>
      <c r="CO7" s="4" t="s">
        <v>298</v>
      </c>
      <c r="CP7" s="4" t="s">
        <v>1036</v>
      </c>
      <c r="CS7" s="4" t="s">
        <v>23</v>
      </c>
      <c r="CT7" s="4" t="s">
        <v>361</v>
      </c>
      <c r="CU7" s="4" t="s">
        <v>1036</v>
      </c>
      <c r="CX7" s="4" t="s">
        <v>34</v>
      </c>
      <c r="CY7" s="4" t="s">
        <v>1084</v>
      </c>
      <c r="CZ7" s="4" t="s">
        <v>1085</v>
      </c>
      <c r="DC7" s="4" t="s">
        <v>28</v>
      </c>
      <c r="DD7" s="4" t="s">
        <v>441</v>
      </c>
      <c r="DE7" s="4" t="s">
        <v>1281</v>
      </c>
      <c r="DH7" s="4" t="s">
        <v>23</v>
      </c>
      <c r="DI7" s="4" t="s">
        <v>438</v>
      </c>
      <c r="DJ7" s="4" t="s">
        <v>634</v>
      </c>
      <c r="DM7" s="4" t="s">
        <v>23</v>
      </c>
      <c r="DN7" s="4" t="s">
        <v>444</v>
      </c>
      <c r="DO7" s="4" t="s">
        <v>634</v>
      </c>
      <c r="DR7" s="4" t="s">
        <v>23</v>
      </c>
      <c r="DS7" s="4" t="s">
        <v>462</v>
      </c>
      <c r="DT7" s="4" t="s">
        <v>1398</v>
      </c>
    </row>
    <row r="8" spans="2:124">
      <c r="B8" s="4" t="s">
        <v>31</v>
      </c>
      <c r="C8" s="4" t="s">
        <v>32</v>
      </c>
      <c r="D8" s="4" t="s">
        <v>33</v>
      </c>
      <c r="G8" s="4" t="s">
        <v>31</v>
      </c>
      <c r="H8" s="4" t="s">
        <v>289</v>
      </c>
      <c r="I8" s="4" t="s">
        <v>33</v>
      </c>
      <c r="L8" s="4" t="s">
        <v>315</v>
      </c>
      <c r="M8" s="4" t="s">
        <v>104</v>
      </c>
      <c r="N8" s="4" t="s">
        <v>311</v>
      </c>
      <c r="Q8" s="4" t="s">
        <v>315</v>
      </c>
      <c r="R8" s="4" t="s">
        <v>298</v>
      </c>
      <c r="S8" s="4" t="s">
        <v>311</v>
      </c>
      <c r="V8" s="4" t="s">
        <v>26</v>
      </c>
      <c r="W8" s="4" t="s">
        <v>350</v>
      </c>
      <c r="X8" s="4" t="s">
        <v>30</v>
      </c>
      <c r="AA8" s="4" t="s">
        <v>315</v>
      </c>
      <c r="AB8" s="4" t="s">
        <v>441</v>
      </c>
      <c r="AC8" s="4" t="s">
        <v>442</v>
      </c>
      <c r="AF8" s="4" t="s">
        <v>26</v>
      </c>
      <c r="AG8" s="4" t="s">
        <v>436</v>
      </c>
      <c r="AH8" s="4" t="s">
        <v>464</v>
      </c>
      <c r="AK8" s="4" t="s">
        <v>31</v>
      </c>
      <c r="AL8" s="4" t="s">
        <v>346</v>
      </c>
      <c r="AM8" s="4" t="s">
        <v>321</v>
      </c>
      <c r="AP8" s="4" t="s">
        <v>315</v>
      </c>
      <c r="AQ8" s="4" t="s">
        <v>441</v>
      </c>
      <c r="AR8" s="4" t="s">
        <v>632</v>
      </c>
      <c r="AU8" s="4" t="s">
        <v>336</v>
      </c>
      <c r="AV8" s="4" t="s">
        <v>730</v>
      </c>
      <c r="AW8" s="4" t="s">
        <v>632</v>
      </c>
      <c r="AZ8" s="4" t="s">
        <v>315</v>
      </c>
      <c r="BA8" s="4" t="s">
        <v>441</v>
      </c>
      <c r="BB8" s="4" t="s">
        <v>632</v>
      </c>
      <c r="BE8" s="4" t="s">
        <v>26</v>
      </c>
      <c r="BF8" s="4" t="s">
        <v>445</v>
      </c>
      <c r="BG8" s="4" t="s">
        <v>634</v>
      </c>
      <c r="BJ8" s="4" t="s">
        <v>31</v>
      </c>
      <c r="BK8" s="4" t="s">
        <v>441</v>
      </c>
      <c r="BL8" s="4" t="s">
        <v>793</v>
      </c>
      <c r="BT8" s="4" t="s">
        <v>31</v>
      </c>
      <c r="BU8" s="4" t="s">
        <v>346</v>
      </c>
      <c r="BV8" s="4" t="s">
        <v>844</v>
      </c>
      <c r="BY8" s="4" t="s">
        <v>26</v>
      </c>
      <c r="BZ8" s="4" t="s">
        <v>441</v>
      </c>
      <c r="CA8" s="4" t="s">
        <v>634</v>
      </c>
      <c r="CD8" s="4" t="s">
        <v>31</v>
      </c>
      <c r="CE8" s="4" t="s">
        <v>346</v>
      </c>
      <c r="CF8" s="4" t="s">
        <v>971</v>
      </c>
      <c r="CI8" s="4" t="s">
        <v>28</v>
      </c>
      <c r="CJ8" s="4" t="s">
        <v>441</v>
      </c>
      <c r="CK8" s="4" t="s">
        <v>1037</v>
      </c>
      <c r="CN8" s="4" t="s">
        <v>28</v>
      </c>
      <c r="CO8" s="4" t="s">
        <v>441</v>
      </c>
      <c r="CP8" s="4" t="s">
        <v>1037</v>
      </c>
      <c r="CS8" s="4" t="s">
        <v>28</v>
      </c>
      <c r="CT8" s="4" t="s">
        <v>360</v>
      </c>
      <c r="CU8" s="4" t="s">
        <v>1037</v>
      </c>
      <c r="CX8" s="4" t="s">
        <v>37</v>
      </c>
      <c r="CY8" s="4" t="s">
        <v>1086</v>
      </c>
      <c r="CZ8" s="4" t="s">
        <v>1087</v>
      </c>
      <c r="DC8" s="4" t="s">
        <v>31</v>
      </c>
      <c r="DD8" s="4" t="s">
        <v>345</v>
      </c>
      <c r="DE8" s="4" t="s">
        <v>1282</v>
      </c>
      <c r="DH8" s="4" t="s">
        <v>26</v>
      </c>
      <c r="DI8" s="4" t="s">
        <v>397</v>
      </c>
      <c r="DJ8" s="4" t="s">
        <v>634</v>
      </c>
      <c r="DM8" s="4" t="s">
        <v>26</v>
      </c>
      <c r="DN8" s="4" t="s">
        <v>603</v>
      </c>
      <c r="DO8" s="4" t="s">
        <v>634</v>
      </c>
      <c r="DR8" s="4" t="s">
        <v>26</v>
      </c>
      <c r="DS8" s="4" t="s">
        <v>436</v>
      </c>
      <c r="DT8" s="4" t="s">
        <v>1399</v>
      </c>
    </row>
    <row r="9" spans="2:124">
      <c r="B9" s="4" t="s">
        <v>34</v>
      </c>
      <c r="C9" s="4" t="s">
        <v>35</v>
      </c>
      <c r="D9" s="4" t="s">
        <v>36</v>
      </c>
      <c r="G9" s="4" t="s">
        <v>34</v>
      </c>
      <c r="H9" s="4" t="s">
        <v>290</v>
      </c>
      <c r="I9" s="4" t="s">
        <v>36</v>
      </c>
      <c r="L9" s="4" t="s">
        <v>316</v>
      </c>
      <c r="M9" s="4" t="s">
        <v>104</v>
      </c>
      <c r="N9" s="4" t="s">
        <v>311</v>
      </c>
      <c r="Q9" s="4" t="s">
        <v>316</v>
      </c>
      <c r="R9" s="4" t="s">
        <v>298</v>
      </c>
      <c r="S9" s="4" t="s">
        <v>311</v>
      </c>
      <c r="V9" s="4" t="s">
        <v>28</v>
      </c>
      <c r="W9" s="4" t="s">
        <v>351</v>
      </c>
      <c r="X9" s="4" t="s">
        <v>30</v>
      </c>
      <c r="AA9" s="4" t="s">
        <v>316</v>
      </c>
      <c r="AB9" s="4" t="s">
        <v>441</v>
      </c>
      <c r="AC9" s="4" t="s">
        <v>442</v>
      </c>
      <c r="AF9" s="4" t="s">
        <v>28</v>
      </c>
      <c r="AG9" s="4" t="s">
        <v>351</v>
      </c>
      <c r="AH9" s="4" t="s">
        <v>30</v>
      </c>
      <c r="AK9" s="4" t="s">
        <v>34</v>
      </c>
      <c r="AL9" s="4" t="s">
        <v>360</v>
      </c>
      <c r="AM9" s="4" t="s">
        <v>30</v>
      </c>
      <c r="AP9" s="4" t="s">
        <v>316</v>
      </c>
      <c r="AQ9" s="4" t="s">
        <v>441</v>
      </c>
      <c r="AR9" s="4" t="s">
        <v>632</v>
      </c>
      <c r="AU9" s="4" t="s">
        <v>337</v>
      </c>
      <c r="AV9" s="4" t="s">
        <v>450</v>
      </c>
      <c r="AW9" s="4" t="s">
        <v>632</v>
      </c>
      <c r="AZ9" s="4" t="s">
        <v>316</v>
      </c>
      <c r="BA9" s="4" t="s">
        <v>441</v>
      </c>
      <c r="BB9" s="4" t="s">
        <v>632</v>
      </c>
      <c r="BE9" s="4" t="s">
        <v>28</v>
      </c>
      <c r="BF9" s="4" t="s">
        <v>346</v>
      </c>
      <c r="BG9" s="4" t="s">
        <v>635</v>
      </c>
      <c r="BJ9" s="4" t="s">
        <v>34</v>
      </c>
      <c r="BK9" s="4" t="s">
        <v>441</v>
      </c>
      <c r="BL9" s="4" t="s">
        <v>732</v>
      </c>
      <c r="BT9" s="4" t="s">
        <v>34</v>
      </c>
      <c r="BU9" s="4" t="s">
        <v>845</v>
      </c>
      <c r="BV9" s="4" t="s">
        <v>846</v>
      </c>
      <c r="BY9" s="4" t="s">
        <v>28</v>
      </c>
      <c r="BZ9" s="4" t="s">
        <v>346</v>
      </c>
      <c r="CA9" s="4" t="s">
        <v>635</v>
      </c>
      <c r="CD9" s="4" t="s">
        <v>34</v>
      </c>
      <c r="CE9" s="4" t="s">
        <v>593</v>
      </c>
      <c r="CF9" s="4" t="s">
        <v>30</v>
      </c>
      <c r="CI9" s="4" t="s">
        <v>34</v>
      </c>
      <c r="CJ9" s="4" t="s">
        <v>1038</v>
      </c>
      <c r="CK9" s="4" t="s">
        <v>1039</v>
      </c>
      <c r="CN9" s="4" t="s">
        <v>34</v>
      </c>
      <c r="CO9" s="4" t="s">
        <v>1038</v>
      </c>
      <c r="CP9" s="4" t="s">
        <v>1039</v>
      </c>
      <c r="CS9" s="4" t="s">
        <v>34</v>
      </c>
      <c r="CT9" s="4" t="s">
        <v>1070</v>
      </c>
      <c r="CU9" s="4" t="s">
        <v>1039</v>
      </c>
      <c r="CX9" s="4" t="s">
        <v>42</v>
      </c>
      <c r="CY9" s="4" t="s">
        <v>1088</v>
      </c>
      <c r="CZ9" s="4" t="s">
        <v>1089</v>
      </c>
      <c r="DC9" s="4" t="s">
        <v>34</v>
      </c>
      <c r="DD9" s="4" t="s">
        <v>441</v>
      </c>
      <c r="DE9" s="4" t="s">
        <v>1281</v>
      </c>
      <c r="DH9" s="4" t="s">
        <v>28</v>
      </c>
      <c r="DI9" s="4" t="s">
        <v>346</v>
      </c>
      <c r="DJ9" s="4" t="s">
        <v>635</v>
      </c>
      <c r="DM9" s="4" t="s">
        <v>28</v>
      </c>
      <c r="DN9" s="4" t="s">
        <v>346</v>
      </c>
      <c r="DO9" s="4" t="s">
        <v>635</v>
      </c>
      <c r="DR9" s="4" t="s">
        <v>28</v>
      </c>
      <c r="DS9" s="4" t="s">
        <v>351</v>
      </c>
      <c r="DT9" s="4" t="s">
        <v>1400</v>
      </c>
    </row>
    <row r="10" spans="2:124">
      <c r="B10" s="4" t="s">
        <v>37</v>
      </c>
      <c r="C10" s="4" t="s">
        <v>38</v>
      </c>
      <c r="D10" s="4" t="s">
        <v>39</v>
      </c>
      <c r="G10" s="4" t="s">
        <v>37</v>
      </c>
      <c r="H10" s="4" t="s">
        <v>291</v>
      </c>
      <c r="I10" s="4" t="s">
        <v>39</v>
      </c>
      <c r="L10" s="4" t="s">
        <v>317</v>
      </c>
      <c r="M10" s="4" t="s">
        <v>104</v>
      </c>
      <c r="N10" s="4" t="s">
        <v>311</v>
      </c>
      <c r="Q10" s="4" t="s">
        <v>317</v>
      </c>
      <c r="R10" s="4" t="s">
        <v>298</v>
      </c>
      <c r="S10" s="4" t="s">
        <v>311</v>
      </c>
      <c r="V10" s="4" t="s">
        <v>34</v>
      </c>
      <c r="W10" s="4" t="s">
        <v>352</v>
      </c>
      <c r="X10" s="4" t="s">
        <v>36</v>
      </c>
      <c r="AA10" s="4" t="s">
        <v>317</v>
      </c>
      <c r="AB10" s="4" t="s">
        <v>441</v>
      </c>
      <c r="AC10" s="4" t="s">
        <v>442</v>
      </c>
      <c r="AF10" s="4" t="s">
        <v>31</v>
      </c>
      <c r="AG10" s="4" t="s">
        <v>296</v>
      </c>
      <c r="AH10" s="4" t="s">
        <v>465</v>
      </c>
      <c r="AK10" s="4" t="s">
        <v>37</v>
      </c>
      <c r="AL10" s="4" t="s">
        <v>360</v>
      </c>
      <c r="AM10" s="4" t="s">
        <v>30</v>
      </c>
      <c r="AP10" s="4" t="s">
        <v>317</v>
      </c>
      <c r="AQ10" s="4" t="s">
        <v>441</v>
      </c>
      <c r="AR10" s="4" t="s">
        <v>632</v>
      </c>
      <c r="AU10" s="4" t="s">
        <v>338</v>
      </c>
      <c r="AV10" s="4" t="s">
        <v>289</v>
      </c>
      <c r="AW10" s="4" t="s">
        <v>632</v>
      </c>
      <c r="AZ10" s="4" t="s">
        <v>317</v>
      </c>
      <c r="BA10" s="4" t="s">
        <v>441</v>
      </c>
      <c r="BB10" s="4" t="s">
        <v>632</v>
      </c>
      <c r="BE10" s="4" t="s">
        <v>31</v>
      </c>
      <c r="BF10" s="4" t="s">
        <v>441</v>
      </c>
      <c r="BG10" s="4" t="s">
        <v>636</v>
      </c>
      <c r="BJ10" s="4" t="s">
        <v>37</v>
      </c>
      <c r="BK10" s="4" t="s">
        <v>441</v>
      </c>
      <c r="BL10" s="4" t="s">
        <v>732</v>
      </c>
      <c r="BT10" s="4" t="s">
        <v>37</v>
      </c>
      <c r="BU10" s="4" t="s">
        <v>847</v>
      </c>
      <c r="BV10" s="4" t="s">
        <v>848</v>
      </c>
      <c r="BY10" s="4" t="s">
        <v>31</v>
      </c>
      <c r="BZ10" s="4" t="s">
        <v>441</v>
      </c>
      <c r="CA10" s="4" t="s">
        <v>636</v>
      </c>
      <c r="CD10" s="4" t="s">
        <v>37</v>
      </c>
      <c r="CE10" s="4" t="s">
        <v>434</v>
      </c>
      <c r="CF10" s="4" t="s">
        <v>30</v>
      </c>
      <c r="CI10" s="4" t="s">
        <v>50</v>
      </c>
      <c r="CJ10" s="4" t="s">
        <v>298</v>
      </c>
      <c r="CK10" s="4" t="s">
        <v>632</v>
      </c>
      <c r="CN10" s="4" t="s">
        <v>50</v>
      </c>
      <c r="CO10" s="4" t="s">
        <v>298</v>
      </c>
      <c r="CP10" s="4" t="s">
        <v>632</v>
      </c>
      <c r="CS10" s="4" t="s">
        <v>50</v>
      </c>
      <c r="CT10" s="4" t="s">
        <v>898</v>
      </c>
      <c r="CU10" s="4" t="s">
        <v>632</v>
      </c>
      <c r="CX10" s="4" t="s">
        <v>48</v>
      </c>
      <c r="CY10" s="4" t="s">
        <v>1090</v>
      </c>
      <c r="CZ10" s="4" t="s">
        <v>1091</v>
      </c>
      <c r="DC10" s="4" t="s">
        <v>37</v>
      </c>
      <c r="DD10" s="4" t="s">
        <v>441</v>
      </c>
      <c r="DE10" s="4" t="s">
        <v>1281</v>
      </c>
      <c r="DH10" s="4" t="s">
        <v>31</v>
      </c>
      <c r="DI10" s="4" t="s">
        <v>441</v>
      </c>
      <c r="DJ10" s="4" t="s">
        <v>636</v>
      </c>
      <c r="DM10" s="4" t="s">
        <v>31</v>
      </c>
      <c r="DN10" s="4" t="s">
        <v>441</v>
      </c>
      <c r="DO10" s="4" t="s">
        <v>636</v>
      </c>
      <c r="DR10" s="4" t="s">
        <v>31</v>
      </c>
      <c r="DS10" s="4" t="s">
        <v>296</v>
      </c>
      <c r="DT10" s="4" t="s">
        <v>1401</v>
      </c>
    </row>
    <row r="11" spans="2:124">
      <c r="B11" s="4" t="s">
        <v>40</v>
      </c>
      <c r="C11" s="4" t="s">
        <v>32</v>
      </c>
      <c r="D11" s="4" t="s">
        <v>30</v>
      </c>
      <c r="G11" s="4" t="s">
        <v>40</v>
      </c>
      <c r="H11" s="4" t="s">
        <v>289</v>
      </c>
      <c r="I11" s="4" t="s">
        <v>30</v>
      </c>
      <c r="L11" s="4" t="s">
        <v>318</v>
      </c>
      <c r="M11" s="4" t="s">
        <v>32</v>
      </c>
      <c r="N11" s="4" t="s">
        <v>311</v>
      </c>
      <c r="Q11" s="4" t="s">
        <v>318</v>
      </c>
      <c r="R11" s="4" t="s">
        <v>289</v>
      </c>
      <c r="S11" s="4" t="s">
        <v>311</v>
      </c>
      <c r="V11" s="4" t="s">
        <v>37</v>
      </c>
      <c r="W11" s="4" t="s">
        <v>353</v>
      </c>
      <c r="X11" s="4" t="s">
        <v>39</v>
      </c>
      <c r="AA11" s="4" t="s">
        <v>318</v>
      </c>
      <c r="AB11" s="4" t="s">
        <v>345</v>
      </c>
      <c r="AC11" s="4" t="s">
        <v>442</v>
      </c>
      <c r="AF11" s="4" t="s">
        <v>34</v>
      </c>
      <c r="AG11" s="4" t="s">
        <v>466</v>
      </c>
      <c r="AH11" s="4" t="s">
        <v>467</v>
      </c>
      <c r="AK11" s="4" t="s">
        <v>40</v>
      </c>
      <c r="AL11" s="4" t="s">
        <v>346</v>
      </c>
      <c r="AM11" s="4" t="s">
        <v>30</v>
      </c>
      <c r="AP11" s="4" t="s">
        <v>318</v>
      </c>
      <c r="AQ11" s="4" t="s">
        <v>346</v>
      </c>
      <c r="AR11" s="4" t="s">
        <v>632</v>
      </c>
      <c r="AZ11" s="4" t="s">
        <v>318</v>
      </c>
      <c r="BA11" s="4" t="s">
        <v>345</v>
      </c>
      <c r="BB11" s="4" t="s">
        <v>632</v>
      </c>
      <c r="BE11" s="4" t="s">
        <v>34</v>
      </c>
      <c r="BF11" s="4" t="s">
        <v>345</v>
      </c>
      <c r="BG11" s="4" t="s">
        <v>632</v>
      </c>
      <c r="BJ11" s="4" t="s">
        <v>40</v>
      </c>
      <c r="BK11" s="4" t="s">
        <v>441</v>
      </c>
      <c r="BL11" s="4" t="s">
        <v>732</v>
      </c>
      <c r="BT11" s="4" t="s">
        <v>40</v>
      </c>
      <c r="BU11" s="4" t="s">
        <v>441</v>
      </c>
      <c r="BV11" s="4" t="s">
        <v>849</v>
      </c>
      <c r="BY11" s="4" t="s">
        <v>34</v>
      </c>
      <c r="BZ11" s="4" t="s">
        <v>345</v>
      </c>
      <c r="CA11" s="4" t="s">
        <v>632</v>
      </c>
      <c r="CD11" s="4" t="s">
        <v>40</v>
      </c>
      <c r="CE11" s="4" t="s">
        <v>346</v>
      </c>
      <c r="CF11" s="4" t="s">
        <v>30</v>
      </c>
      <c r="CI11" s="4" t="s">
        <v>57</v>
      </c>
      <c r="CJ11" s="4" t="s">
        <v>341</v>
      </c>
      <c r="CK11" s="4" t="s">
        <v>1040</v>
      </c>
      <c r="CN11" s="4" t="s">
        <v>57</v>
      </c>
      <c r="CO11" s="4" t="s">
        <v>341</v>
      </c>
      <c r="CP11" s="4" t="s">
        <v>1040</v>
      </c>
      <c r="CS11" s="4" t="s">
        <v>57</v>
      </c>
      <c r="CT11" s="4" t="s">
        <v>1071</v>
      </c>
      <c r="CU11" s="4" t="s">
        <v>1040</v>
      </c>
      <c r="CX11" s="4" t="s">
        <v>50</v>
      </c>
      <c r="CY11" s="4" t="s">
        <v>1092</v>
      </c>
      <c r="CZ11" s="4" t="s">
        <v>1093</v>
      </c>
      <c r="DC11" s="4" t="s">
        <v>40</v>
      </c>
      <c r="DD11" s="4" t="s">
        <v>441</v>
      </c>
      <c r="DE11" s="4" t="s">
        <v>1281</v>
      </c>
      <c r="DH11" s="4" t="s">
        <v>34</v>
      </c>
      <c r="DI11" s="4" t="s">
        <v>360</v>
      </c>
      <c r="DJ11" s="4" t="s">
        <v>1331</v>
      </c>
      <c r="DM11" s="4" t="s">
        <v>34</v>
      </c>
      <c r="DN11" s="4" t="s">
        <v>346</v>
      </c>
      <c r="DO11" s="4" t="s">
        <v>1384</v>
      </c>
      <c r="DR11" s="4" t="s">
        <v>34</v>
      </c>
      <c r="DS11" s="4" t="s">
        <v>466</v>
      </c>
      <c r="DT11" s="4" t="s">
        <v>1402</v>
      </c>
    </row>
    <row r="12" spans="2:124">
      <c r="B12" s="4" t="s">
        <v>41</v>
      </c>
      <c r="C12" s="4" t="s">
        <v>32</v>
      </c>
      <c r="D12" s="4" t="s">
        <v>30</v>
      </c>
      <c r="G12" s="4" t="s">
        <v>41</v>
      </c>
      <c r="H12" s="4" t="s">
        <v>289</v>
      </c>
      <c r="I12" s="4" t="s">
        <v>30</v>
      </c>
      <c r="L12" s="4" t="s">
        <v>20</v>
      </c>
      <c r="M12" s="4" t="s">
        <v>319</v>
      </c>
      <c r="N12" s="4" t="s">
        <v>320</v>
      </c>
      <c r="Q12" s="4" t="s">
        <v>20</v>
      </c>
      <c r="R12" s="4" t="s">
        <v>339</v>
      </c>
      <c r="S12" s="4" t="s">
        <v>320</v>
      </c>
      <c r="V12" s="4" t="s">
        <v>42</v>
      </c>
      <c r="W12" s="4" t="s">
        <v>354</v>
      </c>
      <c r="X12" s="4" t="s">
        <v>43</v>
      </c>
      <c r="AA12" s="4" t="s">
        <v>20</v>
      </c>
      <c r="AB12" s="4" t="s">
        <v>298</v>
      </c>
      <c r="AC12" s="4" t="s">
        <v>443</v>
      </c>
      <c r="AF12" s="4" t="s">
        <v>37</v>
      </c>
      <c r="AG12" s="4" t="s">
        <v>468</v>
      </c>
      <c r="AH12" s="4" t="s">
        <v>469</v>
      </c>
      <c r="AK12" s="4" t="s">
        <v>41</v>
      </c>
      <c r="AL12" s="4" t="s">
        <v>346</v>
      </c>
      <c r="AM12" s="4" t="s">
        <v>30</v>
      </c>
      <c r="AP12" s="4" t="s">
        <v>20</v>
      </c>
      <c r="AQ12" s="4" t="s">
        <v>396</v>
      </c>
      <c r="AR12" s="4" t="s">
        <v>633</v>
      </c>
      <c r="AZ12" s="4" t="s">
        <v>20</v>
      </c>
      <c r="BA12" s="4" t="s">
        <v>360</v>
      </c>
      <c r="BB12" s="4" t="s">
        <v>732</v>
      </c>
      <c r="BE12" s="4" t="s">
        <v>37</v>
      </c>
      <c r="BF12" s="4" t="s">
        <v>346</v>
      </c>
      <c r="BG12" s="4" t="s">
        <v>632</v>
      </c>
      <c r="BJ12" s="4" t="s">
        <v>41</v>
      </c>
      <c r="BK12" s="4" t="s">
        <v>441</v>
      </c>
      <c r="BL12" s="4" t="s">
        <v>732</v>
      </c>
      <c r="BT12" s="4" t="s">
        <v>42</v>
      </c>
      <c r="BU12" s="4" t="s">
        <v>850</v>
      </c>
      <c r="BV12" s="4" t="s">
        <v>851</v>
      </c>
      <c r="BY12" s="4" t="s">
        <v>37</v>
      </c>
      <c r="BZ12" s="4" t="s">
        <v>441</v>
      </c>
      <c r="CA12" s="4" t="s">
        <v>632</v>
      </c>
      <c r="CD12" s="4" t="s">
        <v>41</v>
      </c>
      <c r="CE12" s="4" t="s">
        <v>346</v>
      </c>
      <c r="CF12" s="4" t="s">
        <v>30</v>
      </c>
      <c r="CI12" s="4" t="s">
        <v>61</v>
      </c>
      <c r="CJ12" s="4" t="s">
        <v>360</v>
      </c>
      <c r="CK12" s="4" t="s">
        <v>1041</v>
      </c>
      <c r="CN12" s="4" t="s">
        <v>61</v>
      </c>
      <c r="CO12" s="4" t="s">
        <v>360</v>
      </c>
      <c r="CP12" s="4" t="s">
        <v>1041</v>
      </c>
      <c r="CS12" s="4" t="s">
        <v>61</v>
      </c>
      <c r="CT12" s="4" t="s">
        <v>614</v>
      </c>
      <c r="CU12" s="4" t="s">
        <v>1041</v>
      </c>
      <c r="CX12" s="4" t="s">
        <v>53</v>
      </c>
      <c r="CY12" s="4" t="s">
        <v>1094</v>
      </c>
      <c r="CZ12" s="4" t="s">
        <v>1095</v>
      </c>
      <c r="DC12" s="4" t="s">
        <v>41</v>
      </c>
      <c r="DD12" s="4" t="s">
        <v>441</v>
      </c>
      <c r="DE12" s="4" t="s">
        <v>1281</v>
      </c>
      <c r="DH12" s="4" t="s">
        <v>37</v>
      </c>
      <c r="DI12" s="4" t="s">
        <v>345</v>
      </c>
      <c r="DJ12" s="4" t="s">
        <v>849</v>
      </c>
      <c r="DM12" s="4" t="s">
        <v>37</v>
      </c>
      <c r="DN12" s="4" t="s">
        <v>345</v>
      </c>
      <c r="DO12" s="4" t="s">
        <v>1385</v>
      </c>
      <c r="DR12" s="4" t="s">
        <v>37</v>
      </c>
      <c r="DS12" s="4" t="s">
        <v>468</v>
      </c>
      <c r="DT12" s="4" t="s">
        <v>1403</v>
      </c>
    </row>
    <row r="13" spans="2:124">
      <c r="B13" s="4" t="s">
        <v>42</v>
      </c>
      <c r="C13" s="4" t="s">
        <v>35</v>
      </c>
      <c r="D13" s="4" t="s">
        <v>43</v>
      </c>
      <c r="G13" s="4" t="s">
        <v>42</v>
      </c>
      <c r="H13" s="4" t="s">
        <v>290</v>
      </c>
      <c r="I13" s="4" t="s">
        <v>43</v>
      </c>
      <c r="L13" s="4" t="s">
        <v>23</v>
      </c>
      <c r="M13" s="4" t="s">
        <v>24</v>
      </c>
      <c r="N13" s="4" t="s">
        <v>25</v>
      </c>
      <c r="Q13" s="4" t="s">
        <v>23</v>
      </c>
      <c r="R13" s="4" t="s">
        <v>286</v>
      </c>
      <c r="S13" s="4" t="s">
        <v>25</v>
      </c>
      <c r="V13" s="4" t="s">
        <v>44</v>
      </c>
      <c r="W13" s="4" t="s">
        <v>355</v>
      </c>
      <c r="X13" s="4" t="s">
        <v>46</v>
      </c>
      <c r="AA13" s="4" t="s">
        <v>23</v>
      </c>
      <c r="AB13" s="4" t="s">
        <v>444</v>
      </c>
      <c r="AC13" s="4" t="s">
        <v>25</v>
      </c>
      <c r="AF13" s="4" t="s">
        <v>42</v>
      </c>
      <c r="AG13" s="4" t="s">
        <v>470</v>
      </c>
      <c r="AH13" s="4" t="s">
        <v>471</v>
      </c>
      <c r="AK13" s="4" t="s">
        <v>42</v>
      </c>
      <c r="AL13" s="4" t="s">
        <v>360</v>
      </c>
      <c r="AM13" s="4" t="s">
        <v>30</v>
      </c>
      <c r="AP13" s="4" t="s">
        <v>23</v>
      </c>
      <c r="AQ13" s="4" t="s">
        <v>450</v>
      </c>
      <c r="AR13" s="4" t="s">
        <v>634</v>
      </c>
      <c r="AZ13" s="4" t="s">
        <v>23</v>
      </c>
      <c r="BA13" s="4" t="s">
        <v>444</v>
      </c>
      <c r="BB13" s="4" t="s">
        <v>634</v>
      </c>
      <c r="BE13" s="4" t="s">
        <v>40</v>
      </c>
      <c r="BF13" s="4" t="s">
        <v>441</v>
      </c>
      <c r="BG13" s="4" t="s">
        <v>632</v>
      </c>
      <c r="BJ13" s="4" t="s">
        <v>42</v>
      </c>
      <c r="BK13" s="4" t="s">
        <v>441</v>
      </c>
      <c r="BL13" s="4" t="s">
        <v>732</v>
      </c>
      <c r="BT13" s="4" t="s">
        <v>44</v>
      </c>
      <c r="BU13" s="4" t="s">
        <v>350</v>
      </c>
      <c r="BV13" s="4" t="s">
        <v>852</v>
      </c>
      <c r="BY13" s="4" t="s">
        <v>42</v>
      </c>
      <c r="BZ13" s="4" t="s">
        <v>441</v>
      </c>
      <c r="CA13" s="4" t="s">
        <v>632</v>
      </c>
      <c r="CD13" s="4" t="s">
        <v>42</v>
      </c>
      <c r="CE13" s="4" t="s">
        <v>446</v>
      </c>
      <c r="CF13" s="4" t="s">
        <v>30</v>
      </c>
      <c r="CI13" s="4" t="s">
        <v>64</v>
      </c>
      <c r="CJ13" s="4" t="s">
        <v>360</v>
      </c>
      <c r="CK13" s="4" t="s">
        <v>632</v>
      </c>
      <c r="CN13" s="4" t="s">
        <v>64</v>
      </c>
      <c r="CO13" s="4" t="s">
        <v>360</v>
      </c>
      <c r="CP13" s="4" t="s">
        <v>632</v>
      </c>
      <c r="CS13" s="4" t="s">
        <v>64</v>
      </c>
      <c r="CT13" s="4" t="s">
        <v>377</v>
      </c>
      <c r="CU13" s="4" t="s">
        <v>632</v>
      </c>
      <c r="CX13" s="4" t="s">
        <v>54</v>
      </c>
      <c r="CY13" s="4" t="s">
        <v>1096</v>
      </c>
      <c r="CZ13" s="4" t="s">
        <v>1097</v>
      </c>
      <c r="DC13" s="4" t="s">
        <v>42</v>
      </c>
      <c r="DD13" s="4" t="s">
        <v>441</v>
      </c>
      <c r="DE13" s="4" t="s">
        <v>1281</v>
      </c>
      <c r="DH13" s="4" t="s">
        <v>40</v>
      </c>
      <c r="DI13" s="4" t="s">
        <v>441</v>
      </c>
      <c r="DJ13" s="4" t="s">
        <v>849</v>
      </c>
      <c r="DM13" s="4" t="s">
        <v>42</v>
      </c>
      <c r="DN13" s="4" t="s">
        <v>441</v>
      </c>
      <c r="DO13" s="4" t="s">
        <v>632</v>
      </c>
      <c r="DR13" s="4" t="s">
        <v>42</v>
      </c>
      <c r="DS13" s="4" t="s">
        <v>470</v>
      </c>
      <c r="DT13" s="4" t="s">
        <v>1404</v>
      </c>
    </row>
    <row r="14" spans="2:124">
      <c r="B14" s="4" t="s">
        <v>44</v>
      </c>
      <c r="C14" s="4" t="s">
        <v>45</v>
      </c>
      <c r="D14" s="4" t="s">
        <v>46</v>
      </c>
      <c r="G14" s="4" t="s">
        <v>44</v>
      </c>
      <c r="H14" s="4" t="s">
        <v>292</v>
      </c>
      <c r="I14" s="4" t="s">
        <v>46</v>
      </c>
      <c r="L14" s="4" t="s">
        <v>26</v>
      </c>
      <c r="M14" s="4" t="s">
        <v>27</v>
      </c>
      <c r="N14" s="4" t="s">
        <v>25</v>
      </c>
      <c r="Q14" s="4" t="s">
        <v>26</v>
      </c>
      <c r="R14" s="4" t="s">
        <v>287</v>
      </c>
      <c r="S14" s="4" t="s">
        <v>25</v>
      </c>
      <c r="V14" s="4" t="s">
        <v>47</v>
      </c>
      <c r="W14" s="4" t="s">
        <v>356</v>
      </c>
      <c r="X14" s="4" t="s">
        <v>30</v>
      </c>
      <c r="AA14" s="4" t="s">
        <v>26</v>
      </c>
      <c r="AB14" s="4" t="s">
        <v>445</v>
      </c>
      <c r="AC14" s="4" t="s">
        <v>25</v>
      </c>
      <c r="AF14" s="4" t="s">
        <v>44</v>
      </c>
      <c r="AG14" s="4" t="s">
        <v>472</v>
      </c>
      <c r="AH14" s="4" t="s">
        <v>473</v>
      </c>
      <c r="AK14" s="4" t="s">
        <v>44</v>
      </c>
      <c r="AL14" s="4" t="s">
        <v>346</v>
      </c>
      <c r="AM14" s="4" t="s">
        <v>30</v>
      </c>
      <c r="AP14" s="4" t="s">
        <v>26</v>
      </c>
      <c r="AQ14" s="4" t="s">
        <v>445</v>
      </c>
      <c r="AR14" s="4" t="s">
        <v>634</v>
      </c>
      <c r="AZ14" s="4" t="s">
        <v>26</v>
      </c>
      <c r="BA14" s="4" t="s">
        <v>445</v>
      </c>
      <c r="BB14" s="4" t="s">
        <v>634</v>
      </c>
      <c r="BE14" s="4" t="s">
        <v>41</v>
      </c>
      <c r="BF14" s="4" t="s">
        <v>441</v>
      </c>
      <c r="BG14" s="4" t="s">
        <v>632</v>
      </c>
      <c r="BJ14" s="4" t="s">
        <v>44</v>
      </c>
      <c r="BK14" s="4" t="s">
        <v>441</v>
      </c>
      <c r="BL14" s="4" t="s">
        <v>732</v>
      </c>
      <c r="BT14" s="4" t="s">
        <v>47</v>
      </c>
      <c r="BU14" s="4" t="s">
        <v>555</v>
      </c>
      <c r="BV14" s="4" t="s">
        <v>849</v>
      </c>
      <c r="BY14" s="4" t="s">
        <v>48</v>
      </c>
      <c r="BZ14" s="4" t="s">
        <v>345</v>
      </c>
      <c r="CA14" s="4" t="s">
        <v>632</v>
      </c>
      <c r="CD14" s="4" t="s">
        <v>44</v>
      </c>
      <c r="CE14" s="4" t="s">
        <v>360</v>
      </c>
      <c r="CF14" s="4" t="s">
        <v>30</v>
      </c>
      <c r="CI14" s="4" t="s">
        <v>68</v>
      </c>
      <c r="CJ14" s="4" t="s">
        <v>360</v>
      </c>
      <c r="CK14" s="4" t="s">
        <v>632</v>
      </c>
      <c r="CN14" s="4" t="s">
        <v>68</v>
      </c>
      <c r="CO14" s="4" t="s">
        <v>360</v>
      </c>
      <c r="CP14" s="4" t="s">
        <v>632</v>
      </c>
      <c r="CS14" s="4" t="s">
        <v>68</v>
      </c>
      <c r="CT14" s="4" t="s">
        <v>293</v>
      </c>
      <c r="CU14" s="4" t="s">
        <v>632</v>
      </c>
      <c r="CX14" s="4" t="s">
        <v>57</v>
      </c>
      <c r="CY14" s="4" t="s">
        <v>1098</v>
      </c>
      <c r="CZ14" s="4" t="s">
        <v>1099</v>
      </c>
      <c r="DC14" s="4" t="s">
        <v>44</v>
      </c>
      <c r="DD14" s="4" t="s">
        <v>441</v>
      </c>
      <c r="DE14" s="4" t="s">
        <v>1281</v>
      </c>
      <c r="DH14" s="4" t="s">
        <v>42</v>
      </c>
      <c r="DI14" s="4" t="s">
        <v>345</v>
      </c>
      <c r="DJ14" s="4" t="s">
        <v>632</v>
      </c>
      <c r="DM14" s="4" t="s">
        <v>44</v>
      </c>
      <c r="DN14" s="4" t="s">
        <v>345</v>
      </c>
      <c r="DO14" s="4" t="s">
        <v>632</v>
      </c>
      <c r="DR14" s="4" t="s">
        <v>44</v>
      </c>
      <c r="DS14" s="4" t="s">
        <v>932</v>
      </c>
      <c r="DT14" s="4" t="s">
        <v>1405</v>
      </c>
    </row>
    <row r="15" spans="2:124">
      <c r="B15" s="4" t="s">
        <v>47</v>
      </c>
      <c r="C15" s="4" t="s">
        <v>32</v>
      </c>
      <c r="D15" s="4" t="s">
        <v>30</v>
      </c>
      <c r="G15" s="4" t="s">
        <v>47</v>
      </c>
      <c r="H15" s="4" t="s">
        <v>289</v>
      </c>
      <c r="I15" s="4" t="s">
        <v>30</v>
      </c>
      <c r="L15" s="4" t="s">
        <v>28</v>
      </c>
      <c r="M15" s="4" t="s">
        <v>29</v>
      </c>
      <c r="N15" s="4" t="s">
        <v>30</v>
      </c>
      <c r="Q15" s="4" t="s">
        <v>28</v>
      </c>
      <c r="R15" s="4" t="s">
        <v>288</v>
      </c>
      <c r="S15" s="4" t="s">
        <v>30</v>
      </c>
      <c r="V15" s="4" t="s">
        <v>48</v>
      </c>
      <c r="W15" s="4" t="s">
        <v>357</v>
      </c>
      <c r="X15" s="4" t="s">
        <v>358</v>
      </c>
      <c r="AA15" s="4" t="s">
        <v>28</v>
      </c>
      <c r="AB15" s="4" t="s">
        <v>360</v>
      </c>
      <c r="AC15" s="4" t="s">
        <v>30</v>
      </c>
      <c r="AF15" s="4" t="s">
        <v>47</v>
      </c>
      <c r="AG15" s="4" t="s">
        <v>356</v>
      </c>
      <c r="AH15" s="4" t="s">
        <v>30</v>
      </c>
      <c r="AK15" s="4" t="s">
        <v>47</v>
      </c>
      <c r="AL15" s="4" t="s">
        <v>346</v>
      </c>
      <c r="AM15" s="4" t="s">
        <v>30</v>
      </c>
      <c r="AP15" s="4" t="s">
        <v>28</v>
      </c>
      <c r="AQ15" s="4" t="s">
        <v>346</v>
      </c>
      <c r="AR15" s="4" t="s">
        <v>635</v>
      </c>
      <c r="AZ15" s="4" t="s">
        <v>28</v>
      </c>
      <c r="BA15" s="4" t="s">
        <v>360</v>
      </c>
      <c r="BB15" s="4" t="s">
        <v>635</v>
      </c>
      <c r="BE15" s="4" t="s">
        <v>42</v>
      </c>
      <c r="BF15" s="4" t="s">
        <v>346</v>
      </c>
      <c r="BG15" s="4" t="s">
        <v>632</v>
      </c>
      <c r="BJ15" s="4" t="s">
        <v>47</v>
      </c>
      <c r="BK15" s="4" t="s">
        <v>441</v>
      </c>
      <c r="BL15" s="4" t="s">
        <v>732</v>
      </c>
      <c r="BT15" s="4" t="s">
        <v>48</v>
      </c>
      <c r="BU15" s="4" t="s">
        <v>847</v>
      </c>
      <c r="BV15" s="4" t="s">
        <v>853</v>
      </c>
      <c r="BY15" s="4" t="s">
        <v>50</v>
      </c>
      <c r="BZ15" s="4" t="s">
        <v>441</v>
      </c>
      <c r="CA15" s="4" t="s">
        <v>632</v>
      </c>
      <c r="CD15" s="4" t="s">
        <v>47</v>
      </c>
      <c r="CE15" s="4" t="s">
        <v>446</v>
      </c>
      <c r="CF15" s="4" t="s">
        <v>30</v>
      </c>
      <c r="CI15" s="4" t="s">
        <v>72</v>
      </c>
      <c r="CJ15" s="4" t="s">
        <v>446</v>
      </c>
      <c r="CK15" s="4" t="s">
        <v>1042</v>
      </c>
      <c r="CN15" s="4" t="s">
        <v>72</v>
      </c>
      <c r="CO15" s="4" t="s">
        <v>446</v>
      </c>
      <c r="CP15" s="4" t="s">
        <v>1042</v>
      </c>
      <c r="CS15" s="4" t="s">
        <v>72</v>
      </c>
      <c r="CT15" s="4" t="s">
        <v>293</v>
      </c>
      <c r="CU15" s="4" t="s">
        <v>1042</v>
      </c>
      <c r="CX15" s="4" t="s">
        <v>59</v>
      </c>
      <c r="CY15" s="4" t="s">
        <v>1100</v>
      </c>
      <c r="CZ15" s="4" t="s">
        <v>1101</v>
      </c>
      <c r="DC15" s="4" t="s">
        <v>47</v>
      </c>
      <c r="DD15" s="4" t="s">
        <v>441</v>
      </c>
      <c r="DE15" s="4" t="s">
        <v>1281</v>
      </c>
      <c r="DH15" s="4" t="s">
        <v>44</v>
      </c>
      <c r="DI15" s="4" t="s">
        <v>346</v>
      </c>
      <c r="DJ15" s="4" t="s">
        <v>1332</v>
      </c>
      <c r="DM15" s="4" t="s">
        <v>47</v>
      </c>
      <c r="DN15" s="4" t="s">
        <v>441</v>
      </c>
      <c r="DO15" s="4" t="s">
        <v>632</v>
      </c>
      <c r="DR15" s="4" t="s">
        <v>47</v>
      </c>
      <c r="DS15" s="4" t="s">
        <v>356</v>
      </c>
      <c r="DT15" s="4" t="s">
        <v>632</v>
      </c>
    </row>
    <row r="16" spans="2:124">
      <c r="B16" s="4" t="s">
        <v>48</v>
      </c>
      <c r="C16" s="4" t="s">
        <v>45</v>
      </c>
      <c r="D16" s="4" t="s">
        <v>49</v>
      </c>
      <c r="G16" s="4" t="s">
        <v>48</v>
      </c>
      <c r="H16" s="4" t="s">
        <v>292</v>
      </c>
      <c r="I16" s="4" t="s">
        <v>49</v>
      </c>
      <c r="L16" s="4" t="s">
        <v>31</v>
      </c>
      <c r="M16" s="4" t="s">
        <v>32</v>
      </c>
      <c r="N16" s="4" t="s">
        <v>321</v>
      </c>
      <c r="Q16" s="4" t="s">
        <v>31</v>
      </c>
      <c r="R16" s="4" t="s">
        <v>289</v>
      </c>
      <c r="S16" s="4" t="s">
        <v>33</v>
      </c>
      <c r="V16" s="4" t="s">
        <v>50</v>
      </c>
      <c r="W16" s="4" t="s">
        <v>359</v>
      </c>
      <c r="X16" s="4" t="s">
        <v>51</v>
      </c>
      <c r="AA16" s="4" t="s">
        <v>31</v>
      </c>
      <c r="AB16" s="4" t="s">
        <v>345</v>
      </c>
      <c r="AC16" s="4" t="s">
        <v>33</v>
      </c>
      <c r="AF16" s="4" t="s">
        <v>48</v>
      </c>
      <c r="AG16" s="4" t="s">
        <v>474</v>
      </c>
      <c r="AH16" s="4" t="s">
        <v>475</v>
      </c>
      <c r="AK16" s="4" t="s">
        <v>48</v>
      </c>
      <c r="AL16" s="4" t="s">
        <v>360</v>
      </c>
      <c r="AM16" s="4" t="s">
        <v>30</v>
      </c>
      <c r="AP16" s="4" t="s">
        <v>31</v>
      </c>
      <c r="AQ16" s="4" t="s">
        <v>441</v>
      </c>
      <c r="AR16" s="4" t="s">
        <v>636</v>
      </c>
      <c r="AZ16" s="4" t="s">
        <v>31</v>
      </c>
      <c r="BA16" s="4" t="s">
        <v>345</v>
      </c>
      <c r="BB16" s="4" t="s">
        <v>636</v>
      </c>
      <c r="BE16" s="4" t="s">
        <v>44</v>
      </c>
      <c r="BF16" s="4" t="s">
        <v>345</v>
      </c>
      <c r="BG16" s="4" t="s">
        <v>632</v>
      </c>
      <c r="BJ16" s="4" t="s">
        <v>48</v>
      </c>
      <c r="BK16" s="4" t="s">
        <v>441</v>
      </c>
      <c r="BL16" s="4" t="s">
        <v>732</v>
      </c>
      <c r="BT16" s="4" t="s">
        <v>50</v>
      </c>
      <c r="BU16" s="4" t="s">
        <v>610</v>
      </c>
      <c r="BV16" s="4" t="s">
        <v>854</v>
      </c>
      <c r="BY16" s="4" t="s">
        <v>52</v>
      </c>
      <c r="BZ16" s="4" t="s">
        <v>441</v>
      </c>
      <c r="CA16" s="4" t="s">
        <v>632</v>
      </c>
      <c r="CD16" s="4" t="s">
        <v>48</v>
      </c>
      <c r="CE16" s="4" t="s">
        <v>298</v>
      </c>
      <c r="CF16" s="4" t="s">
        <v>30</v>
      </c>
      <c r="CI16" s="4" t="s">
        <v>82</v>
      </c>
      <c r="CJ16" s="4" t="s">
        <v>345</v>
      </c>
      <c r="CK16" s="4" t="s">
        <v>632</v>
      </c>
      <c r="CN16" s="4" t="s">
        <v>82</v>
      </c>
      <c r="CO16" s="4" t="s">
        <v>345</v>
      </c>
      <c r="CP16" s="4" t="s">
        <v>632</v>
      </c>
      <c r="CS16" s="4" t="s">
        <v>82</v>
      </c>
      <c r="CT16" s="4" t="s">
        <v>450</v>
      </c>
      <c r="CU16" s="4" t="s">
        <v>632</v>
      </c>
      <c r="CX16" s="4" t="s">
        <v>61</v>
      </c>
      <c r="CY16" s="4" t="s">
        <v>1102</v>
      </c>
      <c r="CZ16" s="4" t="s">
        <v>1103</v>
      </c>
      <c r="DC16" s="4" t="s">
        <v>48</v>
      </c>
      <c r="DD16" s="4" t="s">
        <v>441</v>
      </c>
      <c r="DE16" s="4" t="s">
        <v>1281</v>
      </c>
      <c r="DH16" s="4" t="s">
        <v>47</v>
      </c>
      <c r="DI16" s="4" t="s">
        <v>345</v>
      </c>
      <c r="DJ16" s="4" t="s">
        <v>849</v>
      </c>
      <c r="DM16" s="4" t="s">
        <v>48</v>
      </c>
      <c r="DN16" s="4" t="s">
        <v>345</v>
      </c>
      <c r="DO16" s="4" t="s">
        <v>632</v>
      </c>
      <c r="DR16" s="4" t="s">
        <v>48</v>
      </c>
      <c r="DS16" s="4" t="s">
        <v>474</v>
      </c>
      <c r="DT16" s="4" t="s">
        <v>1406</v>
      </c>
    </row>
    <row r="17" spans="2:124">
      <c r="B17" s="4" t="s">
        <v>50</v>
      </c>
      <c r="C17" s="4" t="s">
        <v>29</v>
      </c>
      <c r="D17" s="4" t="s">
        <v>51</v>
      </c>
      <c r="G17" s="4" t="s">
        <v>50</v>
      </c>
      <c r="H17" s="4" t="s">
        <v>288</v>
      </c>
      <c r="I17" s="4" t="s">
        <v>51</v>
      </c>
      <c r="L17" s="4" t="s">
        <v>34</v>
      </c>
      <c r="M17" s="4" t="s">
        <v>35</v>
      </c>
      <c r="N17" s="4" t="s">
        <v>36</v>
      </c>
      <c r="Q17" s="4" t="s">
        <v>34</v>
      </c>
      <c r="R17" s="4" t="s">
        <v>290</v>
      </c>
      <c r="S17" s="4" t="s">
        <v>36</v>
      </c>
      <c r="V17" s="4" t="s">
        <v>52</v>
      </c>
      <c r="W17" s="4" t="s">
        <v>360</v>
      </c>
      <c r="X17" s="4" t="s">
        <v>30</v>
      </c>
      <c r="AA17" s="4" t="s">
        <v>34</v>
      </c>
      <c r="AB17" s="4" t="s">
        <v>346</v>
      </c>
      <c r="AC17" s="4" t="s">
        <v>30</v>
      </c>
      <c r="AF17" s="4" t="s">
        <v>50</v>
      </c>
      <c r="AG17" s="4" t="s">
        <v>476</v>
      </c>
      <c r="AH17" s="4" t="s">
        <v>477</v>
      </c>
      <c r="AK17" s="4" t="s">
        <v>50</v>
      </c>
      <c r="AL17" s="4" t="s">
        <v>346</v>
      </c>
      <c r="AM17" s="4" t="s">
        <v>30</v>
      </c>
      <c r="AP17" s="4" t="s">
        <v>34</v>
      </c>
      <c r="AQ17" s="4" t="s">
        <v>360</v>
      </c>
      <c r="AR17" s="4" t="s">
        <v>632</v>
      </c>
      <c r="AZ17" s="4" t="s">
        <v>34</v>
      </c>
      <c r="BA17" s="4" t="s">
        <v>346</v>
      </c>
      <c r="BB17" s="4" t="s">
        <v>732</v>
      </c>
      <c r="BE17" s="4" t="s">
        <v>47</v>
      </c>
      <c r="BF17" s="4" t="s">
        <v>345</v>
      </c>
      <c r="BG17" s="4" t="s">
        <v>632</v>
      </c>
      <c r="BJ17" s="4" t="s">
        <v>50</v>
      </c>
      <c r="BK17" s="4" t="s">
        <v>441</v>
      </c>
      <c r="BL17" s="4" t="s">
        <v>732</v>
      </c>
      <c r="BT17" s="4" t="s">
        <v>53</v>
      </c>
      <c r="BU17" s="4" t="s">
        <v>436</v>
      </c>
      <c r="BV17" s="4" t="s">
        <v>855</v>
      </c>
      <c r="BY17" s="4" t="s">
        <v>59</v>
      </c>
      <c r="BZ17" s="4" t="s">
        <v>441</v>
      </c>
      <c r="CA17" s="4" t="s">
        <v>632</v>
      </c>
      <c r="CD17" s="4" t="s">
        <v>50</v>
      </c>
      <c r="CE17" s="4" t="s">
        <v>298</v>
      </c>
      <c r="CF17" s="4" t="s">
        <v>972</v>
      </c>
      <c r="CI17" s="4" t="s">
        <v>109</v>
      </c>
      <c r="CJ17" s="4" t="s">
        <v>360</v>
      </c>
      <c r="CK17" s="4" t="s">
        <v>1043</v>
      </c>
      <c r="CN17" s="4" t="s">
        <v>109</v>
      </c>
      <c r="CO17" s="4" t="s">
        <v>360</v>
      </c>
      <c r="CP17" s="4" t="s">
        <v>1043</v>
      </c>
      <c r="CS17" s="4" t="s">
        <v>109</v>
      </c>
      <c r="CT17" s="4" t="s">
        <v>555</v>
      </c>
      <c r="CU17" s="4" t="s">
        <v>1043</v>
      </c>
      <c r="CX17" s="4" t="s">
        <v>64</v>
      </c>
      <c r="CY17" s="4" t="s">
        <v>1104</v>
      </c>
      <c r="CZ17" s="4" t="s">
        <v>1105</v>
      </c>
      <c r="DC17" s="4" t="s">
        <v>50</v>
      </c>
      <c r="DD17" s="4" t="s">
        <v>441</v>
      </c>
      <c r="DE17" s="4" t="s">
        <v>1281</v>
      </c>
      <c r="DH17" s="4" t="s">
        <v>48</v>
      </c>
      <c r="DI17" s="4" t="s">
        <v>346</v>
      </c>
      <c r="DJ17" s="4" t="s">
        <v>849</v>
      </c>
      <c r="DM17" s="4" t="s">
        <v>50</v>
      </c>
      <c r="DN17" s="4" t="s">
        <v>441</v>
      </c>
      <c r="DO17" s="4" t="s">
        <v>632</v>
      </c>
      <c r="DR17" s="4" t="s">
        <v>50</v>
      </c>
      <c r="DS17" s="4" t="s">
        <v>476</v>
      </c>
      <c r="DT17" s="4" t="s">
        <v>1407</v>
      </c>
    </row>
    <row r="18" spans="2:124">
      <c r="B18" s="4" t="s">
        <v>52</v>
      </c>
      <c r="C18" s="4" t="s">
        <v>32</v>
      </c>
      <c r="D18" s="4" t="s">
        <v>30</v>
      </c>
      <c r="G18" s="4" t="s">
        <v>52</v>
      </c>
      <c r="H18" s="4" t="s">
        <v>289</v>
      </c>
      <c r="I18" s="4" t="s">
        <v>30</v>
      </c>
      <c r="L18" s="4" t="s">
        <v>37</v>
      </c>
      <c r="M18" s="4" t="s">
        <v>38</v>
      </c>
      <c r="N18" s="4" t="s">
        <v>39</v>
      </c>
      <c r="Q18" s="4" t="s">
        <v>37</v>
      </c>
      <c r="R18" s="4" t="s">
        <v>291</v>
      </c>
      <c r="S18" s="4" t="s">
        <v>39</v>
      </c>
      <c r="V18" s="4" t="s">
        <v>53</v>
      </c>
      <c r="W18" s="4" t="s">
        <v>361</v>
      </c>
      <c r="X18" s="4" t="s">
        <v>30</v>
      </c>
      <c r="AA18" s="4" t="s">
        <v>37</v>
      </c>
      <c r="AB18" s="4" t="s">
        <v>346</v>
      </c>
      <c r="AC18" s="4" t="s">
        <v>30</v>
      </c>
      <c r="AF18" s="4" t="s">
        <v>52</v>
      </c>
      <c r="AG18" s="4" t="s">
        <v>360</v>
      </c>
      <c r="AH18" s="4" t="s">
        <v>30</v>
      </c>
      <c r="AK18" s="4" t="s">
        <v>52</v>
      </c>
      <c r="AL18" s="4" t="s">
        <v>346</v>
      </c>
      <c r="AM18" s="4" t="s">
        <v>30</v>
      </c>
      <c r="AP18" s="4" t="s">
        <v>37</v>
      </c>
      <c r="AQ18" s="4" t="s">
        <v>346</v>
      </c>
      <c r="AR18" s="4" t="s">
        <v>632</v>
      </c>
      <c r="AZ18" s="4" t="s">
        <v>37</v>
      </c>
      <c r="BA18" s="4" t="s">
        <v>346</v>
      </c>
      <c r="BB18" s="4" t="s">
        <v>732</v>
      </c>
      <c r="BE18" s="4" t="s">
        <v>48</v>
      </c>
      <c r="BF18" s="4" t="s">
        <v>346</v>
      </c>
      <c r="BG18" s="4" t="s">
        <v>632</v>
      </c>
      <c r="BJ18" s="4" t="s">
        <v>52</v>
      </c>
      <c r="BK18" s="4" t="s">
        <v>441</v>
      </c>
      <c r="BL18" s="4" t="s">
        <v>732</v>
      </c>
      <c r="BT18" s="4" t="s">
        <v>54</v>
      </c>
      <c r="BU18" s="4" t="s">
        <v>104</v>
      </c>
      <c r="BV18" s="4" t="s">
        <v>856</v>
      </c>
      <c r="BY18" s="4" t="s">
        <v>61</v>
      </c>
      <c r="BZ18" s="4" t="s">
        <v>346</v>
      </c>
      <c r="CA18" s="4" t="s">
        <v>632</v>
      </c>
      <c r="CD18" s="4" t="s">
        <v>52</v>
      </c>
      <c r="CE18" s="4" t="s">
        <v>446</v>
      </c>
      <c r="CF18" s="4" t="s">
        <v>30</v>
      </c>
      <c r="CI18" s="4" t="s">
        <v>111</v>
      </c>
      <c r="CJ18" s="4" t="s">
        <v>1044</v>
      </c>
      <c r="CK18" s="4" t="s">
        <v>1045</v>
      </c>
      <c r="CN18" s="4" t="s">
        <v>111</v>
      </c>
      <c r="CO18" s="4" t="s">
        <v>1044</v>
      </c>
      <c r="CP18" s="4" t="s">
        <v>1045</v>
      </c>
      <c r="CS18" s="4" t="s">
        <v>111</v>
      </c>
      <c r="CT18" s="4" t="s">
        <v>1072</v>
      </c>
      <c r="CU18" s="4" t="s">
        <v>1045</v>
      </c>
      <c r="CX18" s="4" t="s">
        <v>66</v>
      </c>
      <c r="CY18" s="4" t="s">
        <v>1106</v>
      </c>
      <c r="CZ18" s="4" t="s">
        <v>1107</v>
      </c>
      <c r="DC18" s="4" t="s">
        <v>52</v>
      </c>
      <c r="DD18" s="4" t="s">
        <v>441</v>
      </c>
      <c r="DE18" s="4" t="s">
        <v>1281</v>
      </c>
      <c r="DH18" s="4" t="s">
        <v>50</v>
      </c>
      <c r="DI18" s="4" t="s">
        <v>360</v>
      </c>
      <c r="DJ18" s="4" t="s">
        <v>632</v>
      </c>
      <c r="DM18" s="4" t="s">
        <v>52</v>
      </c>
      <c r="DN18" s="4" t="s">
        <v>441</v>
      </c>
      <c r="DO18" s="4" t="s">
        <v>632</v>
      </c>
      <c r="DR18" s="4" t="s">
        <v>52</v>
      </c>
      <c r="DS18" s="4" t="s">
        <v>360</v>
      </c>
      <c r="DT18" s="4" t="s">
        <v>632</v>
      </c>
    </row>
    <row r="19" spans="2:124">
      <c r="B19" s="4" t="s">
        <v>53</v>
      </c>
      <c r="C19" s="4" t="s">
        <v>32</v>
      </c>
      <c r="D19" s="4" t="s">
        <v>30</v>
      </c>
      <c r="G19" s="4" t="s">
        <v>53</v>
      </c>
      <c r="H19" s="4" t="s">
        <v>289</v>
      </c>
      <c r="I19" s="4" t="s">
        <v>30</v>
      </c>
      <c r="L19" s="4" t="s">
        <v>40</v>
      </c>
      <c r="M19" s="4" t="s">
        <v>32</v>
      </c>
      <c r="N19" s="4" t="s">
        <v>30</v>
      </c>
      <c r="Q19" s="4" t="s">
        <v>40</v>
      </c>
      <c r="R19" s="4" t="s">
        <v>289</v>
      </c>
      <c r="S19" s="4" t="s">
        <v>30</v>
      </c>
      <c r="V19" s="4" t="s">
        <v>54</v>
      </c>
      <c r="W19" s="4" t="s">
        <v>290</v>
      </c>
      <c r="X19" s="4" t="s">
        <v>56</v>
      </c>
      <c r="AA19" s="4" t="s">
        <v>40</v>
      </c>
      <c r="AB19" s="4" t="s">
        <v>345</v>
      </c>
      <c r="AC19" s="4" t="s">
        <v>30</v>
      </c>
      <c r="AF19" s="4" t="s">
        <v>53</v>
      </c>
      <c r="AG19" s="4" t="s">
        <v>478</v>
      </c>
      <c r="AH19" s="4" t="s">
        <v>479</v>
      </c>
      <c r="AK19" s="4" t="s">
        <v>53</v>
      </c>
      <c r="AL19" s="4" t="s">
        <v>346</v>
      </c>
      <c r="AM19" s="4" t="s">
        <v>30</v>
      </c>
      <c r="AP19" s="4" t="s">
        <v>40</v>
      </c>
      <c r="AQ19" s="4" t="s">
        <v>441</v>
      </c>
      <c r="AR19" s="4" t="s">
        <v>632</v>
      </c>
      <c r="AZ19" s="4" t="s">
        <v>40</v>
      </c>
      <c r="BA19" s="4" t="s">
        <v>345</v>
      </c>
      <c r="BB19" s="4" t="s">
        <v>732</v>
      </c>
      <c r="BE19" s="4" t="s">
        <v>50</v>
      </c>
      <c r="BF19" s="4" t="s">
        <v>345</v>
      </c>
      <c r="BG19" s="4" t="s">
        <v>632</v>
      </c>
      <c r="BJ19" s="4" t="s">
        <v>53</v>
      </c>
      <c r="BK19" s="4" t="s">
        <v>441</v>
      </c>
      <c r="BL19" s="4" t="s">
        <v>732</v>
      </c>
      <c r="BT19" s="4" t="s">
        <v>57</v>
      </c>
      <c r="BU19" s="4" t="s">
        <v>450</v>
      </c>
      <c r="BV19" s="4" t="s">
        <v>857</v>
      </c>
      <c r="BY19" s="4" t="s">
        <v>64</v>
      </c>
      <c r="BZ19" s="4" t="s">
        <v>441</v>
      </c>
      <c r="CA19" s="4" t="s">
        <v>632</v>
      </c>
      <c r="CD19" s="4" t="s">
        <v>53</v>
      </c>
      <c r="CE19" s="4" t="s">
        <v>434</v>
      </c>
      <c r="CF19" s="4" t="s">
        <v>30</v>
      </c>
      <c r="CI19" s="4" t="s">
        <v>118</v>
      </c>
      <c r="CJ19" s="4" t="s">
        <v>345</v>
      </c>
      <c r="CK19" s="4" t="s">
        <v>1046</v>
      </c>
      <c r="CN19" s="4" t="s">
        <v>118</v>
      </c>
      <c r="CO19" s="4" t="s">
        <v>345</v>
      </c>
      <c r="CP19" s="4" t="s">
        <v>1046</v>
      </c>
      <c r="CS19" s="4" t="s">
        <v>118</v>
      </c>
      <c r="CT19" s="4" t="s">
        <v>444</v>
      </c>
      <c r="CU19" s="4" t="s">
        <v>1046</v>
      </c>
      <c r="CX19" s="4" t="s">
        <v>68</v>
      </c>
      <c r="CY19" s="4" t="s">
        <v>1108</v>
      </c>
      <c r="CZ19" s="4" t="s">
        <v>1109</v>
      </c>
      <c r="DC19" s="4" t="s">
        <v>53</v>
      </c>
      <c r="DD19" s="4" t="s">
        <v>441</v>
      </c>
      <c r="DE19" s="4" t="s">
        <v>1281</v>
      </c>
      <c r="DH19" s="4" t="s">
        <v>52</v>
      </c>
      <c r="DI19" s="4" t="s">
        <v>441</v>
      </c>
      <c r="DJ19" s="4" t="s">
        <v>632</v>
      </c>
      <c r="DM19" s="4" t="s">
        <v>53</v>
      </c>
      <c r="DN19" s="4" t="s">
        <v>441</v>
      </c>
      <c r="DO19" s="4" t="s">
        <v>632</v>
      </c>
      <c r="DR19" s="4" t="s">
        <v>53</v>
      </c>
      <c r="DS19" s="4" t="s">
        <v>478</v>
      </c>
      <c r="DT19" s="4" t="s">
        <v>1408</v>
      </c>
    </row>
    <row r="20" spans="2:124">
      <c r="B20" s="4" t="s">
        <v>54</v>
      </c>
      <c r="C20" s="4" t="s">
        <v>55</v>
      </c>
      <c r="D20" s="4" t="s">
        <v>56</v>
      </c>
      <c r="G20" s="4" t="s">
        <v>54</v>
      </c>
      <c r="H20" s="4" t="s">
        <v>293</v>
      </c>
      <c r="I20" s="4" t="s">
        <v>56</v>
      </c>
      <c r="L20" s="4" t="s">
        <v>41</v>
      </c>
      <c r="M20" s="4" t="s">
        <v>32</v>
      </c>
      <c r="N20" s="4" t="s">
        <v>30</v>
      </c>
      <c r="Q20" s="4" t="s">
        <v>41</v>
      </c>
      <c r="R20" s="4" t="s">
        <v>289</v>
      </c>
      <c r="S20" s="4" t="s">
        <v>30</v>
      </c>
      <c r="V20" s="4" t="s">
        <v>57</v>
      </c>
      <c r="W20" s="4" t="s">
        <v>362</v>
      </c>
      <c r="X20" s="4" t="s">
        <v>58</v>
      </c>
      <c r="AA20" s="4" t="s">
        <v>41</v>
      </c>
      <c r="AB20" s="4" t="s">
        <v>345</v>
      </c>
      <c r="AC20" s="4" t="s">
        <v>30</v>
      </c>
      <c r="AF20" s="4" t="s">
        <v>54</v>
      </c>
      <c r="AG20" s="4" t="s">
        <v>32</v>
      </c>
      <c r="AH20" s="4" t="s">
        <v>480</v>
      </c>
      <c r="AK20" s="4" t="s">
        <v>54</v>
      </c>
      <c r="AL20" s="4" t="s">
        <v>346</v>
      </c>
      <c r="AM20" s="4" t="s">
        <v>30</v>
      </c>
      <c r="AP20" s="4" t="s">
        <v>41</v>
      </c>
      <c r="AQ20" s="4" t="s">
        <v>441</v>
      </c>
      <c r="AR20" s="4" t="s">
        <v>632</v>
      </c>
      <c r="AZ20" s="4" t="s">
        <v>41</v>
      </c>
      <c r="BA20" s="4" t="s">
        <v>345</v>
      </c>
      <c r="BB20" s="4" t="s">
        <v>732</v>
      </c>
      <c r="BE20" s="4" t="s">
        <v>52</v>
      </c>
      <c r="BF20" s="4" t="s">
        <v>345</v>
      </c>
      <c r="BG20" s="4" t="s">
        <v>632</v>
      </c>
      <c r="BJ20" s="4" t="s">
        <v>54</v>
      </c>
      <c r="BK20" s="4" t="s">
        <v>441</v>
      </c>
      <c r="BL20" s="4" t="s">
        <v>732</v>
      </c>
      <c r="BT20" s="4" t="s">
        <v>59</v>
      </c>
      <c r="BU20" s="4" t="s">
        <v>397</v>
      </c>
      <c r="BV20" s="4" t="s">
        <v>858</v>
      </c>
      <c r="BY20" s="4" t="s">
        <v>66</v>
      </c>
      <c r="BZ20" s="4" t="s">
        <v>441</v>
      </c>
      <c r="CA20" s="4" t="s">
        <v>632</v>
      </c>
      <c r="CD20" s="4" t="s">
        <v>54</v>
      </c>
      <c r="CE20" s="4" t="s">
        <v>446</v>
      </c>
      <c r="CF20" s="4" t="s">
        <v>30</v>
      </c>
      <c r="CI20" s="4" t="s">
        <v>138</v>
      </c>
      <c r="CJ20" s="4" t="s">
        <v>441</v>
      </c>
      <c r="CK20" s="4" t="s">
        <v>1047</v>
      </c>
      <c r="CN20" s="4" t="s">
        <v>138</v>
      </c>
      <c r="CO20" s="4" t="s">
        <v>441</v>
      </c>
      <c r="CP20" s="4" t="s">
        <v>1047</v>
      </c>
      <c r="CS20" s="4" t="s">
        <v>138</v>
      </c>
      <c r="CT20" s="4" t="s">
        <v>360</v>
      </c>
      <c r="CU20" s="4" t="s">
        <v>1047</v>
      </c>
      <c r="CX20" s="4" t="s">
        <v>70</v>
      </c>
      <c r="CY20" s="4" t="s">
        <v>1110</v>
      </c>
      <c r="CZ20" s="4" t="s">
        <v>1111</v>
      </c>
      <c r="DC20" s="4" t="s">
        <v>54</v>
      </c>
      <c r="DD20" s="4" t="s">
        <v>441</v>
      </c>
      <c r="DE20" s="4" t="s">
        <v>1281</v>
      </c>
      <c r="DH20" s="4" t="s">
        <v>53</v>
      </c>
      <c r="DI20" s="4" t="s">
        <v>346</v>
      </c>
      <c r="DJ20" s="4" t="s">
        <v>849</v>
      </c>
      <c r="DM20" s="4" t="s">
        <v>54</v>
      </c>
      <c r="DN20" s="4" t="s">
        <v>441</v>
      </c>
      <c r="DO20" s="4" t="s">
        <v>632</v>
      </c>
      <c r="DR20" s="4" t="s">
        <v>54</v>
      </c>
      <c r="DS20" s="4" t="s">
        <v>32</v>
      </c>
      <c r="DT20" s="4" t="s">
        <v>1409</v>
      </c>
    </row>
    <row r="21" spans="2:124">
      <c r="B21" s="4" t="s">
        <v>57</v>
      </c>
      <c r="C21" s="4" t="s">
        <v>45</v>
      </c>
      <c r="D21" s="4" t="s">
        <v>58</v>
      </c>
      <c r="G21" s="4" t="s">
        <v>57</v>
      </c>
      <c r="H21" s="4" t="s">
        <v>292</v>
      </c>
      <c r="I21" s="4" t="s">
        <v>58</v>
      </c>
      <c r="L21" s="4" t="s">
        <v>42</v>
      </c>
      <c r="M21" s="4" t="s">
        <v>35</v>
      </c>
      <c r="N21" s="4" t="s">
        <v>43</v>
      </c>
      <c r="Q21" s="4" t="s">
        <v>42</v>
      </c>
      <c r="R21" s="4" t="s">
        <v>290</v>
      </c>
      <c r="S21" s="4" t="s">
        <v>43</v>
      </c>
      <c r="V21" s="4" t="s">
        <v>59</v>
      </c>
      <c r="W21" s="4" t="s">
        <v>363</v>
      </c>
      <c r="X21" s="4" t="s">
        <v>60</v>
      </c>
      <c r="AA21" s="4" t="s">
        <v>42</v>
      </c>
      <c r="AB21" s="4" t="s">
        <v>346</v>
      </c>
      <c r="AC21" s="4" t="s">
        <v>30</v>
      </c>
      <c r="AF21" s="4" t="s">
        <v>57</v>
      </c>
      <c r="AG21" s="4" t="s">
        <v>289</v>
      </c>
      <c r="AH21" s="4" t="s">
        <v>58</v>
      </c>
      <c r="AK21" s="4" t="s">
        <v>57</v>
      </c>
      <c r="AL21" s="4" t="s">
        <v>360</v>
      </c>
      <c r="AM21" s="4" t="s">
        <v>30</v>
      </c>
      <c r="AP21" s="4" t="s">
        <v>42</v>
      </c>
      <c r="AQ21" s="4" t="s">
        <v>346</v>
      </c>
      <c r="AR21" s="4" t="s">
        <v>632</v>
      </c>
      <c r="AZ21" s="4" t="s">
        <v>42</v>
      </c>
      <c r="BA21" s="4" t="s">
        <v>346</v>
      </c>
      <c r="BB21" s="4" t="s">
        <v>732</v>
      </c>
      <c r="BE21" s="4" t="s">
        <v>53</v>
      </c>
      <c r="BF21" s="4" t="s">
        <v>345</v>
      </c>
      <c r="BG21" s="4" t="s">
        <v>632</v>
      </c>
      <c r="BJ21" s="4" t="s">
        <v>57</v>
      </c>
      <c r="BK21" s="4" t="s">
        <v>441</v>
      </c>
      <c r="BL21" s="4" t="s">
        <v>732</v>
      </c>
      <c r="BT21" s="4" t="s">
        <v>61</v>
      </c>
      <c r="BU21" s="4" t="s">
        <v>859</v>
      </c>
      <c r="BV21" s="4" t="s">
        <v>860</v>
      </c>
      <c r="BY21" s="4" t="s">
        <v>68</v>
      </c>
      <c r="BZ21" s="4" t="s">
        <v>345</v>
      </c>
      <c r="CA21" s="4" t="s">
        <v>637</v>
      </c>
      <c r="CD21" s="4" t="s">
        <v>57</v>
      </c>
      <c r="CE21" s="4" t="s">
        <v>446</v>
      </c>
      <c r="CF21" s="4" t="s">
        <v>30</v>
      </c>
      <c r="CI21" s="4" t="s">
        <v>152</v>
      </c>
      <c r="CJ21" s="4" t="s">
        <v>441</v>
      </c>
      <c r="CK21" s="4" t="s">
        <v>1048</v>
      </c>
      <c r="CN21" s="4" t="s">
        <v>152</v>
      </c>
      <c r="CO21" s="4" t="s">
        <v>441</v>
      </c>
      <c r="CP21" s="4" t="s">
        <v>1048</v>
      </c>
      <c r="CS21" s="4" t="s">
        <v>152</v>
      </c>
      <c r="CT21" s="4" t="s">
        <v>360</v>
      </c>
      <c r="CU21" s="4" t="s">
        <v>1048</v>
      </c>
      <c r="CX21" s="4" t="s">
        <v>72</v>
      </c>
      <c r="CY21" s="4" t="s">
        <v>466</v>
      </c>
      <c r="CZ21" s="4" t="s">
        <v>1112</v>
      </c>
      <c r="DC21" s="4" t="s">
        <v>57</v>
      </c>
      <c r="DD21" s="4" t="s">
        <v>441</v>
      </c>
      <c r="DE21" s="4" t="s">
        <v>1281</v>
      </c>
      <c r="DH21" s="4" t="s">
        <v>54</v>
      </c>
      <c r="DI21" s="4" t="s">
        <v>345</v>
      </c>
      <c r="DJ21" s="4" t="s">
        <v>849</v>
      </c>
      <c r="DM21" s="4" t="s">
        <v>57</v>
      </c>
      <c r="DN21" s="4" t="s">
        <v>441</v>
      </c>
      <c r="DO21" s="4" t="s">
        <v>632</v>
      </c>
      <c r="DR21" s="4" t="s">
        <v>57</v>
      </c>
      <c r="DS21" s="4" t="s">
        <v>289</v>
      </c>
      <c r="DT21" s="4" t="s">
        <v>58</v>
      </c>
    </row>
    <row r="22" spans="2:124">
      <c r="B22" s="4" t="s">
        <v>59</v>
      </c>
      <c r="C22" s="4" t="s">
        <v>45</v>
      </c>
      <c r="D22" s="4" t="s">
        <v>60</v>
      </c>
      <c r="G22" s="4" t="s">
        <v>59</v>
      </c>
      <c r="H22" s="4" t="s">
        <v>292</v>
      </c>
      <c r="I22" s="4" t="s">
        <v>60</v>
      </c>
      <c r="L22" s="4" t="s">
        <v>44</v>
      </c>
      <c r="M22" s="4" t="s">
        <v>45</v>
      </c>
      <c r="N22" s="4" t="s">
        <v>46</v>
      </c>
      <c r="Q22" s="4" t="s">
        <v>44</v>
      </c>
      <c r="R22" s="4" t="s">
        <v>292</v>
      </c>
      <c r="S22" s="4" t="s">
        <v>46</v>
      </c>
      <c r="V22" s="4" t="s">
        <v>61</v>
      </c>
      <c r="W22" s="4" t="s">
        <v>364</v>
      </c>
      <c r="X22" s="4" t="s">
        <v>63</v>
      </c>
      <c r="AA22" s="4" t="s">
        <v>44</v>
      </c>
      <c r="AB22" s="4" t="s">
        <v>345</v>
      </c>
      <c r="AC22" s="4" t="s">
        <v>30</v>
      </c>
      <c r="AF22" s="4" t="s">
        <v>59</v>
      </c>
      <c r="AG22" s="4" t="s">
        <v>481</v>
      </c>
      <c r="AH22" s="4" t="s">
        <v>482</v>
      </c>
      <c r="AK22" s="4" t="s">
        <v>59</v>
      </c>
      <c r="AL22" s="4" t="s">
        <v>346</v>
      </c>
      <c r="AM22" s="4" t="s">
        <v>30</v>
      </c>
      <c r="AP22" s="4" t="s">
        <v>44</v>
      </c>
      <c r="AQ22" s="4" t="s">
        <v>345</v>
      </c>
      <c r="AR22" s="4" t="s">
        <v>632</v>
      </c>
      <c r="AZ22" s="4" t="s">
        <v>44</v>
      </c>
      <c r="BA22" s="4" t="s">
        <v>345</v>
      </c>
      <c r="BB22" s="4" t="s">
        <v>732</v>
      </c>
      <c r="BE22" s="4" t="s">
        <v>54</v>
      </c>
      <c r="BF22" s="4" t="s">
        <v>345</v>
      </c>
      <c r="BG22" s="4" t="s">
        <v>632</v>
      </c>
      <c r="BJ22" s="4" t="s">
        <v>59</v>
      </c>
      <c r="BK22" s="4" t="s">
        <v>441</v>
      </c>
      <c r="BL22" s="4" t="s">
        <v>732</v>
      </c>
      <c r="BT22" s="4" t="s">
        <v>64</v>
      </c>
      <c r="BU22" s="4" t="s">
        <v>521</v>
      </c>
      <c r="BV22" s="4" t="s">
        <v>861</v>
      </c>
      <c r="BY22" s="4" t="s">
        <v>70</v>
      </c>
      <c r="BZ22" s="4" t="s">
        <v>441</v>
      </c>
      <c r="CA22" s="4" t="s">
        <v>632</v>
      </c>
      <c r="CD22" s="4" t="s">
        <v>59</v>
      </c>
      <c r="CE22" s="4" t="s">
        <v>298</v>
      </c>
      <c r="CF22" s="4" t="s">
        <v>972</v>
      </c>
      <c r="CI22" s="4" t="s">
        <v>160</v>
      </c>
      <c r="CJ22" s="4" t="s">
        <v>360</v>
      </c>
      <c r="CK22" s="4" t="s">
        <v>1049</v>
      </c>
      <c r="CN22" s="4" t="s">
        <v>160</v>
      </c>
      <c r="CO22" s="4" t="s">
        <v>360</v>
      </c>
      <c r="CP22" s="4" t="s">
        <v>1049</v>
      </c>
      <c r="CS22" s="4" t="s">
        <v>160</v>
      </c>
      <c r="CT22" s="4" t="s">
        <v>499</v>
      </c>
      <c r="CU22" s="4" t="s">
        <v>1049</v>
      </c>
      <c r="CX22" s="4" t="s">
        <v>73</v>
      </c>
      <c r="CY22" s="4" t="s">
        <v>1113</v>
      </c>
      <c r="CZ22" s="4" t="s">
        <v>1114</v>
      </c>
      <c r="DC22" s="4" t="s">
        <v>322</v>
      </c>
      <c r="DD22" s="4" t="s">
        <v>441</v>
      </c>
      <c r="DE22" s="4" t="s">
        <v>1281</v>
      </c>
      <c r="DH22" s="4" t="s">
        <v>57</v>
      </c>
      <c r="DI22" s="4" t="s">
        <v>441</v>
      </c>
      <c r="DJ22" s="4" t="s">
        <v>849</v>
      </c>
      <c r="DM22" s="4" t="s">
        <v>59</v>
      </c>
      <c r="DN22" s="4" t="s">
        <v>441</v>
      </c>
      <c r="DO22" s="4" t="s">
        <v>632</v>
      </c>
      <c r="DR22" s="4" t="s">
        <v>59</v>
      </c>
      <c r="DS22" s="4" t="s">
        <v>385</v>
      </c>
      <c r="DT22" s="4" t="s">
        <v>1410</v>
      </c>
    </row>
    <row r="23" spans="2:124">
      <c r="B23" s="4" t="s">
        <v>61</v>
      </c>
      <c r="C23" s="4" t="s">
        <v>62</v>
      </c>
      <c r="D23" s="4" t="s">
        <v>63</v>
      </c>
      <c r="G23" s="4" t="s">
        <v>61</v>
      </c>
      <c r="H23" s="4" t="s">
        <v>294</v>
      </c>
      <c r="I23" s="4" t="s">
        <v>63</v>
      </c>
      <c r="L23" s="4" t="s">
        <v>47</v>
      </c>
      <c r="M23" s="4" t="s">
        <v>32</v>
      </c>
      <c r="N23" s="4" t="s">
        <v>30</v>
      </c>
      <c r="Q23" s="4" t="s">
        <v>47</v>
      </c>
      <c r="R23" s="4" t="s">
        <v>289</v>
      </c>
      <c r="S23" s="4" t="s">
        <v>30</v>
      </c>
      <c r="V23" s="4" t="s">
        <v>64</v>
      </c>
      <c r="W23" s="4" t="s">
        <v>365</v>
      </c>
      <c r="X23" s="4" t="s">
        <v>65</v>
      </c>
      <c r="AA23" s="4" t="s">
        <v>47</v>
      </c>
      <c r="AB23" s="4" t="s">
        <v>345</v>
      </c>
      <c r="AC23" s="4" t="s">
        <v>30</v>
      </c>
      <c r="AF23" s="4" t="s">
        <v>61</v>
      </c>
      <c r="AG23" s="4" t="s">
        <v>348</v>
      </c>
      <c r="AH23" s="4" t="s">
        <v>483</v>
      </c>
      <c r="AK23" s="4" t="s">
        <v>61</v>
      </c>
      <c r="AL23" s="4" t="s">
        <v>434</v>
      </c>
      <c r="AM23" s="4" t="s">
        <v>30</v>
      </c>
      <c r="AP23" s="4" t="s">
        <v>47</v>
      </c>
      <c r="AQ23" s="4" t="s">
        <v>345</v>
      </c>
      <c r="AR23" s="4" t="s">
        <v>632</v>
      </c>
      <c r="AZ23" s="4" t="s">
        <v>47</v>
      </c>
      <c r="BA23" s="4" t="s">
        <v>345</v>
      </c>
      <c r="BB23" s="4" t="s">
        <v>732</v>
      </c>
      <c r="BE23" s="4" t="s">
        <v>57</v>
      </c>
      <c r="BF23" s="4" t="s">
        <v>346</v>
      </c>
      <c r="BG23" s="4" t="s">
        <v>632</v>
      </c>
      <c r="BJ23" s="4" t="s">
        <v>61</v>
      </c>
      <c r="BK23" s="4" t="s">
        <v>441</v>
      </c>
      <c r="BL23" s="4" t="s">
        <v>732</v>
      </c>
      <c r="BT23" s="4" t="s">
        <v>66</v>
      </c>
      <c r="BU23" s="4" t="s">
        <v>497</v>
      </c>
      <c r="BV23" s="4" t="s">
        <v>862</v>
      </c>
      <c r="BY23" s="4" t="s">
        <v>72</v>
      </c>
      <c r="BZ23" s="4" t="s">
        <v>441</v>
      </c>
      <c r="CA23" s="4" t="s">
        <v>632</v>
      </c>
      <c r="CD23" s="4" t="s">
        <v>61</v>
      </c>
      <c r="CE23" s="4" t="s">
        <v>377</v>
      </c>
      <c r="CF23" s="4" t="s">
        <v>973</v>
      </c>
      <c r="CI23" s="4" t="s">
        <v>164</v>
      </c>
      <c r="CJ23" s="4" t="s">
        <v>356</v>
      </c>
      <c r="CK23" s="4" t="s">
        <v>1050</v>
      </c>
      <c r="CN23" s="4" t="s">
        <v>164</v>
      </c>
      <c r="CO23" s="4" t="s">
        <v>356</v>
      </c>
      <c r="CP23" s="4" t="s">
        <v>1050</v>
      </c>
      <c r="CS23" s="4" t="s">
        <v>164</v>
      </c>
      <c r="CT23" s="4" t="s">
        <v>503</v>
      </c>
      <c r="CU23" s="4" t="s">
        <v>1050</v>
      </c>
      <c r="CX23" s="4" t="s">
        <v>76</v>
      </c>
      <c r="CY23" s="4" t="s">
        <v>1115</v>
      </c>
      <c r="CZ23" s="4" t="s">
        <v>1116</v>
      </c>
      <c r="DC23" s="4" t="s">
        <v>59</v>
      </c>
      <c r="DD23" s="4" t="s">
        <v>441</v>
      </c>
      <c r="DE23" s="4" t="s">
        <v>1281</v>
      </c>
      <c r="DH23" s="4" t="s">
        <v>59</v>
      </c>
      <c r="DI23" s="4" t="s">
        <v>360</v>
      </c>
      <c r="DJ23" s="4" t="s">
        <v>632</v>
      </c>
      <c r="DM23" s="4" t="s">
        <v>61</v>
      </c>
      <c r="DN23" s="4" t="s">
        <v>360</v>
      </c>
      <c r="DO23" s="4" t="s">
        <v>632</v>
      </c>
      <c r="DR23" s="4" t="s">
        <v>61</v>
      </c>
      <c r="DS23" s="4" t="s">
        <v>348</v>
      </c>
      <c r="DT23" s="4" t="s">
        <v>1411</v>
      </c>
    </row>
    <row r="24" spans="2:124">
      <c r="B24" s="4" t="s">
        <v>64</v>
      </c>
      <c r="C24" s="4" t="s">
        <v>29</v>
      </c>
      <c r="D24" s="4" t="s">
        <v>65</v>
      </c>
      <c r="G24" s="4" t="s">
        <v>64</v>
      </c>
      <c r="H24" s="4" t="s">
        <v>288</v>
      </c>
      <c r="I24" s="4" t="s">
        <v>65</v>
      </c>
      <c r="L24" s="4" t="s">
        <v>48</v>
      </c>
      <c r="M24" s="4" t="s">
        <v>45</v>
      </c>
      <c r="N24" s="4" t="s">
        <v>49</v>
      </c>
      <c r="Q24" s="4" t="s">
        <v>48</v>
      </c>
      <c r="R24" s="4" t="s">
        <v>292</v>
      </c>
      <c r="S24" s="4" t="s">
        <v>49</v>
      </c>
      <c r="V24" s="4" t="s">
        <v>66</v>
      </c>
      <c r="W24" s="4" t="s">
        <v>366</v>
      </c>
      <c r="X24" s="4" t="s">
        <v>367</v>
      </c>
      <c r="AA24" s="4" t="s">
        <v>48</v>
      </c>
      <c r="AB24" s="4" t="s">
        <v>346</v>
      </c>
      <c r="AC24" s="4" t="s">
        <v>30</v>
      </c>
      <c r="AF24" s="4" t="s">
        <v>64</v>
      </c>
      <c r="AG24" s="4" t="s">
        <v>90</v>
      </c>
      <c r="AH24" s="4" t="s">
        <v>484</v>
      </c>
      <c r="AK24" s="4" t="s">
        <v>64</v>
      </c>
      <c r="AL24" s="4" t="s">
        <v>346</v>
      </c>
      <c r="AM24" s="4" t="s">
        <v>30</v>
      </c>
      <c r="AP24" s="4" t="s">
        <v>48</v>
      </c>
      <c r="AQ24" s="4" t="s">
        <v>346</v>
      </c>
      <c r="AR24" s="4" t="s">
        <v>632</v>
      </c>
      <c r="AZ24" s="4" t="s">
        <v>48</v>
      </c>
      <c r="BA24" s="4" t="s">
        <v>346</v>
      </c>
      <c r="BB24" s="4" t="s">
        <v>732</v>
      </c>
      <c r="BE24" s="4" t="s">
        <v>322</v>
      </c>
      <c r="BF24" s="4" t="s">
        <v>441</v>
      </c>
      <c r="BG24" s="4" t="s">
        <v>632</v>
      </c>
      <c r="BJ24" s="4" t="s">
        <v>64</v>
      </c>
      <c r="BK24" s="4" t="s">
        <v>441</v>
      </c>
      <c r="BL24" s="4" t="s">
        <v>732</v>
      </c>
      <c r="BT24" s="4" t="s">
        <v>68</v>
      </c>
      <c r="BU24" s="4" t="s">
        <v>376</v>
      </c>
      <c r="BV24" s="4" t="s">
        <v>863</v>
      </c>
      <c r="BY24" s="4" t="s">
        <v>76</v>
      </c>
      <c r="BZ24" s="4" t="s">
        <v>441</v>
      </c>
      <c r="CA24" s="4" t="s">
        <v>632</v>
      </c>
      <c r="CD24" s="4" t="s">
        <v>64</v>
      </c>
      <c r="CE24" s="4" t="s">
        <v>446</v>
      </c>
      <c r="CF24" s="4" t="s">
        <v>30</v>
      </c>
      <c r="CI24" s="4" t="s">
        <v>168</v>
      </c>
      <c r="CJ24" s="4" t="s">
        <v>341</v>
      </c>
      <c r="CK24" s="4" t="s">
        <v>1051</v>
      </c>
      <c r="CN24" s="4" t="s">
        <v>168</v>
      </c>
      <c r="CO24" s="4" t="s">
        <v>341</v>
      </c>
      <c r="CP24" s="4" t="s">
        <v>1051</v>
      </c>
      <c r="CS24" s="4" t="s">
        <v>168</v>
      </c>
      <c r="CT24" s="4" t="s">
        <v>391</v>
      </c>
      <c r="CU24" s="4" t="s">
        <v>1051</v>
      </c>
      <c r="CX24" s="4" t="s">
        <v>79</v>
      </c>
      <c r="CY24" s="4" t="s">
        <v>1117</v>
      </c>
      <c r="CZ24" s="4" t="s">
        <v>1118</v>
      </c>
      <c r="DC24" s="4" t="s">
        <v>61</v>
      </c>
      <c r="DD24" s="4" t="s">
        <v>441</v>
      </c>
      <c r="DE24" s="4" t="s">
        <v>1281</v>
      </c>
      <c r="DH24" s="4" t="s">
        <v>61</v>
      </c>
      <c r="DI24" s="4" t="s">
        <v>444</v>
      </c>
      <c r="DJ24" s="4" t="s">
        <v>849</v>
      </c>
      <c r="DM24" s="4" t="s">
        <v>64</v>
      </c>
      <c r="DN24" s="4" t="s">
        <v>441</v>
      </c>
      <c r="DO24" s="4" t="s">
        <v>632</v>
      </c>
      <c r="DR24" s="4" t="s">
        <v>64</v>
      </c>
      <c r="DS24" s="4" t="s">
        <v>90</v>
      </c>
      <c r="DT24" s="4" t="s">
        <v>1412</v>
      </c>
    </row>
    <row r="25" spans="2:124">
      <c r="B25" s="4" t="s">
        <v>66</v>
      </c>
      <c r="C25" s="4" t="s">
        <v>45</v>
      </c>
      <c r="D25" s="4" t="s">
        <v>67</v>
      </c>
      <c r="G25" s="4" t="s">
        <v>66</v>
      </c>
      <c r="H25" s="4" t="s">
        <v>292</v>
      </c>
      <c r="I25" s="4" t="s">
        <v>67</v>
      </c>
      <c r="L25" s="4" t="s">
        <v>50</v>
      </c>
      <c r="M25" s="4" t="s">
        <v>29</v>
      </c>
      <c r="N25" s="4" t="s">
        <v>51</v>
      </c>
      <c r="Q25" s="4" t="s">
        <v>50</v>
      </c>
      <c r="R25" s="4" t="s">
        <v>288</v>
      </c>
      <c r="S25" s="4" t="s">
        <v>51</v>
      </c>
      <c r="V25" s="4" t="s">
        <v>68</v>
      </c>
      <c r="W25" s="4" t="s">
        <v>368</v>
      </c>
      <c r="X25" s="4" t="s">
        <v>369</v>
      </c>
      <c r="AA25" s="4" t="s">
        <v>50</v>
      </c>
      <c r="AB25" s="4" t="s">
        <v>345</v>
      </c>
      <c r="AC25" s="4" t="s">
        <v>30</v>
      </c>
      <c r="AF25" s="4" t="s">
        <v>66</v>
      </c>
      <c r="AG25" s="4" t="s">
        <v>485</v>
      </c>
      <c r="AH25" s="4" t="s">
        <v>486</v>
      </c>
      <c r="AK25" s="4" t="s">
        <v>66</v>
      </c>
      <c r="AL25" s="4" t="s">
        <v>346</v>
      </c>
      <c r="AM25" s="4" t="s">
        <v>30</v>
      </c>
      <c r="AP25" s="4" t="s">
        <v>50</v>
      </c>
      <c r="AQ25" s="4" t="s">
        <v>345</v>
      </c>
      <c r="AR25" s="4" t="s">
        <v>632</v>
      </c>
      <c r="AZ25" s="4" t="s">
        <v>50</v>
      </c>
      <c r="BA25" s="4" t="s">
        <v>345</v>
      </c>
      <c r="BB25" s="4" t="s">
        <v>732</v>
      </c>
      <c r="BE25" s="4" t="s">
        <v>59</v>
      </c>
      <c r="BF25" s="4" t="s">
        <v>345</v>
      </c>
      <c r="BG25" s="4" t="s">
        <v>632</v>
      </c>
      <c r="BJ25" s="4" t="s">
        <v>66</v>
      </c>
      <c r="BK25" s="4" t="s">
        <v>441</v>
      </c>
      <c r="BL25" s="4" t="s">
        <v>732</v>
      </c>
      <c r="BT25" s="4" t="s">
        <v>70</v>
      </c>
      <c r="BU25" s="4" t="s">
        <v>29</v>
      </c>
      <c r="BV25" s="4" t="s">
        <v>864</v>
      </c>
      <c r="BY25" s="4" t="s">
        <v>79</v>
      </c>
      <c r="BZ25" s="4" t="s">
        <v>441</v>
      </c>
      <c r="CA25" s="4" t="s">
        <v>632</v>
      </c>
      <c r="CD25" s="4" t="s">
        <v>66</v>
      </c>
      <c r="CE25" s="4" t="s">
        <v>298</v>
      </c>
      <c r="CF25" s="4" t="s">
        <v>974</v>
      </c>
      <c r="CI25" s="4" t="s">
        <v>170</v>
      </c>
      <c r="CJ25" s="4" t="s">
        <v>441</v>
      </c>
      <c r="CK25" s="4" t="s">
        <v>1052</v>
      </c>
      <c r="CN25" s="4" t="s">
        <v>170</v>
      </c>
      <c r="CO25" s="4" t="s">
        <v>441</v>
      </c>
      <c r="CP25" s="4" t="s">
        <v>1052</v>
      </c>
      <c r="CS25" s="4" t="s">
        <v>170</v>
      </c>
      <c r="CT25" s="4" t="s">
        <v>346</v>
      </c>
      <c r="CU25" s="4" t="s">
        <v>1052</v>
      </c>
      <c r="CX25" s="4" t="s">
        <v>81</v>
      </c>
      <c r="CY25" s="4" t="s">
        <v>1119</v>
      </c>
      <c r="CZ25" s="4" t="s">
        <v>1120</v>
      </c>
      <c r="DC25" s="4" t="s">
        <v>64</v>
      </c>
      <c r="DD25" s="4" t="s">
        <v>441</v>
      </c>
      <c r="DE25" s="4" t="s">
        <v>1281</v>
      </c>
      <c r="DH25" s="4" t="s">
        <v>64</v>
      </c>
      <c r="DI25" s="4" t="s">
        <v>360</v>
      </c>
      <c r="DJ25" s="4" t="s">
        <v>849</v>
      </c>
      <c r="DM25" s="4" t="s">
        <v>66</v>
      </c>
      <c r="DN25" s="4" t="s">
        <v>345</v>
      </c>
      <c r="DO25" s="4" t="s">
        <v>1386</v>
      </c>
      <c r="DR25" s="4" t="s">
        <v>66</v>
      </c>
      <c r="DS25" s="4" t="s">
        <v>485</v>
      </c>
      <c r="DT25" s="4" t="s">
        <v>1413</v>
      </c>
    </row>
    <row r="26" spans="2:124">
      <c r="B26" s="4" t="s">
        <v>68</v>
      </c>
      <c r="C26" s="4" t="s">
        <v>24</v>
      </c>
      <c r="D26" s="4" t="s">
        <v>69</v>
      </c>
      <c r="G26" s="4" t="s">
        <v>68</v>
      </c>
      <c r="H26" s="4" t="s">
        <v>286</v>
      </c>
      <c r="I26" s="4" t="s">
        <v>69</v>
      </c>
      <c r="L26" s="4" t="s">
        <v>52</v>
      </c>
      <c r="M26" s="4" t="s">
        <v>32</v>
      </c>
      <c r="N26" s="4" t="s">
        <v>30</v>
      </c>
      <c r="Q26" s="4" t="s">
        <v>52</v>
      </c>
      <c r="R26" s="4" t="s">
        <v>289</v>
      </c>
      <c r="S26" s="4" t="s">
        <v>30</v>
      </c>
      <c r="V26" s="4" t="s">
        <v>70</v>
      </c>
      <c r="W26" s="4" t="s">
        <v>370</v>
      </c>
      <c r="X26" s="4" t="s">
        <v>371</v>
      </c>
      <c r="AA26" s="4" t="s">
        <v>52</v>
      </c>
      <c r="AB26" s="4" t="s">
        <v>345</v>
      </c>
      <c r="AC26" s="4" t="s">
        <v>30</v>
      </c>
      <c r="AF26" s="4" t="s">
        <v>68</v>
      </c>
      <c r="AG26" s="4" t="s">
        <v>487</v>
      </c>
      <c r="AH26" s="4" t="s">
        <v>488</v>
      </c>
      <c r="AK26" s="4" t="s">
        <v>68</v>
      </c>
      <c r="AL26" s="4" t="s">
        <v>446</v>
      </c>
      <c r="AM26" s="4" t="s">
        <v>30</v>
      </c>
      <c r="AP26" s="4" t="s">
        <v>52</v>
      </c>
      <c r="AQ26" s="4" t="s">
        <v>345</v>
      </c>
      <c r="AR26" s="4" t="s">
        <v>632</v>
      </c>
      <c r="AZ26" s="4" t="s">
        <v>52</v>
      </c>
      <c r="BA26" s="4" t="s">
        <v>345</v>
      </c>
      <c r="BB26" s="4" t="s">
        <v>732</v>
      </c>
      <c r="BE26" s="4" t="s">
        <v>61</v>
      </c>
      <c r="BF26" s="4" t="s">
        <v>446</v>
      </c>
      <c r="BG26" s="4" t="s">
        <v>632</v>
      </c>
      <c r="BJ26" s="4" t="s">
        <v>68</v>
      </c>
      <c r="BK26" s="4" t="s">
        <v>441</v>
      </c>
      <c r="BL26" s="4" t="s">
        <v>732</v>
      </c>
      <c r="BT26" s="4" t="s">
        <v>72</v>
      </c>
      <c r="BU26" s="4" t="s">
        <v>441</v>
      </c>
      <c r="BV26" s="4" t="s">
        <v>632</v>
      </c>
      <c r="BY26" s="4" t="s">
        <v>81</v>
      </c>
      <c r="BZ26" s="4" t="s">
        <v>441</v>
      </c>
      <c r="CA26" s="4" t="s">
        <v>632</v>
      </c>
      <c r="CD26" s="4" t="s">
        <v>68</v>
      </c>
      <c r="CE26" s="4" t="s">
        <v>298</v>
      </c>
      <c r="CF26" s="4" t="s">
        <v>975</v>
      </c>
      <c r="CI26" s="4" t="s">
        <v>172</v>
      </c>
      <c r="CJ26" s="4" t="s">
        <v>346</v>
      </c>
      <c r="CK26" s="4" t="s">
        <v>1053</v>
      </c>
      <c r="CN26" s="4" t="s">
        <v>172</v>
      </c>
      <c r="CO26" s="4" t="s">
        <v>346</v>
      </c>
      <c r="CP26" s="4" t="s">
        <v>1053</v>
      </c>
      <c r="CS26" s="4" t="s">
        <v>172</v>
      </c>
      <c r="CT26" s="4" t="s">
        <v>289</v>
      </c>
      <c r="CU26" s="4" t="s">
        <v>1053</v>
      </c>
      <c r="CX26" s="4" t="s">
        <v>82</v>
      </c>
      <c r="CY26" s="4" t="s">
        <v>1121</v>
      </c>
      <c r="CZ26" s="4" t="s">
        <v>1122</v>
      </c>
      <c r="DC26" s="4" t="s">
        <v>66</v>
      </c>
      <c r="DD26" s="4" t="s">
        <v>441</v>
      </c>
      <c r="DE26" s="4" t="s">
        <v>1281</v>
      </c>
      <c r="DH26" s="4" t="s">
        <v>66</v>
      </c>
      <c r="DI26" s="4" t="s">
        <v>360</v>
      </c>
      <c r="DJ26" s="4" t="s">
        <v>632</v>
      </c>
      <c r="DM26" s="4" t="s">
        <v>68</v>
      </c>
      <c r="DN26" s="4" t="s">
        <v>346</v>
      </c>
      <c r="DO26" s="4" t="s">
        <v>637</v>
      </c>
      <c r="DR26" s="4" t="s">
        <v>68</v>
      </c>
      <c r="DS26" s="4" t="s">
        <v>487</v>
      </c>
      <c r="DT26" s="4" t="s">
        <v>1414</v>
      </c>
    </row>
    <row r="27" spans="2:124">
      <c r="B27" s="4" t="s">
        <v>70</v>
      </c>
      <c r="C27" s="4" t="s">
        <v>45</v>
      </c>
      <c r="D27" s="4" t="s">
        <v>71</v>
      </c>
      <c r="G27" s="4" t="s">
        <v>70</v>
      </c>
      <c r="H27" s="4" t="s">
        <v>292</v>
      </c>
      <c r="I27" s="4" t="s">
        <v>71</v>
      </c>
      <c r="L27" s="4" t="s">
        <v>53</v>
      </c>
      <c r="M27" s="4" t="s">
        <v>32</v>
      </c>
      <c r="N27" s="4" t="s">
        <v>30</v>
      </c>
      <c r="Q27" s="4" t="s">
        <v>53</v>
      </c>
      <c r="R27" s="4" t="s">
        <v>289</v>
      </c>
      <c r="S27" s="4" t="s">
        <v>30</v>
      </c>
      <c r="V27" s="4" t="s">
        <v>72</v>
      </c>
      <c r="W27" s="4" t="s">
        <v>372</v>
      </c>
      <c r="X27" s="4" t="s">
        <v>30</v>
      </c>
      <c r="AA27" s="4" t="s">
        <v>53</v>
      </c>
      <c r="AB27" s="4" t="s">
        <v>345</v>
      </c>
      <c r="AC27" s="4" t="s">
        <v>30</v>
      </c>
      <c r="AF27" s="4" t="s">
        <v>70</v>
      </c>
      <c r="AG27" s="4" t="s">
        <v>489</v>
      </c>
      <c r="AH27" s="4" t="s">
        <v>490</v>
      </c>
      <c r="AK27" s="4" t="s">
        <v>70</v>
      </c>
      <c r="AL27" s="4" t="s">
        <v>346</v>
      </c>
      <c r="AM27" s="4" t="s">
        <v>30</v>
      </c>
      <c r="AP27" s="4" t="s">
        <v>53</v>
      </c>
      <c r="AQ27" s="4" t="s">
        <v>345</v>
      </c>
      <c r="AR27" s="4" t="s">
        <v>632</v>
      </c>
      <c r="AZ27" s="4" t="s">
        <v>53</v>
      </c>
      <c r="BA27" s="4" t="s">
        <v>345</v>
      </c>
      <c r="BB27" s="4" t="s">
        <v>732</v>
      </c>
      <c r="BE27" s="4" t="s">
        <v>64</v>
      </c>
      <c r="BF27" s="4" t="s">
        <v>345</v>
      </c>
      <c r="BG27" s="4" t="s">
        <v>632</v>
      </c>
      <c r="BJ27" s="4" t="s">
        <v>70</v>
      </c>
      <c r="BK27" s="4" t="s">
        <v>441</v>
      </c>
      <c r="BL27" s="4" t="s">
        <v>732</v>
      </c>
      <c r="BT27" s="4" t="s">
        <v>73</v>
      </c>
      <c r="BU27" s="4" t="s">
        <v>865</v>
      </c>
      <c r="BV27" s="4" t="s">
        <v>866</v>
      </c>
      <c r="BY27" s="4" t="s">
        <v>82</v>
      </c>
      <c r="BZ27" s="4" t="s">
        <v>441</v>
      </c>
      <c r="CA27" s="4" t="s">
        <v>638</v>
      </c>
      <c r="CD27" s="4" t="s">
        <v>70</v>
      </c>
      <c r="CE27" s="4" t="s">
        <v>298</v>
      </c>
      <c r="CF27" s="4" t="s">
        <v>972</v>
      </c>
      <c r="CI27" s="4" t="s">
        <v>176</v>
      </c>
      <c r="CJ27" s="4" t="s">
        <v>441</v>
      </c>
      <c r="CK27" s="4" t="s">
        <v>1054</v>
      </c>
      <c r="CN27" s="4" t="s">
        <v>176</v>
      </c>
      <c r="CO27" s="4" t="s">
        <v>441</v>
      </c>
      <c r="CP27" s="4" t="s">
        <v>1054</v>
      </c>
      <c r="CS27" s="4" t="s">
        <v>176</v>
      </c>
      <c r="CT27" s="4" t="s">
        <v>360</v>
      </c>
      <c r="CU27" s="4" t="s">
        <v>1054</v>
      </c>
      <c r="CX27" s="4" t="s">
        <v>84</v>
      </c>
      <c r="CY27" s="4" t="s">
        <v>1123</v>
      </c>
      <c r="CZ27" s="4" t="s">
        <v>1124</v>
      </c>
      <c r="DC27" s="4" t="s">
        <v>68</v>
      </c>
      <c r="DD27" s="4" t="s">
        <v>345</v>
      </c>
      <c r="DE27" s="4" t="s">
        <v>1283</v>
      </c>
      <c r="DH27" s="4" t="s">
        <v>68</v>
      </c>
      <c r="DI27" s="4" t="s">
        <v>298</v>
      </c>
      <c r="DJ27" s="4" t="s">
        <v>637</v>
      </c>
      <c r="DM27" s="4" t="s">
        <v>70</v>
      </c>
      <c r="DN27" s="4" t="s">
        <v>441</v>
      </c>
      <c r="DO27" s="4" t="s">
        <v>632</v>
      </c>
      <c r="DR27" s="4" t="s">
        <v>70</v>
      </c>
      <c r="DS27" s="4" t="s">
        <v>1415</v>
      </c>
      <c r="DT27" s="4" t="s">
        <v>1416</v>
      </c>
    </row>
    <row r="28" spans="2:124">
      <c r="B28" s="4" t="s">
        <v>72</v>
      </c>
      <c r="C28" s="4" t="s">
        <v>32</v>
      </c>
      <c r="D28" s="4" t="s">
        <v>30</v>
      </c>
      <c r="G28" s="4" t="s">
        <v>72</v>
      </c>
      <c r="H28" s="4" t="s">
        <v>289</v>
      </c>
      <c r="I28" s="4" t="s">
        <v>30</v>
      </c>
      <c r="L28" s="4" t="s">
        <v>54</v>
      </c>
      <c r="M28" s="4" t="s">
        <v>55</v>
      </c>
      <c r="N28" s="4" t="s">
        <v>56</v>
      </c>
      <c r="Q28" s="4" t="s">
        <v>54</v>
      </c>
      <c r="R28" s="4" t="s">
        <v>293</v>
      </c>
      <c r="S28" s="4" t="s">
        <v>56</v>
      </c>
      <c r="V28" s="4" t="s">
        <v>73</v>
      </c>
      <c r="W28" s="4" t="s">
        <v>373</v>
      </c>
      <c r="X28" s="4" t="s">
        <v>74</v>
      </c>
      <c r="AA28" s="4" t="s">
        <v>54</v>
      </c>
      <c r="AB28" s="4" t="s">
        <v>345</v>
      </c>
      <c r="AC28" s="4" t="s">
        <v>30</v>
      </c>
      <c r="AF28" s="4" t="s">
        <v>72</v>
      </c>
      <c r="AG28" s="4" t="s">
        <v>491</v>
      </c>
      <c r="AH28" s="4" t="s">
        <v>492</v>
      </c>
      <c r="AK28" s="4" t="s">
        <v>72</v>
      </c>
      <c r="AL28" s="4" t="s">
        <v>346</v>
      </c>
      <c r="AM28" s="4" t="s">
        <v>30</v>
      </c>
      <c r="AP28" s="4" t="s">
        <v>54</v>
      </c>
      <c r="AQ28" s="4" t="s">
        <v>345</v>
      </c>
      <c r="AR28" s="4" t="s">
        <v>632</v>
      </c>
      <c r="AZ28" s="4" t="s">
        <v>54</v>
      </c>
      <c r="BA28" s="4" t="s">
        <v>345</v>
      </c>
      <c r="BB28" s="4" t="s">
        <v>732</v>
      </c>
      <c r="BE28" s="4" t="s">
        <v>66</v>
      </c>
      <c r="BF28" s="4" t="s">
        <v>346</v>
      </c>
      <c r="BG28" s="4" t="s">
        <v>632</v>
      </c>
      <c r="BJ28" s="4" t="s">
        <v>72</v>
      </c>
      <c r="BK28" s="4" t="s">
        <v>441</v>
      </c>
      <c r="BL28" s="4" t="s">
        <v>732</v>
      </c>
      <c r="BT28" s="4" t="s">
        <v>75</v>
      </c>
      <c r="BU28" s="4" t="s">
        <v>441</v>
      </c>
      <c r="BV28" s="4" t="s">
        <v>632</v>
      </c>
      <c r="BY28" s="4" t="s">
        <v>84</v>
      </c>
      <c r="BZ28" s="4" t="s">
        <v>441</v>
      </c>
      <c r="CA28" s="4" t="s">
        <v>639</v>
      </c>
      <c r="CD28" s="4" t="s">
        <v>72</v>
      </c>
      <c r="CE28" s="4" t="s">
        <v>446</v>
      </c>
      <c r="CF28" s="4" t="s">
        <v>30</v>
      </c>
      <c r="CI28" s="4" t="s">
        <v>182</v>
      </c>
      <c r="CJ28" s="4" t="s">
        <v>441</v>
      </c>
      <c r="CK28" s="4" t="s">
        <v>1055</v>
      </c>
      <c r="CN28" s="4" t="s">
        <v>182</v>
      </c>
      <c r="CO28" s="4" t="s">
        <v>441</v>
      </c>
      <c r="CP28" s="4" t="s">
        <v>1055</v>
      </c>
      <c r="CS28" s="4" t="s">
        <v>182</v>
      </c>
      <c r="CT28" s="4" t="s">
        <v>446</v>
      </c>
      <c r="CU28" s="4" t="s">
        <v>1055</v>
      </c>
      <c r="CX28" s="4" t="s">
        <v>86</v>
      </c>
      <c r="CY28" s="4" t="s">
        <v>1125</v>
      </c>
      <c r="CZ28" s="4" t="s">
        <v>1126</v>
      </c>
      <c r="DC28" s="4" t="s">
        <v>70</v>
      </c>
      <c r="DD28" s="4" t="s">
        <v>441</v>
      </c>
      <c r="DE28" s="4" t="s">
        <v>1281</v>
      </c>
      <c r="DH28" s="4" t="s">
        <v>70</v>
      </c>
      <c r="DI28" s="4" t="s">
        <v>434</v>
      </c>
      <c r="DJ28" s="4" t="s">
        <v>1333</v>
      </c>
      <c r="DM28" s="4" t="s">
        <v>72</v>
      </c>
      <c r="DN28" s="4" t="s">
        <v>441</v>
      </c>
      <c r="DO28" s="4" t="s">
        <v>632</v>
      </c>
      <c r="DR28" s="4" t="s">
        <v>72</v>
      </c>
      <c r="DS28" s="4" t="s">
        <v>491</v>
      </c>
      <c r="DT28" s="4" t="s">
        <v>1417</v>
      </c>
    </row>
    <row r="29" spans="2:124">
      <c r="B29" s="4" t="s">
        <v>73</v>
      </c>
      <c r="C29" s="4" t="s">
        <v>35</v>
      </c>
      <c r="D29" s="4" t="s">
        <v>74</v>
      </c>
      <c r="G29" s="4" t="s">
        <v>73</v>
      </c>
      <c r="H29" s="4" t="s">
        <v>290</v>
      </c>
      <c r="I29" s="4" t="s">
        <v>74</v>
      </c>
      <c r="L29" s="4" t="s">
        <v>57</v>
      </c>
      <c r="M29" s="4" t="s">
        <v>45</v>
      </c>
      <c r="N29" s="4" t="s">
        <v>58</v>
      </c>
      <c r="Q29" s="4" t="s">
        <v>57</v>
      </c>
      <c r="R29" s="4" t="s">
        <v>292</v>
      </c>
      <c r="S29" s="4" t="s">
        <v>58</v>
      </c>
      <c r="V29" s="4" t="s">
        <v>75</v>
      </c>
      <c r="W29" s="4" t="s">
        <v>346</v>
      </c>
      <c r="X29" s="4" t="s">
        <v>30</v>
      </c>
      <c r="AA29" s="4" t="s">
        <v>57</v>
      </c>
      <c r="AB29" s="4" t="s">
        <v>346</v>
      </c>
      <c r="AC29" s="4" t="s">
        <v>30</v>
      </c>
      <c r="AF29" s="4" t="s">
        <v>73</v>
      </c>
      <c r="AG29" s="4" t="s">
        <v>493</v>
      </c>
      <c r="AH29" s="4" t="s">
        <v>494</v>
      </c>
      <c r="AK29" s="4" t="s">
        <v>73</v>
      </c>
      <c r="AL29" s="4" t="s">
        <v>360</v>
      </c>
      <c r="AM29" s="4" t="s">
        <v>30</v>
      </c>
      <c r="AP29" s="4" t="s">
        <v>57</v>
      </c>
      <c r="AQ29" s="4" t="s">
        <v>346</v>
      </c>
      <c r="AR29" s="4" t="s">
        <v>632</v>
      </c>
      <c r="AZ29" s="4" t="s">
        <v>57</v>
      </c>
      <c r="BA29" s="4" t="s">
        <v>346</v>
      </c>
      <c r="BB29" s="4" t="s">
        <v>732</v>
      </c>
      <c r="BE29" s="4" t="s">
        <v>68</v>
      </c>
      <c r="BF29" s="4" t="s">
        <v>360</v>
      </c>
      <c r="BG29" s="4" t="s">
        <v>637</v>
      </c>
      <c r="BJ29" s="4" t="s">
        <v>73</v>
      </c>
      <c r="BK29" s="4" t="s">
        <v>441</v>
      </c>
      <c r="BL29" s="4" t="s">
        <v>732</v>
      </c>
      <c r="BT29" s="4" t="s">
        <v>76</v>
      </c>
      <c r="BU29" s="4" t="s">
        <v>402</v>
      </c>
      <c r="BV29" s="4" t="s">
        <v>867</v>
      </c>
      <c r="BY29" s="4" t="s">
        <v>86</v>
      </c>
      <c r="BZ29" s="4" t="s">
        <v>345</v>
      </c>
      <c r="CA29" s="4" t="s">
        <v>640</v>
      </c>
      <c r="CD29" s="4" t="s">
        <v>73</v>
      </c>
      <c r="CE29" s="4" t="s">
        <v>450</v>
      </c>
      <c r="CF29" s="4" t="s">
        <v>30</v>
      </c>
      <c r="CI29" s="4" t="s">
        <v>188</v>
      </c>
      <c r="CJ29" s="4" t="s">
        <v>1056</v>
      </c>
      <c r="CK29" s="4" t="s">
        <v>1057</v>
      </c>
      <c r="CN29" s="4" t="s">
        <v>188</v>
      </c>
      <c r="CO29" s="4" t="s">
        <v>1056</v>
      </c>
      <c r="CP29" s="4" t="s">
        <v>1057</v>
      </c>
      <c r="CS29" s="4" t="s">
        <v>188</v>
      </c>
      <c r="CT29" s="4" t="s">
        <v>1073</v>
      </c>
      <c r="CU29" s="4" t="s">
        <v>1057</v>
      </c>
      <c r="CX29" s="4" t="s">
        <v>89</v>
      </c>
      <c r="CY29" s="4" t="s">
        <v>1127</v>
      </c>
      <c r="CZ29" s="4" t="s">
        <v>1128</v>
      </c>
      <c r="DC29" s="4" t="s">
        <v>72</v>
      </c>
      <c r="DD29" s="4" t="s">
        <v>441</v>
      </c>
      <c r="DE29" s="4" t="s">
        <v>1281</v>
      </c>
      <c r="DH29" s="4" t="s">
        <v>72</v>
      </c>
      <c r="DI29" s="4" t="s">
        <v>360</v>
      </c>
      <c r="DJ29" s="4" t="s">
        <v>849</v>
      </c>
      <c r="DM29" s="4" t="s">
        <v>73</v>
      </c>
      <c r="DN29" s="4" t="s">
        <v>360</v>
      </c>
      <c r="DO29" s="4" t="s">
        <v>632</v>
      </c>
      <c r="DR29" s="4" t="s">
        <v>73</v>
      </c>
      <c r="DS29" s="4" t="s">
        <v>493</v>
      </c>
      <c r="DT29" s="4" t="s">
        <v>1418</v>
      </c>
    </row>
    <row r="30" spans="2:124">
      <c r="B30" s="4" t="s">
        <v>75</v>
      </c>
      <c r="C30" s="4" t="s">
        <v>32</v>
      </c>
      <c r="D30" s="4" t="s">
        <v>30</v>
      </c>
      <c r="G30" s="4" t="s">
        <v>75</v>
      </c>
      <c r="H30" s="4" t="s">
        <v>289</v>
      </c>
      <c r="I30" s="4" t="s">
        <v>30</v>
      </c>
      <c r="L30" s="4" t="s">
        <v>322</v>
      </c>
      <c r="M30" s="4" t="s">
        <v>104</v>
      </c>
      <c r="N30" s="4" t="s">
        <v>311</v>
      </c>
      <c r="Q30" s="4" t="s">
        <v>322</v>
      </c>
      <c r="R30" s="4" t="s">
        <v>298</v>
      </c>
      <c r="S30" s="4" t="s">
        <v>311</v>
      </c>
      <c r="V30" s="4" t="s">
        <v>76</v>
      </c>
      <c r="W30" s="4" t="s">
        <v>374</v>
      </c>
      <c r="X30" s="4" t="s">
        <v>375</v>
      </c>
      <c r="AA30" s="4" t="s">
        <v>322</v>
      </c>
      <c r="AB30" s="4" t="s">
        <v>441</v>
      </c>
      <c r="AC30" s="4" t="s">
        <v>442</v>
      </c>
      <c r="AF30" s="4" t="s">
        <v>75</v>
      </c>
      <c r="AG30" s="4" t="s">
        <v>346</v>
      </c>
      <c r="AH30" s="4" t="s">
        <v>30</v>
      </c>
      <c r="AK30" s="4" t="s">
        <v>75</v>
      </c>
      <c r="AL30" s="4" t="s">
        <v>346</v>
      </c>
      <c r="AM30" s="4" t="s">
        <v>30</v>
      </c>
      <c r="AP30" s="4" t="s">
        <v>322</v>
      </c>
      <c r="AQ30" s="4" t="s">
        <v>441</v>
      </c>
      <c r="AR30" s="4" t="s">
        <v>632</v>
      </c>
      <c r="AZ30" s="4" t="s">
        <v>322</v>
      </c>
      <c r="BA30" s="4" t="s">
        <v>441</v>
      </c>
      <c r="BB30" s="4" t="s">
        <v>632</v>
      </c>
      <c r="BE30" s="4" t="s">
        <v>70</v>
      </c>
      <c r="BF30" s="4" t="s">
        <v>444</v>
      </c>
      <c r="BG30" s="4" t="s">
        <v>782</v>
      </c>
      <c r="BJ30" s="4" t="s">
        <v>75</v>
      </c>
      <c r="BK30" s="4" t="s">
        <v>441</v>
      </c>
      <c r="BL30" s="4" t="s">
        <v>732</v>
      </c>
      <c r="BT30" s="4" t="s">
        <v>79</v>
      </c>
      <c r="BU30" s="4" t="s">
        <v>513</v>
      </c>
      <c r="BV30" s="4" t="s">
        <v>868</v>
      </c>
      <c r="BY30" s="4" t="s">
        <v>89</v>
      </c>
      <c r="BZ30" s="4" t="s">
        <v>441</v>
      </c>
      <c r="CA30" s="4" t="s">
        <v>641</v>
      </c>
      <c r="CD30" s="4" t="s">
        <v>75</v>
      </c>
      <c r="CE30" s="4" t="s">
        <v>446</v>
      </c>
      <c r="CF30" s="4" t="s">
        <v>30</v>
      </c>
      <c r="CI30" s="4" t="s">
        <v>201</v>
      </c>
      <c r="CJ30" s="4" t="s">
        <v>1058</v>
      </c>
      <c r="CK30" s="4" t="s">
        <v>1059</v>
      </c>
      <c r="CN30" s="4" t="s">
        <v>201</v>
      </c>
      <c r="CO30" s="4" t="s">
        <v>1058</v>
      </c>
      <c r="CP30" s="4" t="s">
        <v>1059</v>
      </c>
      <c r="CS30" s="4" t="s">
        <v>201</v>
      </c>
      <c r="CT30" s="4" t="s">
        <v>1074</v>
      </c>
      <c r="CU30" s="4" t="s">
        <v>1059</v>
      </c>
      <c r="CX30" s="4" t="s">
        <v>91</v>
      </c>
      <c r="CY30" s="4" t="s">
        <v>1129</v>
      </c>
      <c r="CZ30" s="4" t="s">
        <v>1130</v>
      </c>
      <c r="DC30" s="4" t="s">
        <v>73</v>
      </c>
      <c r="DD30" s="4" t="s">
        <v>441</v>
      </c>
      <c r="DE30" s="4" t="s">
        <v>1281</v>
      </c>
      <c r="DH30" s="4" t="s">
        <v>73</v>
      </c>
      <c r="DI30" s="4" t="s">
        <v>593</v>
      </c>
      <c r="DJ30" s="4" t="s">
        <v>1334</v>
      </c>
      <c r="DM30" s="4" t="s">
        <v>75</v>
      </c>
      <c r="DN30" s="4" t="s">
        <v>441</v>
      </c>
      <c r="DO30" s="4" t="s">
        <v>632</v>
      </c>
      <c r="DR30" s="4" t="s">
        <v>75</v>
      </c>
      <c r="DS30" s="4" t="s">
        <v>346</v>
      </c>
      <c r="DT30" s="4" t="s">
        <v>632</v>
      </c>
    </row>
    <row r="31" spans="2:124">
      <c r="B31" s="4" t="s">
        <v>76</v>
      </c>
      <c r="C31" s="4" t="s">
        <v>77</v>
      </c>
      <c r="D31" s="4" t="s">
        <v>78</v>
      </c>
      <c r="G31" s="4" t="s">
        <v>76</v>
      </c>
      <c r="H31" s="4" t="s">
        <v>295</v>
      </c>
      <c r="I31" s="4" t="s">
        <v>78</v>
      </c>
      <c r="L31" s="4" t="s">
        <v>59</v>
      </c>
      <c r="M31" s="4" t="s">
        <v>45</v>
      </c>
      <c r="N31" s="4" t="s">
        <v>60</v>
      </c>
      <c r="Q31" s="4" t="s">
        <v>59</v>
      </c>
      <c r="R31" s="4" t="s">
        <v>292</v>
      </c>
      <c r="S31" s="4" t="s">
        <v>60</v>
      </c>
      <c r="V31" s="4" t="s">
        <v>79</v>
      </c>
      <c r="W31" s="4" t="s">
        <v>376</v>
      </c>
      <c r="X31" s="4" t="s">
        <v>80</v>
      </c>
      <c r="AA31" s="4" t="s">
        <v>59</v>
      </c>
      <c r="AB31" s="4" t="s">
        <v>345</v>
      </c>
      <c r="AC31" s="4" t="s">
        <v>30</v>
      </c>
      <c r="AF31" s="4" t="s">
        <v>76</v>
      </c>
      <c r="AG31" s="4" t="s">
        <v>495</v>
      </c>
      <c r="AH31" s="4" t="s">
        <v>496</v>
      </c>
      <c r="AK31" s="4" t="s">
        <v>76</v>
      </c>
      <c r="AL31" s="4" t="s">
        <v>346</v>
      </c>
      <c r="AM31" s="4" t="s">
        <v>30</v>
      </c>
      <c r="AP31" s="4" t="s">
        <v>59</v>
      </c>
      <c r="AQ31" s="4" t="s">
        <v>345</v>
      </c>
      <c r="AR31" s="4" t="s">
        <v>632</v>
      </c>
      <c r="AZ31" s="4" t="s">
        <v>59</v>
      </c>
      <c r="BA31" s="4" t="s">
        <v>345</v>
      </c>
      <c r="BB31" s="4" t="s">
        <v>732</v>
      </c>
      <c r="BE31" s="4" t="s">
        <v>72</v>
      </c>
      <c r="BF31" s="4" t="s">
        <v>345</v>
      </c>
      <c r="BG31" s="4" t="s">
        <v>632</v>
      </c>
      <c r="BJ31" s="4" t="s">
        <v>76</v>
      </c>
      <c r="BK31" s="4" t="s">
        <v>441</v>
      </c>
      <c r="BL31" s="4" t="s">
        <v>732</v>
      </c>
      <c r="BT31" s="4" t="s">
        <v>81</v>
      </c>
      <c r="BU31" s="4" t="s">
        <v>593</v>
      </c>
      <c r="BV31" s="4" t="s">
        <v>869</v>
      </c>
      <c r="BY31" s="4" t="s">
        <v>91</v>
      </c>
      <c r="BZ31" s="4" t="s">
        <v>441</v>
      </c>
      <c r="CA31" s="4" t="s">
        <v>642</v>
      </c>
      <c r="CD31" s="4" t="s">
        <v>76</v>
      </c>
      <c r="CE31" s="4" t="s">
        <v>298</v>
      </c>
      <c r="CF31" s="4" t="s">
        <v>974</v>
      </c>
      <c r="CI31" s="4" t="s">
        <v>203</v>
      </c>
      <c r="CJ31" s="4" t="s">
        <v>298</v>
      </c>
      <c r="CK31" s="4" t="s">
        <v>1060</v>
      </c>
      <c r="CN31" s="4" t="s">
        <v>203</v>
      </c>
      <c r="CO31" s="4" t="s">
        <v>298</v>
      </c>
      <c r="CP31" s="4" t="s">
        <v>1060</v>
      </c>
      <c r="CS31" s="4" t="s">
        <v>203</v>
      </c>
      <c r="CT31" s="4" t="s">
        <v>288</v>
      </c>
      <c r="CU31" s="4" t="s">
        <v>1060</v>
      </c>
      <c r="CX31" s="4" t="s">
        <v>93</v>
      </c>
      <c r="CY31" s="4" t="s">
        <v>1131</v>
      </c>
      <c r="CZ31" s="4" t="s">
        <v>1132</v>
      </c>
      <c r="DC31" s="4" t="s">
        <v>75</v>
      </c>
      <c r="DD31" s="4" t="s">
        <v>441</v>
      </c>
      <c r="DE31" s="4" t="s">
        <v>1281</v>
      </c>
      <c r="DH31" s="4" t="s">
        <v>75</v>
      </c>
      <c r="DI31" s="4" t="s">
        <v>441</v>
      </c>
      <c r="DJ31" s="4" t="s">
        <v>632</v>
      </c>
      <c r="DM31" s="4" t="s">
        <v>76</v>
      </c>
      <c r="DN31" s="4" t="s">
        <v>441</v>
      </c>
      <c r="DO31" s="4" t="s">
        <v>632</v>
      </c>
      <c r="DR31" s="4" t="s">
        <v>76</v>
      </c>
      <c r="DS31" s="4" t="s">
        <v>1419</v>
      </c>
      <c r="DT31" s="4" t="s">
        <v>1420</v>
      </c>
    </row>
    <row r="32" spans="2:124">
      <c r="B32" s="4" t="s">
        <v>79</v>
      </c>
      <c r="C32" s="4" t="s">
        <v>45</v>
      </c>
      <c r="D32" s="4" t="s">
        <v>80</v>
      </c>
      <c r="G32" s="4" t="s">
        <v>79</v>
      </c>
      <c r="H32" s="4" t="s">
        <v>292</v>
      </c>
      <c r="I32" s="4" t="s">
        <v>80</v>
      </c>
      <c r="L32" s="4" t="s">
        <v>61</v>
      </c>
      <c r="M32" s="4" t="s">
        <v>27</v>
      </c>
      <c r="N32" s="4" t="s">
        <v>323</v>
      </c>
      <c r="Q32" s="4" t="s">
        <v>61</v>
      </c>
      <c r="R32" s="4" t="s">
        <v>287</v>
      </c>
      <c r="S32" s="4" t="s">
        <v>323</v>
      </c>
      <c r="V32" s="4" t="s">
        <v>81</v>
      </c>
      <c r="W32" s="4" t="s">
        <v>377</v>
      </c>
      <c r="X32" s="4" t="s">
        <v>30</v>
      </c>
      <c r="AA32" s="4" t="s">
        <v>61</v>
      </c>
      <c r="AB32" s="4" t="s">
        <v>446</v>
      </c>
      <c r="AC32" s="4" t="s">
        <v>30</v>
      </c>
      <c r="AF32" s="4" t="s">
        <v>79</v>
      </c>
      <c r="AG32" s="4" t="s">
        <v>497</v>
      </c>
      <c r="AH32" s="4" t="s">
        <v>498</v>
      </c>
      <c r="AK32" s="4" t="s">
        <v>79</v>
      </c>
      <c r="AL32" s="4" t="s">
        <v>346</v>
      </c>
      <c r="AM32" s="4" t="s">
        <v>30</v>
      </c>
      <c r="AP32" s="4" t="s">
        <v>61</v>
      </c>
      <c r="AQ32" s="4" t="s">
        <v>446</v>
      </c>
      <c r="AR32" s="4" t="s">
        <v>632</v>
      </c>
      <c r="AZ32" s="4" t="s">
        <v>61</v>
      </c>
      <c r="BA32" s="4" t="s">
        <v>446</v>
      </c>
      <c r="BB32" s="4" t="s">
        <v>732</v>
      </c>
      <c r="BE32" s="4" t="s">
        <v>73</v>
      </c>
      <c r="BF32" s="4" t="s">
        <v>346</v>
      </c>
      <c r="BG32" s="4" t="s">
        <v>632</v>
      </c>
      <c r="BJ32" s="4" t="s">
        <v>79</v>
      </c>
      <c r="BK32" s="4" t="s">
        <v>441</v>
      </c>
      <c r="BL32" s="4" t="s">
        <v>732</v>
      </c>
      <c r="BT32" s="4" t="s">
        <v>82</v>
      </c>
      <c r="BU32" s="4" t="s">
        <v>396</v>
      </c>
      <c r="BV32" s="4" t="s">
        <v>870</v>
      </c>
      <c r="BY32" s="4" t="s">
        <v>93</v>
      </c>
      <c r="BZ32" s="4" t="s">
        <v>345</v>
      </c>
      <c r="CA32" s="4" t="s">
        <v>642</v>
      </c>
      <c r="CD32" s="4" t="s">
        <v>79</v>
      </c>
      <c r="CE32" s="4" t="s">
        <v>298</v>
      </c>
      <c r="CF32" s="4" t="s">
        <v>976</v>
      </c>
      <c r="CI32" s="4" t="s">
        <v>205</v>
      </c>
      <c r="CJ32" s="4" t="s">
        <v>593</v>
      </c>
      <c r="CK32" s="4" t="s">
        <v>1061</v>
      </c>
      <c r="CN32" s="4" t="s">
        <v>205</v>
      </c>
      <c r="CO32" s="4" t="s">
        <v>593</v>
      </c>
      <c r="CP32" s="4" t="s">
        <v>1061</v>
      </c>
      <c r="CS32" s="4" t="s">
        <v>205</v>
      </c>
      <c r="CT32" s="4" t="s">
        <v>440</v>
      </c>
      <c r="CU32" s="4" t="s">
        <v>1061</v>
      </c>
      <c r="CX32" s="4" t="s">
        <v>94</v>
      </c>
      <c r="CY32" s="4" t="s">
        <v>1133</v>
      </c>
      <c r="CZ32" s="4" t="s">
        <v>1134</v>
      </c>
      <c r="DC32" s="4" t="s">
        <v>76</v>
      </c>
      <c r="DD32" s="4" t="s">
        <v>441</v>
      </c>
      <c r="DE32" s="4" t="s">
        <v>1281</v>
      </c>
      <c r="DH32" s="4" t="s">
        <v>76</v>
      </c>
      <c r="DI32" s="4" t="s">
        <v>360</v>
      </c>
      <c r="DJ32" s="4" t="s">
        <v>632</v>
      </c>
      <c r="DM32" s="4" t="s">
        <v>79</v>
      </c>
      <c r="DN32" s="4" t="s">
        <v>441</v>
      </c>
      <c r="DO32" s="4" t="s">
        <v>632</v>
      </c>
      <c r="DR32" s="4" t="s">
        <v>79</v>
      </c>
      <c r="DS32" s="4" t="s">
        <v>497</v>
      </c>
      <c r="DT32" s="4" t="s">
        <v>1421</v>
      </c>
    </row>
    <row r="33" spans="2:124">
      <c r="B33" s="4" t="s">
        <v>81</v>
      </c>
      <c r="C33" s="4" t="s">
        <v>32</v>
      </c>
      <c r="D33" s="4" t="s">
        <v>30</v>
      </c>
      <c r="G33" s="4" t="s">
        <v>81</v>
      </c>
      <c r="H33" s="4" t="s">
        <v>289</v>
      </c>
      <c r="I33" s="4" t="s">
        <v>30</v>
      </c>
      <c r="L33" s="4" t="s">
        <v>64</v>
      </c>
      <c r="M33" s="4" t="s">
        <v>45</v>
      </c>
      <c r="N33" s="4" t="s">
        <v>324</v>
      </c>
      <c r="Q33" s="4" t="s">
        <v>64</v>
      </c>
      <c r="R33" s="4" t="s">
        <v>292</v>
      </c>
      <c r="S33" s="4" t="s">
        <v>324</v>
      </c>
      <c r="V33" s="4" t="s">
        <v>82</v>
      </c>
      <c r="W33" s="4" t="s">
        <v>378</v>
      </c>
      <c r="X33" s="4" t="s">
        <v>379</v>
      </c>
      <c r="AA33" s="4" t="s">
        <v>64</v>
      </c>
      <c r="AB33" s="4" t="s">
        <v>345</v>
      </c>
      <c r="AC33" s="4" t="s">
        <v>30</v>
      </c>
      <c r="AF33" s="4" t="s">
        <v>81</v>
      </c>
      <c r="AG33" s="4" t="s">
        <v>377</v>
      </c>
      <c r="AH33" s="4" t="s">
        <v>30</v>
      </c>
      <c r="AK33" s="4" t="s">
        <v>81</v>
      </c>
      <c r="AL33" s="4" t="s">
        <v>346</v>
      </c>
      <c r="AM33" s="4" t="s">
        <v>30</v>
      </c>
      <c r="AP33" s="4" t="s">
        <v>64</v>
      </c>
      <c r="AQ33" s="4" t="s">
        <v>345</v>
      </c>
      <c r="AR33" s="4" t="s">
        <v>632</v>
      </c>
      <c r="AZ33" s="4" t="s">
        <v>64</v>
      </c>
      <c r="BA33" s="4" t="s">
        <v>345</v>
      </c>
      <c r="BB33" s="4" t="s">
        <v>732</v>
      </c>
      <c r="BE33" s="4" t="s">
        <v>75</v>
      </c>
      <c r="BF33" s="4" t="s">
        <v>345</v>
      </c>
      <c r="BG33" s="4" t="s">
        <v>632</v>
      </c>
      <c r="BJ33" s="4" t="s">
        <v>81</v>
      </c>
      <c r="BK33" s="4" t="s">
        <v>441</v>
      </c>
      <c r="BL33" s="4" t="s">
        <v>732</v>
      </c>
      <c r="BT33" s="4" t="s">
        <v>84</v>
      </c>
      <c r="BU33" s="4" t="s">
        <v>521</v>
      </c>
      <c r="BV33" s="4" t="s">
        <v>871</v>
      </c>
      <c r="BY33" s="4" t="s">
        <v>94</v>
      </c>
      <c r="BZ33" s="4" t="s">
        <v>441</v>
      </c>
      <c r="CA33" s="4" t="s">
        <v>643</v>
      </c>
      <c r="CD33" s="4" t="s">
        <v>81</v>
      </c>
      <c r="CE33" s="4" t="s">
        <v>446</v>
      </c>
      <c r="CF33" s="4" t="s">
        <v>30</v>
      </c>
      <c r="CI33" s="4" t="s">
        <v>217</v>
      </c>
      <c r="CJ33" s="4" t="s">
        <v>395</v>
      </c>
      <c r="CK33" s="4" t="s">
        <v>1062</v>
      </c>
      <c r="CN33" s="4" t="s">
        <v>217</v>
      </c>
      <c r="CO33" s="4" t="s">
        <v>395</v>
      </c>
      <c r="CP33" s="4" t="s">
        <v>1062</v>
      </c>
      <c r="CS33" s="4" t="s">
        <v>217</v>
      </c>
      <c r="CT33" s="4" t="s">
        <v>1075</v>
      </c>
      <c r="CU33" s="4" t="s">
        <v>1062</v>
      </c>
      <c r="CX33" s="4" t="s">
        <v>96</v>
      </c>
      <c r="CY33" s="4" t="s">
        <v>1135</v>
      </c>
      <c r="CZ33" s="4" t="s">
        <v>1136</v>
      </c>
      <c r="DC33" s="4" t="s">
        <v>79</v>
      </c>
      <c r="DD33" s="4" t="s">
        <v>441</v>
      </c>
      <c r="DE33" s="4" t="s">
        <v>1281</v>
      </c>
      <c r="DH33" s="4" t="s">
        <v>79</v>
      </c>
      <c r="DI33" s="4" t="s">
        <v>360</v>
      </c>
      <c r="DJ33" s="4" t="s">
        <v>632</v>
      </c>
      <c r="DM33" s="4" t="s">
        <v>81</v>
      </c>
      <c r="DN33" s="4" t="s">
        <v>441</v>
      </c>
      <c r="DO33" s="4" t="s">
        <v>632</v>
      </c>
      <c r="DR33" s="4" t="s">
        <v>81</v>
      </c>
      <c r="DS33" s="4" t="s">
        <v>377</v>
      </c>
      <c r="DT33" s="4" t="s">
        <v>1422</v>
      </c>
    </row>
    <row r="34" spans="2:124">
      <c r="B34" s="4" t="s">
        <v>82</v>
      </c>
      <c r="C34" s="4" t="s">
        <v>35</v>
      </c>
      <c r="D34" s="4" t="s">
        <v>83</v>
      </c>
      <c r="G34" s="4" t="s">
        <v>82</v>
      </c>
      <c r="H34" s="4" t="s">
        <v>290</v>
      </c>
      <c r="I34" s="4" t="s">
        <v>83</v>
      </c>
      <c r="L34" s="4" t="s">
        <v>66</v>
      </c>
      <c r="M34" s="4" t="s">
        <v>45</v>
      </c>
      <c r="N34" s="4" t="s">
        <v>67</v>
      </c>
      <c r="Q34" s="4" t="s">
        <v>66</v>
      </c>
      <c r="R34" s="4" t="s">
        <v>292</v>
      </c>
      <c r="S34" s="4" t="s">
        <v>67</v>
      </c>
      <c r="V34" s="4" t="s">
        <v>84</v>
      </c>
      <c r="W34" s="4" t="s">
        <v>380</v>
      </c>
      <c r="X34" s="4" t="s">
        <v>85</v>
      </c>
      <c r="AA34" s="4" t="s">
        <v>66</v>
      </c>
      <c r="AB34" s="4" t="s">
        <v>345</v>
      </c>
      <c r="AC34" s="4" t="s">
        <v>30</v>
      </c>
      <c r="AF34" s="4" t="s">
        <v>82</v>
      </c>
      <c r="AG34" s="4" t="s">
        <v>499</v>
      </c>
      <c r="AH34" s="4" t="s">
        <v>500</v>
      </c>
      <c r="AK34" s="4" t="s">
        <v>82</v>
      </c>
      <c r="AL34" s="4" t="s">
        <v>360</v>
      </c>
      <c r="AM34" s="4" t="s">
        <v>30</v>
      </c>
      <c r="AP34" s="4" t="s">
        <v>66</v>
      </c>
      <c r="AQ34" s="4" t="s">
        <v>345</v>
      </c>
      <c r="AR34" s="4" t="s">
        <v>632</v>
      </c>
      <c r="AZ34" s="4" t="s">
        <v>66</v>
      </c>
      <c r="BA34" s="4" t="s">
        <v>345</v>
      </c>
      <c r="BB34" s="4" t="s">
        <v>732</v>
      </c>
      <c r="BE34" s="4" t="s">
        <v>76</v>
      </c>
      <c r="BF34" s="4" t="s">
        <v>298</v>
      </c>
      <c r="BG34" s="4" t="s">
        <v>783</v>
      </c>
      <c r="BJ34" s="4" t="s">
        <v>82</v>
      </c>
      <c r="BK34" s="4" t="s">
        <v>441</v>
      </c>
      <c r="BL34" s="4" t="s">
        <v>732</v>
      </c>
      <c r="BT34" s="4" t="s">
        <v>86</v>
      </c>
      <c r="BU34" s="4" t="s">
        <v>424</v>
      </c>
      <c r="BV34" s="4" t="s">
        <v>872</v>
      </c>
      <c r="BY34" s="4" t="s">
        <v>96</v>
      </c>
      <c r="BZ34" s="4" t="s">
        <v>445</v>
      </c>
      <c r="CA34" s="4" t="s">
        <v>644</v>
      </c>
      <c r="CD34" s="4" t="s">
        <v>82</v>
      </c>
      <c r="CE34" s="4" t="s">
        <v>446</v>
      </c>
      <c r="CF34" s="4" t="s">
        <v>30</v>
      </c>
      <c r="CI34" s="4" t="s">
        <v>241</v>
      </c>
      <c r="CJ34" s="4" t="s">
        <v>481</v>
      </c>
      <c r="CK34" s="4" t="s">
        <v>1063</v>
      </c>
      <c r="CN34" s="4" t="s">
        <v>241</v>
      </c>
      <c r="CO34" s="4" t="s">
        <v>481</v>
      </c>
      <c r="CP34" s="4" t="s">
        <v>1063</v>
      </c>
      <c r="CS34" s="4" t="s">
        <v>241</v>
      </c>
      <c r="CT34" s="4" t="s">
        <v>373</v>
      </c>
      <c r="CU34" s="4" t="s">
        <v>1063</v>
      </c>
      <c r="CX34" s="4" t="s">
        <v>99</v>
      </c>
      <c r="CY34" s="4" t="s">
        <v>1137</v>
      </c>
      <c r="CZ34" s="4" t="s">
        <v>1138</v>
      </c>
      <c r="DC34" s="4" t="s">
        <v>81</v>
      </c>
      <c r="DD34" s="4" t="s">
        <v>441</v>
      </c>
      <c r="DE34" s="4" t="s">
        <v>1281</v>
      </c>
      <c r="DH34" s="4" t="s">
        <v>81</v>
      </c>
      <c r="DI34" s="4" t="s">
        <v>360</v>
      </c>
      <c r="DJ34" s="4" t="s">
        <v>632</v>
      </c>
      <c r="DM34" s="4" t="s">
        <v>82</v>
      </c>
      <c r="DN34" s="4" t="s">
        <v>345</v>
      </c>
      <c r="DO34" s="4" t="s">
        <v>638</v>
      </c>
      <c r="DR34" s="4" t="s">
        <v>82</v>
      </c>
      <c r="DS34" s="4" t="s">
        <v>533</v>
      </c>
      <c r="DT34" s="4" t="s">
        <v>1423</v>
      </c>
    </row>
    <row r="35" spans="2:124">
      <c r="B35" s="4" t="s">
        <v>84</v>
      </c>
      <c r="C35" s="4" t="s">
        <v>77</v>
      </c>
      <c r="D35" s="4" t="s">
        <v>85</v>
      </c>
      <c r="G35" s="4" t="s">
        <v>84</v>
      </c>
      <c r="H35" s="4" t="s">
        <v>295</v>
      </c>
      <c r="I35" s="4" t="s">
        <v>85</v>
      </c>
      <c r="L35" s="4" t="s">
        <v>68</v>
      </c>
      <c r="M35" s="4" t="s">
        <v>24</v>
      </c>
      <c r="N35" s="4" t="s">
        <v>69</v>
      </c>
      <c r="Q35" s="4" t="s">
        <v>68</v>
      </c>
      <c r="R35" s="4" t="s">
        <v>286</v>
      </c>
      <c r="S35" s="4" t="s">
        <v>69</v>
      </c>
      <c r="V35" s="4" t="s">
        <v>86</v>
      </c>
      <c r="W35" s="4" t="s">
        <v>381</v>
      </c>
      <c r="X35" s="4" t="s">
        <v>87</v>
      </c>
      <c r="AA35" s="4" t="s">
        <v>68</v>
      </c>
      <c r="AB35" s="4" t="s">
        <v>360</v>
      </c>
      <c r="AC35" s="4" t="s">
        <v>447</v>
      </c>
      <c r="AF35" s="4" t="s">
        <v>84</v>
      </c>
      <c r="AG35" s="4" t="s">
        <v>501</v>
      </c>
      <c r="AH35" s="4" t="s">
        <v>502</v>
      </c>
      <c r="AK35" s="4" t="s">
        <v>84</v>
      </c>
      <c r="AL35" s="4" t="s">
        <v>360</v>
      </c>
      <c r="AM35" s="4" t="s">
        <v>30</v>
      </c>
      <c r="AP35" s="4" t="s">
        <v>68</v>
      </c>
      <c r="AQ35" s="4" t="s">
        <v>360</v>
      </c>
      <c r="AR35" s="4" t="s">
        <v>637</v>
      </c>
      <c r="AZ35" s="4" t="s">
        <v>68</v>
      </c>
      <c r="BA35" s="4" t="s">
        <v>360</v>
      </c>
      <c r="BB35" s="4" t="s">
        <v>637</v>
      </c>
      <c r="BE35" s="4" t="s">
        <v>79</v>
      </c>
      <c r="BF35" s="4" t="s">
        <v>345</v>
      </c>
      <c r="BG35" s="4" t="s">
        <v>632</v>
      </c>
      <c r="BJ35" s="4" t="s">
        <v>84</v>
      </c>
      <c r="BK35" s="4" t="s">
        <v>441</v>
      </c>
      <c r="BL35" s="4" t="s">
        <v>732</v>
      </c>
      <c r="BT35" s="4" t="s">
        <v>89</v>
      </c>
      <c r="BU35" s="4" t="s">
        <v>873</v>
      </c>
      <c r="BV35" s="4" t="s">
        <v>874</v>
      </c>
      <c r="BY35" s="4" t="s">
        <v>99</v>
      </c>
      <c r="BZ35" s="4" t="s">
        <v>441</v>
      </c>
      <c r="CA35" s="4" t="s">
        <v>645</v>
      </c>
      <c r="CD35" s="4" t="s">
        <v>84</v>
      </c>
      <c r="CE35" s="4" t="s">
        <v>444</v>
      </c>
      <c r="CF35" s="4" t="s">
        <v>977</v>
      </c>
      <c r="CI35" s="4" t="s">
        <v>243</v>
      </c>
      <c r="CJ35" s="4" t="s">
        <v>298</v>
      </c>
      <c r="CK35" s="4" t="s">
        <v>1064</v>
      </c>
      <c r="CN35" s="4" t="s">
        <v>243</v>
      </c>
      <c r="CO35" s="4" t="s">
        <v>298</v>
      </c>
      <c r="CP35" s="4" t="s">
        <v>1064</v>
      </c>
      <c r="CS35" s="4" t="s">
        <v>243</v>
      </c>
      <c r="CT35" s="4" t="s">
        <v>55</v>
      </c>
      <c r="CU35" s="4" t="s">
        <v>1064</v>
      </c>
      <c r="CX35" s="4" t="s">
        <v>101</v>
      </c>
      <c r="CY35" s="4" t="s">
        <v>1139</v>
      </c>
      <c r="CZ35" s="4" t="s">
        <v>1140</v>
      </c>
      <c r="DC35" s="4" t="s">
        <v>82</v>
      </c>
      <c r="DD35" s="4" t="s">
        <v>441</v>
      </c>
      <c r="DE35" s="4" t="s">
        <v>1281</v>
      </c>
      <c r="DH35" s="4" t="s">
        <v>82</v>
      </c>
      <c r="DI35" s="4" t="s">
        <v>360</v>
      </c>
      <c r="DJ35" s="4" t="s">
        <v>638</v>
      </c>
      <c r="DM35" s="4" t="s">
        <v>84</v>
      </c>
      <c r="DN35" s="4" t="s">
        <v>345</v>
      </c>
      <c r="DO35" s="4" t="s">
        <v>639</v>
      </c>
      <c r="DR35" s="4" t="s">
        <v>1738</v>
      </c>
      <c r="DS35" s="4" t="s">
        <v>501</v>
      </c>
      <c r="DT35" s="4" t="s">
        <v>1424</v>
      </c>
    </row>
    <row r="36" spans="2:124">
      <c r="B36" s="4" t="s">
        <v>86</v>
      </c>
      <c r="C36" s="4" t="s">
        <v>77</v>
      </c>
      <c r="D36" s="4" t="s">
        <v>87</v>
      </c>
      <c r="G36" s="4" t="s">
        <v>86</v>
      </c>
      <c r="H36" s="4" t="s">
        <v>295</v>
      </c>
      <c r="I36" s="4" t="s">
        <v>87</v>
      </c>
      <c r="L36" s="4" t="s">
        <v>70</v>
      </c>
      <c r="M36" s="4" t="s">
        <v>45</v>
      </c>
      <c r="N36" s="4" t="s">
        <v>71</v>
      </c>
      <c r="Q36" s="4" t="s">
        <v>70</v>
      </c>
      <c r="R36" s="4" t="s">
        <v>292</v>
      </c>
      <c r="S36" s="4" t="s">
        <v>71</v>
      </c>
      <c r="V36" s="4" t="s">
        <v>89</v>
      </c>
      <c r="W36" s="4" t="s">
        <v>382</v>
      </c>
      <c r="X36" s="4" t="s">
        <v>30</v>
      </c>
      <c r="AA36" s="4" t="s">
        <v>70</v>
      </c>
      <c r="AB36" s="4" t="s">
        <v>345</v>
      </c>
      <c r="AC36" s="4" t="s">
        <v>30</v>
      </c>
      <c r="AF36" s="4" t="s">
        <v>86</v>
      </c>
      <c r="AG36" s="4" t="s">
        <v>503</v>
      </c>
      <c r="AH36" s="4" t="s">
        <v>504</v>
      </c>
      <c r="AK36" s="4" t="s">
        <v>86</v>
      </c>
      <c r="AL36" s="4" t="s">
        <v>360</v>
      </c>
      <c r="AM36" s="4" t="s">
        <v>30</v>
      </c>
      <c r="AP36" s="4" t="s">
        <v>70</v>
      </c>
      <c r="AQ36" s="4" t="s">
        <v>345</v>
      </c>
      <c r="AR36" s="4" t="s">
        <v>632</v>
      </c>
      <c r="AZ36" s="4" t="s">
        <v>70</v>
      </c>
      <c r="BA36" s="4" t="s">
        <v>345</v>
      </c>
      <c r="BB36" s="4" t="s">
        <v>732</v>
      </c>
      <c r="BE36" s="4" t="s">
        <v>81</v>
      </c>
      <c r="BF36" s="4" t="s">
        <v>345</v>
      </c>
      <c r="BG36" s="4" t="s">
        <v>632</v>
      </c>
      <c r="BJ36" s="4" t="s">
        <v>86</v>
      </c>
      <c r="BK36" s="4" t="s">
        <v>441</v>
      </c>
      <c r="BL36" s="4" t="s">
        <v>732</v>
      </c>
      <c r="BT36" s="4" t="s">
        <v>91</v>
      </c>
      <c r="BU36" s="4" t="s">
        <v>436</v>
      </c>
      <c r="BV36" s="4" t="s">
        <v>875</v>
      </c>
      <c r="BY36" s="4" t="s">
        <v>101</v>
      </c>
      <c r="BZ36" s="4" t="s">
        <v>441</v>
      </c>
      <c r="CA36" s="4" t="s">
        <v>646</v>
      </c>
      <c r="CD36" s="4" t="s">
        <v>86</v>
      </c>
      <c r="CE36" s="4" t="s">
        <v>444</v>
      </c>
      <c r="CF36" s="4" t="s">
        <v>30</v>
      </c>
      <c r="CI36" s="4" t="s">
        <v>245</v>
      </c>
      <c r="CJ36" s="4" t="s">
        <v>497</v>
      </c>
      <c r="CK36" s="4" t="s">
        <v>1065</v>
      </c>
      <c r="CN36" s="4" t="s">
        <v>245</v>
      </c>
      <c r="CO36" s="4" t="s">
        <v>497</v>
      </c>
      <c r="CP36" s="4" t="s">
        <v>1065</v>
      </c>
      <c r="CS36" s="4" t="s">
        <v>245</v>
      </c>
      <c r="CT36" s="4" t="s">
        <v>1076</v>
      </c>
      <c r="CU36" s="4" t="s">
        <v>1065</v>
      </c>
      <c r="CX36" s="4" t="s">
        <v>105</v>
      </c>
      <c r="CY36" s="4" t="s">
        <v>1141</v>
      </c>
      <c r="CZ36" s="4" t="s">
        <v>1142</v>
      </c>
      <c r="DC36" s="4" t="s">
        <v>84</v>
      </c>
      <c r="DD36" s="4" t="s">
        <v>441</v>
      </c>
      <c r="DE36" s="4" t="s">
        <v>1281</v>
      </c>
      <c r="DH36" s="4" t="s">
        <v>84</v>
      </c>
      <c r="DI36" s="4" t="s">
        <v>345</v>
      </c>
      <c r="DJ36" s="4" t="s">
        <v>639</v>
      </c>
      <c r="DM36" s="4" t="s">
        <v>86</v>
      </c>
      <c r="DN36" s="4" t="s">
        <v>345</v>
      </c>
      <c r="DO36" s="4" t="s">
        <v>640</v>
      </c>
      <c r="DR36" s="4" t="s">
        <v>86</v>
      </c>
      <c r="DS36" s="4" t="s">
        <v>1425</v>
      </c>
      <c r="DT36" s="4" t="s">
        <v>1426</v>
      </c>
    </row>
    <row r="37" spans="2:124">
      <c r="B37" s="4" t="s">
        <v>88</v>
      </c>
      <c r="C37" s="4" t="s">
        <v>32</v>
      </c>
      <c r="D37" s="4" t="s">
        <v>30</v>
      </c>
      <c r="G37" s="4" t="s">
        <v>88</v>
      </c>
      <c r="H37" s="4" t="s">
        <v>289</v>
      </c>
      <c r="I37" s="4" t="s">
        <v>30</v>
      </c>
      <c r="L37" s="4" t="s">
        <v>72</v>
      </c>
      <c r="M37" s="4" t="s">
        <v>32</v>
      </c>
      <c r="N37" s="4" t="s">
        <v>30</v>
      </c>
      <c r="Q37" s="4" t="s">
        <v>72</v>
      </c>
      <c r="R37" s="4" t="s">
        <v>289</v>
      </c>
      <c r="S37" s="4" t="s">
        <v>30</v>
      </c>
      <c r="V37" s="4" t="s">
        <v>91</v>
      </c>
      <c r="W37" s="4" t="s">
        <v>383</v>
      </c>
      <c r="X37" s="4" t="s">
        <v>384</v>
      </c>
      <c r="AA37" s="4" t="s">
        <v>72</v>
      </c>
      <c r="AB37" s="4" t="s">
        <v>346</v>
      </c>
      <c r="AC37" s="4" t="s">
        <v>448</v>
      </c>
      <c r="AF37" s="4" t="s">
        <v>89</v>
      </c>
      <c r="AG37" s="4" t="s">
        <v>382</v>
      </c>
      <c r="AH37" s="4" t="s">
        <v>30</v>
      </c>
      <c r="AK37" s="4" t="s">
        <v>88</v>
      </c>
      <c r="AL37" s="4" t="s">
        <v>346</v>
      </c>
      <c r="AM37" s="4" t="s">
        <v>30</v>
      </c>
      <c r="AP37" s="4" t="s">
        <v>72</v>
      </c>
      <c r="AQ37" s="4" t="s">
        <v>346</v>
      </c>
      <c r="AR37" s="4" t="s">
        <v>632</v>
      </c>
      <c r="AZ37" s="4" t="s">
        <v>72</v>
      </c>
      <c r="BA37" s="4" t="s">
        <v>345</v>
      </c>
      <c r="BB37" s="4" t="s">
        <v>732</v>
      </c>
      <c r="BE37" s="4" t="s">
        <v>82</v>
      </c>
      <c r="BF37" s="4" t="s">
        <v>346</v>
      </c>
      <c r="BG37" s="4" t="s">
        <v>638</v>
      </c>
      <c r="BJ37" s="4" t="s">
        <v>88</v>
      </c>
      <c r="BK37" s="4" t="s">
        <v>441</v>
      </c>
      <c r="BL37" s="4" t="s">
        <v>732</v>
      </c>
      <c r="BT37" s="4" t="s">
        <v>93</v>
      </c>
      <c r="BU37" s="4" t="s">
        <v>472</v>
      </c>
      <c r="BV37" s="4" t="s">
        <v>876</v>
      </c>
      <c r="BY37" s="4" t="s">
        <v>105</v>
      </c>
      <c r="BZ37" s="4" t="s">
        <v>441</v>
      </c>
      <c r="CA37" s="4" t="s">
        <v>647</v>
      </c>
      <c r="CD37" s="4" t="s">
        <v>88</v>
      </c>
      <c r="CE37" s="4" t="s">
        <v>434</v>
      </c>
      <c r="CF37" s="4" t="s">
        <v>30</v>
      </c>
      <c r="CI37" s="4" t="s">
        <v>249</v>
      </c>
      <c r="CJ37" s="4" t="s">
        <v>360</v>
      </c>
      <c r="CK37" s="4" t="s">
        <v>1066</v>
      </c>
      <c r="CN37" s="4" t="s">
        <v>249</v>
      </c>
      <c r="CO37" s="4" t="s">
        <v>360</v>
      </c>
      <c r="CP37" s="4" t="s">
        <v>1066</v>
      </c>
      <c r="CS37" s="4" t="s">
        <v>249</v>
      </c>
      <c r="CT37" s="4" t="s">
        <v>555</v>
      </c>
      <c r="CU37" s="4" t="s">
        <v>1066</v>
      </c>
      <c r="CX37" s="4" t="s">
        <v>107</v>
      </c>
      <c r="CY37" s="4" t="s">
        <v>1143</v>
      </c>
      <c r="CZ37" s="4" t="s">
        <v>1144</v>
      </c>
      <c r="DC37" s="4" t="s">
        <v>86</v>
      </c>
      <c r="DD37" s="4" t="s">
        <v>441</v>
      </c>
      <c r="DE37" s="4" t="s">
        <v>1281</v>
      </c>
      <c r="DH37" s="4" t="s">
        <v>86</v>
      </c>
      <c r="DI37" s="4" t="s">
        <v>444</v>
      </c>
      <c r="DJ37" s="4" t="s">
        <v>1335</v>
      </c>
      <c r="DM37" s="4" t="s">
        <v>89</v>
      </c>
      <c r="DN37" s="4" t="s">
        <v>298</v>
      </c>
      <c r="DO37" s="4" t="s">
        <v>641</v>
      </c>
      <c r="DR37" s="4" t="s">
        <v>89</v>
      </c>
      <c r="DS37" s="4" t="s">
        <v>382</v>
      </c>
      <c r="DT37" s="4" t="s">
        <v>1427</v>
      </c>
    </row>
    <row r="38" spans="2:124">
      <c r="B38" s="4" t="s">
        <v>89</v>
      </c>
      <c r="C38" s="4" t="s">
        <v>90</v>
      </c>
      <c r="D38" s="4" t="s">
        <v>30</v>
      </c>
      <c r="G38" s="4" t="s">
        <v>89</v>
      </c>
      <c r="H38" s="4" t="s">
        <v>296</v>
      </c>
      <c r="I38" s="4" t="s">
        <v>30</v>
      </c>
      <c r="L38" s="4" t="s">
        <v>73</v>
      </c>
      <c r="M38" s="4" t="s">
        <v>35</v>
      </c>
      <c r="N38" s="4" t="s">
        <v>74</v>
      </c>
      <c r="Q38" s="4" t="s">
        <v>73</v>
      </c>
      <c r="R38" s="4" t="s">
        <v>290</v>
      </c>
      <c r="S38" s="4" t="s">
        <v>74</v>
      </c>
      <c r="V38" s="4" t="s">
        <v>93</v>
      </c>
      <c r="W38" s="4" t="s">
        <v>385</v>
      </c>
      <c r="X38" s="4" t="s">
        <v>386</v>
      </c>
      <c r="AA38" s="4" t="s">
        <v>73</v>
      </c>
      <c r="AB38" s="4" t="s">
        <v>346</v>
      </c>
      <c r="AC38" s="4" t="s">
        <v>30</v>
      </c>
      <c r="AF38" s="4" t="s">
        <v>91</v>
      </c>
      <c r="AG38" s="4" t="s">
        <v>424</v>
      </c>
      <c r="AH38" s="4" t="s">
        <v>505</v>
      </c>
      <c r="AK38" s="4" t="s">
        <v>89</v>
      </c>
      <c r="AL38" s="4" t="s">
        <v>450</v>
      </c>
      <c r="AM38" s="4" t="s">
        <v>30</v>
      </c>
      <c r="AP38" s="4" t="s">
        <v>73</v>
      </c>
      <c r="AQ38" s="4" t="s">
        <v>360</v>
      </c>
      <c r="AR38" s="4" t="s">
        <v>632</v>
      </c>
      <c r="AZ38" s="4" t="s">
        <v>73</v>
      </c>
      <c r="BA38" s="4" t="s">
        <v>346</v>
      </c>
      <c r="BB38" s="4" t="s">
        <v>732</v>
      </c>
      <c r="BE38" s="4" t="s">
        <v>84</v>
      </c>
      <c r="BF38" s="4" t="s">
        <v>346</v>
      </c>
      <c r="BG38" s="4" t="s">
        <v>639</v>
      </c>
      <c r="BJ38" s="4" t="s">
        <v>89</v>
      </c>
      <c r="BK38" s="4" t="s">
        <v>441</v>
      </c>
      <c r="BL38" s="4" t="s">
        <v>732</v>
      </c>
      <c r="BT38" s="4" t="s">
        <v>94</v>
      </c>
      <c r="BU38" s="4" t="s">
        <v>877</v>
      </c>
      <c r="BV38" s="4" t="s">
        <v>878</v>
      </c>
      <c r="BY38" s="4" t="s">
        <v>107</v>
      </c>
      <c r="BZ38" s="4" t="s">
        <v>441</v>
      </c>
      <c r="CA38" s="4" t="s">
        <v>647</v>
      </c>
      <c r="CD38" s="4" t="s">
        <v>89</v>
      </c>
      <c r="CE38" s="4" t="s">
        <v>361</v>
      </c>
      <c r="CF38" s="4" t="s">
        <v>30</v>
      </c>
      <c r="CI38" s="4" t="s">
        <v>336</v>
      </c>
      <c r="CJ38" s="4" t="s">
        <v>585</v>
      </c>
      <c r="CK38" s="4" t="s">
        <v>632</v>
      </c>
      <c r="CN38" s="4" t="s">
        <v>336</v>
      </c>
      <c r="CO38" s="4" t="s">
        <v>585</v>
      </c>
      <c r="CP38" s="4" t="s">
        <v>632</v>
      </c>
      <c r="CS38" s="4" t="s">
        <v>336</v>
      </c>
      <c r="CT38" s="4" t="s">
        <v>1077</v>
      </c>
      <c r="CU38" s="4" t="s">
        <v>632</v>
      </c>
      <c r="CX38" s="4" t="s">
        <v>108</v>
      </c>
      <c r="CY38" s="4" t="s">
        <v>1145</v>
      </c>
      <c r="CZ38" s="4" t="s">
        <v>1146</v>
      </c>
      <c r="DC38" s="4" t="s">
        <v>88</v>
      </c>
      <c r="DD38" s="4" t="s">
        <v>441</v>
      </c>
      <c r="DE38" s="4" t="s">
        <v>1281</v>
      </c>
      <c r="DH38" s="4" t="s">
        <v>89</v>
      </c>
      <c r="DI38" s="4" t="s">
        <v>293</v>
      </c>
      <c r="DJ38" s="4" t="s">
        <v>1336</v>
      </c>
      <c r="DM38" s="4" t="s">
        <v>91</v>
      </c>
      <c r="DN38" s="4" t="s">
        <v>360</v>
      </c>
      <c r="DO38" s="4" t="s">
        <v>642</v>
      </c>
      <c r="DR38" s="4" t="s">
        <v>91</v>
      </c>
      <c r="DS38" s="4" t="s">
        <v>424</v>
      </c>
      <c r="DT38" s="4" t="s">
        <v>1428</v>
      </c>
    </row>
    <row r="39" spans="2:124">
      <c r="B39" s="4" t="s">
        <v>91</v>
      </c>
      <c r="C39" s="4" t="s">
        <v>29</v>
      </c>
      <c r="D39" s="4" t="s">
        <v>92</v>
      </c>
      <c r="G39" s="4" t="s">
        <v>91</v>
      </c>
      <c r="H39" s="4" t="s">
        <v>288</v>
      </c>
      <c r="I39" s="4" t="s">
        <v>92</v>
      </c>
      <c r="L39" s="4" t="s">
        <v>75</v>
      </c>
      <c r="M39" s="4" t="s">
        <v>32</v>
      </c>
      <c r="N39" s="4" t="s">
        <v>30</v>
      </c>
      <c r="Q39" s="4" t="s">
        <v>75</v>
      </c>
      <c r="R39" s="4" t="s">
        <v>289</v>
      </c>
      <c r="S39" s="4" t="s">
        <v>30</v>
      </c>
      <c r="V39" s="4" t="s">
        <v>94</v>
      </c>
      <c r="W39" s="4" t="s">
        <v>387</v>
      </c>
      <c r="X39" s="4" t="s">
        <v>388</v>
      </c>
      <c r="AA39" s="4" t="s">
        <v>75</v>
      </c>
      <c r="AB39" s="4" t="s">
        <v>345</v>
      </c>
      <c r="AC39" s="4" t="s">
        <v>30</v>
      </c>
      <c r="AF39" s="4" t="s">
        <v>93</v>
      </c>
      <c r="AG39" s="4" t="s">
        <v>32</v>
      </c>
      <c r="AH39" s="4" t="s">
        <v>506</v>
      </c>
      <c r="AK39" s="4" t="s">
        <v>91</v>
      </c>
      <c r="AL39" s="4" t="s">
        <v>360</v>
      </c>
      <c r="AM39" s="4" t="s">
        <v>30</v>
      </c>
      <c r="AP39" s="4" t="s">
        <v>75</v>
      </c>
      <c r="AQ39" s="4" t="s">
        <v>345</v>
      </c>
      <c r="AR39" s="4" t="s">
        <v>632</v>
      </c>
      <c r="AZ39" s="4" t="s">
        <v>75</v>
      </c>
      <c r="BA39" s="4" t="s">
        <v>345</v>
      </c>
      <c r="BB39" s="4" t="s">
        <v>732</v>
      </c>
      <c r="BE39" s="4" t="s">
        <v>86</v>
      </c>
      <c r="BF39" s="4" t="s">
        <v>346</v>
      </c>
      <c r="BG39" s="4" t="s">
        <v>640</v>
      </c>
      <c r="BJ39" s="4" t="s">
        <v>91</v>
      </c>
      <c r="BK39" s="4" t="s">
        <v>441</v>
      </c>
      <c r="BL39" s="4" t="s">
        <v>732</v>
      </c>
      <c r="BT39" s="4" t="s">
        <v>96</v>
      </c>
      <c r="BU39" s="4" t="s">
        <v>879</v>
      </c>
      <c r="BV39" s="4" t="s">
        <v>880</v>
      </c>
      <c r="BY39" s="4" t="s">
        <v>108</v>
      </c>
      <c r="BZ39" s="4" t="s">
        <v>441</v>
      </c>
      <c r="CA39" s="4" t="s">
        <v>647</v>
      </c>
      <c r="CD39" s="4" t="s">
        <v>91</v>
      </c>
      <c r="CE39" s="4" t="s">
        <v>104</v>
      </c>
      <c r="CF39" s="4" t="s">
        <v>978</v>
      </c>
      <c r="CI39" s="4" t="s">
        <v>337</v>
      </c>
      <c r="CJ39" s="4" t="s">
        <v>603</v>
      </c>
      <c r="CK39" s="4" t="s">
        <v>632</v>
      </c>
      <c r="CN39" s="4" t="s">
        <v>337</v>
      </c>
      <c r="CO39" s="4" t="s">
        <v>603</v>
      </c>
      <c r="CP39" s="4" t="s">
        <v>632</v>
      </c>
      <c r="CS39" s="4" t="s">
        <v>337</v>
      </c>
      <c r="CT39" s="4" t="s">
        <v>290</v>
      </c>
      <c r="CU39" s="4" t="s">
        <v>632</v>
      </c>
      <c r="CX39" s="4" t="s">
        <v>109</v>
      </c>
      <c r="CY39" s="4" t="s">
        <v>1147</v>
      </c>
      <c r="CZ39" s="4" t="s">
        <v>1148</v>
      </c>
      <c r="DC39" s="4" t="s">
        <v>89</v>
      </c>
      <c r="DD39" s="4" t="s">
        <v>441</v>
      </c>
      <c r="DE39" s="4" t="s">
        <v>1281</v>
      </c>
      <c r="DH39" s="4" t="s">
        <v>91</v>
      </c>
      <c r="DI39" s="4" t="s">
        <v>360</v>
      </c>
      <c r="DJ39" s="4" t="s">
        <v>642</v>
      </c>
      <c r="DM39" s="4" t="s">
        <v>93</v>
      </c>
      <c r="DN39" s="4" t="s">
        <v>346</v>
      </c>
      <c r="DO39" s="4" t="s">
        <v>642</v>
      </c>
      <c r="DR39" s="4" t="s">
        <v>93</v>
      </c>
      <c r="DS39" s="4" t="s">
        <v>32</v>
      </c>
      <c r="DT39" s="4" t="s">
        <v>1429</v>
      </c>
    </row>
    <row r="40" spans="2:124">
      <c r="B40" s="4" t="s">
        <v>93</v>
      </c>
      <c r="C40" s="4" t="s">
        <v>35</v>
      </c>
      <c r="D40" s="4" t="s">
        <v>92</v>
      </c>
      <c r="G40" s="4" t="s">
        <v>93</v>
      </c>
      <c r="H40" s="4" t="s">
        <v>290</v>
      </c>
      <c r="I40" s="4" t="s">
        <v>92</v>
      </c>
      <c r="L40" s="4" t="s">
        <v>76</v>
      </c>
      <c r="M40" s="4" t="s">
        <v>77</v>
      </c>
      <c r="N40" s="4" t="s">
        <v>78</v>
      </c>
      <c r="Q40" s="4" t="s">
        <v>76</v>
      </c>
      <c r="R40" s="4" t="s">
        <v>295</v>
      </c>
      <c r="S40" s="4" t="s">
        <v>78</v>
      </c>
      <c r="V40" s="4" t="s">
        <v>96</v>
      </c>
      <c r="W40" s="4" t="s">
        <v>389</v>
      </c>
      <c r="X40" s="4" t="s">
        <v>390</v>
      </c>
      <c r="AA40" s="4" t="s">
        <v>76</v>
      </c>
      <c r="AB40" s="4" t="s">
        <v>345</v>
      </c>
      <c r="AC40" s="4" t="s">
        <v>30</v>
      </c>
      <c r="AF40" s="4" t="s">
        <v>94</v>
      </c>
      <c r="AG40" s="4" t="s">
        <v>507</v>
      </c>
      <c r="AH40" s="4" t="s">
        <v>508</v>
      </c>
      <c r="AK40" s="4" t="s">
        <v>93</v>
      </c>
      <c r="AL40" s="4" t="s">
        <v>360</v>
      </c>
      <c r="AM40" s="4" t="s">
        <v>30</v>
      </c>
      <c r="AP40" s="4" t="s">
        <v>76</v>
      </c>
      <c r="AQ40" s="4" t="s">
        <v>345</v>
      </c>
      <c r="AR40" s="4" t="s">
        <v>632</v>
      </c>
      <c r="AZ40" s="4" t="s">
        <v>76</v>
      </c>
      <c r="BA40" s="4" t="s">
        <v>345</v>
      </c>
      <c r="BB40" s="4" t="s">
        <v>732</v>
      </c>
      <c r="BE40" s="4" t="s">
        <v>88</v>
      </c>
      <c r="BF40" s="4" t="s">
        <v>441</v>
      </c>
      <c r="BG40" s="4" t="s">
        <v>632</v>
      </c>
      <c r="BJ40" s="4" t="s">
        <v>93</v>
      </c>
      <c r="BK40" s="4" t="s">
        <v>441</v>
      </c>
      <c r="BL40" s="4" t="s">
        <v>794</v>
      </c>
      <c r="BT40" s="4" t="s">
        <v>99</v>
      </c>
      <c r="BU40" s="4" t="s">
        <v>881</v>
      </c>
      <c r="BV40" s="4" t="s">
        <v>882</v>
      </c>
      <c r="BY40" s="4" t="s">
        <v>109</v>
      </c>
      <c r="BZ40" s="4" t="s">
        <v>441</v>
      </c>
      <c r="CA40" s="4" t="s">
        <v>648</v>
      </c>
      <c r="CD40" s="4" t="s">
        <v>93</v>
      </c>
      <c r="CE40" s="4" t="s">
        <v>593</v>
      </c>
      <c r="CF40" s="4" t="s">
        <v>979</v>
      </c>
      <c r="CI40" s="4" t="s">
        <v>338</v>
      </c>
      <c r="CJ40" s="4" t="s">
        <v>424</v>
      </c>
      <c r="CK40" s="4" t="s">
        <v>632</v>
      </c>
      <c r="CN40" s="4" t="s">
        <v>338</v>
      </c>
      <c r="CO40" s="4" t="s">
        <v>424</v>
      </c>
      <c r="CP40" s="4" t="s">
        <v>632</v>
      </c>
      <c r="CS40" s="4" t="s">
        <v>338</v>
      </c>
      <c r="CT40" s="4" t="s">
        <v>1078</v>
      </c>
      <c r="CU40" s="4" t="s">
        <v>632</v>
      </c>
      <c r="CX40" s="4" t="s">
        <v>111</v>
      </c>
      <c r="CY40" s="4" t="s">
        <v>1149</v>
      </c>
      <c r="CZ40" s="4" t="s">
        <v>1150</v>
      </c>
      <c r="DC40" s="4" t="s">
        <v>91</v>
      </c>
      <c r="DD40" s="4" t="s">
        <v>441</v>
      </c>
      <c r="DE40" s="4" t="s">
        <v>1281</v>
      </c>
      <c r="DH40" s="4" t="s">
        <v>93</v>
      </c>
      <c r="DI40" s="4" t="s">
        <v>446</v>
      </c>
      <c r="DJ40" s="4" t="s">
        <v>642</v>
      </c>
      <c r="DM40" s="4" t="s">
        <v>94</v>
      </c>
      <c r="DN40" s="4" t="s">
        <v>441</v>
      </c>
      <c r="DO40" s="4" t="s">
        <v>643</v>
      </c>
      <c r="DR40" s="4" t="s">
        <v>94</v>
      </c>
      <c r="DS40" s="4" t="s">
        <v>1430</v>
      </c>
      <c r="DT40" s="4" t="s">
        <v>1431</v>
      </c>
    </row>
    <row r="41" spans="2:124">
      <c r="B41" s="4" t="s">
        <v>94</v>
      </c>
      <c r="C41" s="4" t="s">
        <v>35</v>
      </c>
      <c r="D41" s="4" t="s">
        <v>95</v>
      </c>
      <c r="G41" s="4" t="s">
        <v>94</v>
      </c>
      <c r="H41" s="4" t="s">
        <v>290</v>
      </c>
      <c r="I41" s="4" t="s">
        <v>95</v>
      </c>
      <c r="L41" s="4" t="s">
        <v>79</v>
      </c>
      <c r="M41" s="4" t="s">
        <v>45</v>
      </c>
      <c r="N41" s="4" t="s">
        <v>80</v>
      </c>
      <c r="Q41" s="4" t="s">
        <v>79</v>
      </c>
      <c r="R41" s="4" t="s">
        <v>292</v>
      </c>
      <c r="S41" s="4" t="s">
        <v>80</v>
      </c>
      <c r="V41" s="4" t="s">
        <v>99</v>
      </c>
      <c r="W41" s="4" t="s">
        <v>391</v>
      </c>
      <c r="X41" s="4" t="s">
        <v>392</v>
      </c>
      <c r="AA41" s="4" t="s">
        <v>79</v>
      </c>
      <c r="AB41" s="4" t="s">
        <v>345</v>
      </c>
      <c r="AC41" s="4" t="s">
        <v>30</v>
      </c>
      <c r="AF41" s="4" t="s">
        <v>96</v>
      </c>
      <c r="AG41" s="4" t="s">
        <v>509</v>
      </c>
      <c r="AH41" s="4" t="s">
        <v>510</v>
      </c>
      <c r="AK41" s="4" t="s">
        <v>94</v>
      </c>
      <c r="AL41" s="4" t="s">
        <v>346</v>
      </c>
      <c r="AM41" s="4" t="s">
        <v>30</v>
      </c>
      <c r="AP41" s="4" t="s">
        <v>79</v>
      </c>
      <c r="AQ41" s="4" t="s">
        <v>345</v>
      </c>
      <c r="AR41" s="4" t="s">
        <v>632</v>
      </c>
      <c r="AZ41" s="4" t="s">
        <v>79</v>
      </c>
      <c r="BA41" s="4" t="s">
        <v>345</v>
      </c>
      <c r="BB41" s="4" t="s">
        <v>732</v>
      </c>
      <c r="BE41" s="4" t="s">
        <v>89</v>
      </c>
      <c r="BF41" s="4" t="s">
        <v>444</v>
      </c>
      <c r="BG41" s="4" t="s">
        <v>641</v>
      </c>
      <c r="BJ41" s="4" t="s">
        <v>94</v>
      </c>
      <c r="BK41" s="4" t="s">
        <v>441</v>
      </c>
      <c r="BL41" s="4" t="s">
        <v>733</v>
      </c>
      <c r="BT41" s="4" t="s">
        <v>101</v>
      </c>
      <c r="BU41" s="4" t="s">
        <v>555</v>
      </c>
      <c r="BV41" s="4" t="s">
        <v>883</v>
      </c>
      <c r="BY41" s="4" t="s">
        <v>111</v>
      </c>
      <c r="BZ41" s="4" t="s">
        <v>441</v>
      </c>
      <c r="CA41" s="4" t="s">
        <v>649</v>
      </c>
      <c r="CD41" s="4" t="s">
        <v>94</v>
      </c>
      <c r="CE41" s="4" t="s">
        <v>446</v>
      </c>
      <c r="CF41" s="4" t="s">
        <v>30</v>
      </c>
      <c r="CX41" s="4" t="s">
        <v>112</v>
      </c>
      <c r="CY41" s="4" t="s">
        <v>1151</v>
      </c>
      <c r="CZ41" s="4" t="s">
        <v>1152</v>
      </c>
      <c r="DC41" s="4" t="s">
        <v>93</v>
      </c>
      <c r="DD41" s="4" t="s">
        <v>441</v>
      </c>
      <c r="DE41" s="4" t="s">
        <v>1281</v>
      </c>
      <c r="DH41" s="4" t="s">
        <v>94</v>
      </c>
      <c r="DI41" s="4" t="s">
        <v>446</v>
      </c>
      <c r="DJ41" s="4" t="s">
        <v>1337</v>
      </c>
      <c r="DM41" s="4" t="s">
        <v>96</v>
      </c>
      <c r="DN41" s="4" t="s">
        <v>445</v>
      </c>
      <c r="DO41" s="4" t="s">
        <v>644</v>
      </c>
      <c r="DR41" s="4" t="s">
        <v>96</v>
      </c>
      <c r="DS41" s="4" t="s">
        <v>509</v>
      </c>
      <c r="DT41" s="4" t="s">
        <v>1432</v>
      </c>
    </row>
    <row r="42" spans="2:124">
      <c r="B42" s="4" t="s">
        <v>96</v>
      </c>
      <c r="C42" s="4" t="s">
        <v>97</v>
      </c>
      <c r="D42" s="4" t="s">
        <v>98</v>
      </c>
      <c r="G42" s="4" t="s">
        <v>96</v>
      </c>
      <c r="H42" s="4" t="s">
        <v>297</v>
      </c>
      <c r="I42" s="4" t="s">
        <v>98</v>
      </c>
      <c r="L42" s="4" t="s">
        <v>81</v>
      </c>
      <c r="M42" s="4" t="s">
        <v>32</v>
      </c>
      <c r="N42" s="4" t="s">
        <v>30</v>
      </c>
      <c r="Q42" s="4" t="s">
        <v>81</v>
      </c>
      <c r="R42" s="4" t="s">
        <v>289</v>
      </c>
      <c r="S42" s="4" t="s">
        <v>30</v>
      </c>
      <c r="V42" s="4" t="s">
        <v>101</v>
      </c>
      <c r="W42" s="4" t="s">
        <v>393</v>
      </c>
      <c r="X42" s="4" t="s">
        <v>394</v>
      </c>
      <c r="AA42" s="4" t="s">
        <v>81</v>
      </c>
      <c r="AB42" s="4" t="s">
        <v>345</v>
      </c>
      <c r="AC42" s="4" t="s">
        <v>30</v>
      </c>
      <c r="AF42" s="4" t="s">
        <v>99</v>
      </c>
      <c r="AG42" s="4" t="s">
        <v>511</v>
      </c>
      <c r="AH42" s="4" t="s">
        <v>512</v>
      </c>
      <c r="AK42" s="4" t="s">
        <v>96</v>
      </c>
      <c r="AL42" s="4" t="s">
        <v>614</v>
      </c>
      <c r="AM42" s="4" t="s">
        <v>30</v>
      </c>
      <c r="AP42" s="4" t="s">
        <v>81</v>
      </c>
      <c r="AQ42" s="4" t="s">
        <v>345</v>
      </c>
      <c r="AR42" s="4" t="s">
        <v>632</v>
      </c>
      <c r="AZ42" s="4" t="s">
        <v>81</v>
      </c>
      <c r="BA42" s="4" t="s">
        <v>345</v>
      </c>
      <c r="BB42" s="4" t="s">
        <v>732</v>
      </c>
      <c r="BE42" s="4" t="s">
        <v>91</v>
      </c>
      <c r="BF42" s="4" t="s">
        <v>346</v>
      </c>
      <c r="BG42" s="4" t="s">
        <v>642</v>
      </c>
      <c r="BJ42" s="4" t="s">
        <v>96</v>
      </c>
      <c r="BK42" s="4" t="s">
        <v>441</v>
      </c>
      <c r="BL42" s="4" t="s">
        <v>795</v>
      </c>
      <c r="BT42" s="4" t="s">
        <v>105</v>
      </c>
      <c r="BU42" s="4" t="s">
        <v>397</v>
      </c>
      <c r="BV42" s="4" t="s">
        <v>884</v>
      </c>
      <c r="BY42" s="4" t="s">
        <v>112</v>
      </c>
      <c r="BZ42" s="4" t="s">
        <v>441</v>
      </c>
      <c r="CA42" s="4" t="s">
        <v>650</v>
      </c>
      <c r="CD42" s="4" t="s">
        <v>96</v>
      </c>
      <c r="CE42" s="4" t="s">
        <v>77</v>
      </c>
      <c r="CF42" s="4" t="s">
        <v>30</v>
      </c>
      <c r="CX42" s="4" t="s">
        <v>114</v>
      </c>
      <c r="CY42" s="4" t="s">
        <v>1153</v>
      </c>
      <c r="CZ42" s="4" t="s">
        <v>1154</v>
      </c>
      <c r="DC42" s="4" t="s">
        <v>94</v>
      </c>
      <c r="DD42" s="4" t="s">
        <v>441</v>
      </c>
      <c r="DE42" s="4" t="s">
        <v>1281</v>
      </c>
      <c r="DH42" s="4" t="s">
        <v>96</v>
      </c>
      <c r="DI42" s="4" t="s">
        <v>424</v>
      </c>
      <c r="DJ42" s="4" t="s">
        <v>1338</v>
      </c>
      <c r="DM42" s="4" t="s">
        <v>99</v>
      </c>
      <c r="DN42" s="4" t="s">
        <v>441</v>
      </c>
      <c r="DO42" s="4" t="s">
        <v>645</v>
      </c>
      <c r="DR42" s="4" t="s">
        <v>99</v>
      </c>
      <c r="DS42" s="4" t="s">
        <v>90</v>
      </c>
      <c r="DT42" s="4" t="s">
        <v>1433</v>
      </c>
    </row>
    <row r="43" spans="2:124">
      <c r="B43" s="4" t="s">
        <v>99</v>
      </c>
      <c r="C43" s="4" t="s">
        <v>35</v>
      </c>
      <c r="D43" s="4" t="s">
        <v>100</v>
      </c>
      <c r="G43" s="4" t="s">
        <v>99</v>
      </c>
      <c r="H43" s="4" t="s">
        <v>290</v>
      </c>
      <c r="I43" s="4" t="s">
        <v>100</v>
      </c>
      <c r="L43" s="4" t="s">
        <v>82</v>
      </c>
      <c r="M43" s="4" t="s">
        <v>35</v>
      </c>
      <c r="N43" s="4" t="s">
        <v>83</v>
      </c>
      <c r="Q43" s="4" t="s">
        <v>82</v>
      </c>
      <c r="R43" s="4" t="s">
        <v>290</v>
      </c>
      <c r="S43" s="4" t="s">
        <v>83</v>
      </c>
      <c r="V43" s="4" t="s">
        <v>105</v>
      </c>
      <c r="W43" s="4" t="s">
        <v>395</v>
      </c>
      <c r="X43" s="4" t="s">
        <v>106</v>
      </c>
      <c r="AA43" s="4" t="s">
        <v>82</v>
      </c>
      <c r="AB43" s="4" t="s">
        <v>346</v>
      </c>
      <c r="AC43" s="4" t="s">
        <v>83</v>
      </c>
      <c r="AF43" s="4" t="s">
        <v>101</v>
      </c>
      <c r="AG43" s="4" t="s">
        <v>513</v>
      </c>
      <c r="AH43" s="4" t="s">
        <v>514</v>
      </c>
      <c r="AK43" s="4" t="s">
        <v>99</v>
      </c>
      <c r="AL43" s="4" t="s">
        <v>346</v>
      </c>
      <c r="AM43" s="4" t="s">
        <v>30</v>
      </c>
      <c r="AP43" s="4" t="s">
        <v>82</v>
      </c>
      <c r="AQ43" s="4" t="s">
        <v>346</v>
      </c>
      <c r="AR43" s="4" t="s">
        <v>638</v>
      </c>
      <c r="AZ43" s="4" t="s">
        <v>82</v>
      </c>
      <c r="BA43" s="4" t="s">
        <v>346</v>
      </c>
      <c r="BB43" s="4" t="s">
        <v>638</v>
      </c>
      <c r="BE43" s="4" t="s">
        <v>93</v>
      </c>
      <c r="BF43" s="4" t="s">
        <v>345</v>
      </c>
      <c r="BG43" s="4" t="s">
        <v>642</v>
      </c>
      <c r="BJ43" s="4" t="s">
        <v>99</v>
      </c>
      <c r="BK43" s="4" t="s">
        <v>441</v>
      </c>
      <c r="BL43" s="4" t="s">
        <v>734</v>
      </c>
      <c r="BT43" s="4" t="s">
        <v>107</v>
      </c>
      <c r="BU43" s="4" t="s">
        <v>397</v>
      </c>
      <c r="BV43" s="4" t="s">
        <v>885</v>
      </c>
      <c r="BY43" s="4" t="s">
        <v>114</v>
      </c>
      <c r="BZ43" s="4" t="s">
        <v>441</v>
      </c>
      <c r="CA43" s="4" t="s">
        <v>651</v>
      </c>
      <c r="CD43" s="4" t="s">
        <v>99</v>
      </c>
      <c r="CE43" s="4" t="s">
        <v>444</v>
      </c>
      <c r="CF43" s="4" t="s">
        <v>30</v>
      </c>
      <c r="CX43" s="4" t="s">
        <v>116</v>
      </c>
      <c r="CY43" s="4" t="s">
        <v>1155</v>
      </c>
      <c r="CZ43" s="4" t="s">
        <v>1156</v>
      </c>
      <c r="DC43" s="4" t="s">
        <v>96</v>
      </c>
      <c r="DD43" s="4" t="s">
        <v>441</v>
      </c>
      <c r="DE43" s="4" t="s">
        <v>1281</v>
      </c>
      <c r="DH43" s="4" t="s">
        <v>99</v>
      </c>
      <c r="DI43" s="4" t="s">
        <v>441</v>
      </c>
      <c r="DJ43" s="4" t="s">
        <v>645</v>
      </c>
      <c r="DM43" s="4" t="s">
        <v>101</v>
      </c>
      <c r="DN43" s="4" t="s">
        <v>441</v>
      </c>
      <c r="DO43" s="4" t="s">
        <v>646</v>
      </c>
      <c r="DR43" s="4" t="s">
        <v>101</v>
      </c>
      <c r="DS43" s="4" t="s">
        <v>513</v>
      </c>
      <c r="DT43" s="4" t="s">
        <v>1434</v>
      </c>
    </row>
    <row r="44" spans="2:124">
      <c r="B44" s="4" t="s">
        <v>101</v>
      </c>
      <c r="C44" s="4" t="s">
        <v>45</v>
      </c>
      <c r="D44" s="4" t="s">
        <v>102</v>
      </c>
      <c r="G44" s="4" t="s">
        <v>101</v>
      </c>
      <c r="H44" s="4" t="s">
        <v>292</v>
      </c>
      <c r="I44" s="4" t="s">
        <v>102</v>
      </c>
      <c r="L44" s="4" t="s">
        <v>84</v>
      </c>
      <c r="M44" s="4" t="s">
        <v>77</v>
      </c>
      <c r="N44" s="4" t="s">
        <v>85</v>
      </c>
      <c r="Q44" s="4" t="s">
        <v>84</v>
      </c>
      <c r="R44" s="4" t="s">
        <v>295</v>
      </c>
      <c r="S44" s="4" t="s">
        <v>85</v>
      </c>
      <c r="V44" s="4" t="s">
        <v>107</v>
      </c>
      <c r="W44" s="4" t="s">
        <v>55</v>
      </c>
      <c r="X44" s="4" t="s">
        <v>30</v>
      </c>
      <c r="AA44" s="4" t="s">
        <v>84</v>
      </c>
      <c r="AB44" s="4" t="s">
        <v>346</v>
      </c>
      <c r="AC44" s="4" t="s">
        <v>449</v>
      </c>
      <c r="AF44" s="4" t="s">
        <v>105</v>
      </c>
      <c r="AG44" s="4" t="s">
        <v>515</v>
      </c>
      <c r="AH44" s="4" t="s">
        <v>516</v>
      </c>
      <c r="AK44" s="4" t="s">
        <v>101</v>
      </c>
      <c r="AL44" s="4" t="s">
        <v>346</v>
      </c>
      <c r="AM44" s="4" t="s">
        <v>30</v>
      </c>
      <c r="AP44" s="4" t="s">
        <v>84</v>
      </c>
      <c r="AQ44" s="4" t="s">
        <v>446</v>
      </c>
      <c r="AR44" s="4" t="s">
        <v>639</v>
      </c>
      <c r="AZ44" s="4" t="s">
        <v>84</v>
      </c>
      <c r="BA44" s="4" t="s">
        <v>346</v>
      </c>
      <c r="BB44" s="4" t="s">
        <v>639</v>
      </c>
      <c r="BE44" s="4" t="s">
        <v>94</v>
      </c>
      <c r="BF44" s="4" t="s">
        <v>441</v>
      </c>
      <c r="BG44" s="4" t="s">
        <v>643</v>
      </c>
      <c r="BJ44" s="4" t="s">
        <v>101</v>
      </c>
      <c r="BK44" s="4" t="s">
        <v>441</v>
      </c>
      <c r="BL44" s="4" t="s">
        <v>735</v>
      </c>
      <c r="BT44" s="4" t="s">
        <v>108</v>
      </c>
      <c r="BU44" s="4" t="s">
        <v>438</v>
      </c>
      <c r="BV44" s="4" t="s">
        <v>886</v>
      </c>
      <c r="BY44" s="4" t="s">
        <v>116</v>
      </c>
      <c r="BZ44" s="4" t="s">
        <v>441</v>
      </c>
      <c r="CA44" s="4" t="s">
        <v>652</v>
      </c>
      <c r="CD44" s="4" t="s">
        <v>101</v>
      </c>
      <c r="CE44" s="4" t="s">
        <v>298</v>
      </c>
      <c r="CF44" s="4" t="s">
        <v>980</v>
      </c>
      <c r="CX44" s="4" t="s">
        <v>118</v>
      </c>
      <c r="CY44" s="4" t="s">
        <v>1157</v>
      </c>
      <c r="CZ44" s="4" t="s">
        <v>1158</v>
      </c>
      <c r="DC44" s="4" t="s">
        <v>99</v>
      </c>
      <c r="DD44" s="4" t="s">
        <v>441</v>
      </c>
      <c r="DE44" s="4" t="s">
        <v>1281</v>
      </c>
      <c r="DH44" s="4" t="s">
        <v>101</v>
      </c>
      <c r="DI44" s="4" t="s">
        <v>360</v>
      </c>
      <c r="DJ44" s="4" t="s">
        <v>1339</v>
      </c>
      <c r="DM44" s="4" t="s">
        <v>105</v>
      </c>
      <c r="DN44" s="4" t="s">
        <v>441</v>
      </c>
      <c r="DO44" s="4" t="s">
        <v>647</v>
      </c>
      <c r="DR44" s="4" t="s">
        <v>105</v>
      </c>
      <c r="DS44" s="4" t="s">
        <v>517</v>
      </c>
      <c r="DT44" s="4" t="s">
        <v>1435</v>
      </c>
    </row>
    <row r="45" spans="2:124">
      <c r="B45" s="4" t="s">
        <v>103</v>
      </c>
      <c r="C45" s="4" t="s">
        <v>104</v>
      </c>
      <c r="D45" s="4" t="s">
        <v>30</v>
      </c>
      <c r="G45" s="4" t="s">
        <v>103</v>
      </c>
      <c r="H45" s="4" t="s">
        <v>298</v>
      </c>
      <c r="I45" s="4" t="s">
        <v>30</v>
      </c>
      <c r="L45" s="4" t="s">
        <v>86</v>
      </c>
      <c r="M45" s="4" t="s">
        <v>77</v>
      </c>
      <c r="N45" s="4" t="s">
        <v>87</v>
      </c>
      <c r="Q45" s="4" t="s">
        <v>86</v>
      </c>
      <c r="R45" s="4" t="s">
        <v>295</v>
      </c>
      <c r="S45" s="4" t="s">
        <v>87</v>
      </c>
      <c r="V45" s="4" t="s">
        <v>108</v>
      </c>
      <c r="W45" s="4" t="s">
        <v>396</v>
      </c>
      <c r="X45" s="4" t="s">
        <v>30</v>
      </c>
      <c r="AA45" s="4" t="s">
        <v>86</v>
      </c>
      <c r="AB45" s="4" t="s">
        <v>346</v>
      </c>
      <c r="AC45" s="4" t="s">
        <v>30</v>
      </c>
      <c r="AF45" s="4" t="s">
        <v>107</v>
      </c>
      <c r="AG45" s="4" t="s">
        <v>517</v>
      </c>
      <c r="AH45" s="4" t="s">
        <v>518</v>
      </c>
      <c r="AK45" s="4" t="s">
        <v>103</v>
      </c>
      <c r="AL45" s="4" t="s">
        <v>441</v>
      </c>
      <c r="AM45" s="4" t="s">
        <v>30</v>
      </c>
      <c r="AP45" s="4" t="s">
        <v>86</v>
      </c>
      <c r="AQ45" s="4" t="s">
        <v>346</v>
      </c>
      <c r="AR45" s="4" t="s">
        <v>640</v>
      </c>
      <c r="AZ45" s="4" t="s">
        <v>86</v>
      </c>
      <c r="BA45" s="4" t="s">
        <v>346</v>
      </c>
      <c r="BB45" s="4" t="s">
        <v>640</v>
      </c>
      <c r="BE45" s="4" t="s">
        <v>96</v>
      </c>
      <c r="BF45" s="4" t="s">
        <v>445</v>
      </c>
      <c r="BG45" s="4" t="s">
        <v>644</v>
      </c>
      <c r="BJ45" s="4" t="s">
        <v>103</v>
      </c>
      <c r="BK45" s="4" t="s">
        <v>441</v>
      </c>
      <c r="BL45" s="4" t="s">
        <v>736</v>
      </c>
      <c r="BT45" s="4" t="s">
        <v>109</v>
      </c>
      <c r="BU45" s="4" t="s">
        <v>32</v>
      </c>
      <c r="BV45" s="4" t="s">
        <v>887</v>
      </c>
      <c r="BY45" s="4" t="s">
        <v>118</v>
      </c>
      <c r="BZ45" s="4" t="s">
        <v>444</v>
      </c>
      <c r="CA45" s="4" t="s">
        <v>653</v>
      </c>
      <c r="CD45" s="4" t="s">
        <v>103</v>
      </c>
      <c r="CE45" s="4" t="s">
        <v>441</v>
      </c>
      <c r="CF45" s="4" t="s">
        <v>30</v>
      </c>
      <c r="CX45" s="4" t="s">
        <v>126</v>
      </c>
      <c r="CY45" s="4" t="s">
        <v>1159</v>
      </c>
      <c r="CZ45" s="4" t="s">
        <v>1160</v>
      </c>
      <c r="DC45" s="4" t="s">
        <v>101</v>
      </c>
      <c r="DD45" s="4" t="s">
        <v>345</v>
      </c>
      <c r="DE45" s="4" t="s">
        <v>1284</v>
      </c>
      <c r="DH45" s="4" t="s">
        <v>105</v>
      </c>
      <c r="DI45" s="4" t="s">
        <v>360</v>
      </c>
      <c r="DJ45" s="4" t="s">
        <v>1340</v>
      </c>
      <c r="DM45" s="4" t="s">
        <v>107</v>
      </c>
      <c r="DN45" s="4" t="s">
        <v>441</v>
      </c>
      <c r="DO45" s="4" t="s">
        <v>647</v>
      </c>
      <c r="DR45" s="4" t="s">
        <v>107</v>
      </c>
      <c r="DS45" s="4" t="s">
        <v>517</v>
      </c>
      <c r="DT45" s="4" t="s">
        <v>1436</v>
      </c>
    </row>
    <row r="46" spans="2:124">
      <c r="B46" s="4" t="s">
        <v>105</v>
      </c>
      <c r="C46" s="4" t="s">
        <v>35</v>
      </c>
      <c r="D46" s="4" t="s">
        <v>106</v>
      </c>
      <c r="G46" s="4" t="s">
        <v>105</v>
      </c>
      <c r="H46" s="4" t="s">
        <v>290</v>
      </c>
      <c r="I46" s="4" t="s">
        <v>106</v>
      </c>
      <c r="L46" s="4" t="s">
        <v>88</v>
      </c>
      <c r="M46" s="4" t="s">
        <v>32</v>
      </c>
      <c r="N46" s="4" t="s">
        <v>30</v>
      </c>
      <c r="Q46" s="4" t="s">
        <v>88</v>
      </c>
      <c r="R46" s="4" t="s">
        <v>289</v>
      </c>
      <c r="S46" s="4" t="s">
        <v>30</v>
      </c>
      <c r="V46" s="4" t="s">
        <v>109</v>
      </c>
      <c r="W46" s="4" t="s">
        <v>385</v>
      </c>
      <c r="X46" s="4" t="s">
        <v>110</v>
      </c>
      <c r="AA46" s="4" t="s">
        <v>88</v>
      </c>
      <c r="AB46" s="4" t="s">
        <v>345</v>
      </c>
      <c r="AC46" s="4" t="s">
        <v>30</v>
      </c>
      <c r="AF46" s="4" t="s">
        <v>108</v>
      </c>
      <c r="AG46" s="4" t="s">
        <v>362</v>
      </c>
      <c r="AH46" s="4" t="s">
        <v>519</v>
      </c>
      <c r="AK46" s="4" t="s">
        <v>105</v>
      </c>
      <c r="AL46" s="4" t="s">
        <v>346</v>
      </c>
      <c r="AM46" s="4" t="s">
        <v>30</v>
      </c>
      <c r="AP46" s="4" t="s">
        <v>88</v>
      </c>
      <c r="AQ46" s="4" t="s">
        <v>441</v>
      </c>
      <c r="AR46" s="4" t="s">
        <v>632</v>
      </c>
      <c r="AZ46" s="4" t="s">
        <v>88</v>
      </c>
      <c r="BA46" s="4" t="s">
        <v>345</v>
      </c>
      <c r="BB46" s="4" t="s">
        <v>732</v>
      </c>
      <c r="BE46" s="4" t="s">
        <v>99</v>
      </c>
      <c r="BF46" s="4" t="s">
        <v>441</v>
      </c>
      <c r="BG46" s="4" t="s">
        <v>645</v>
      </c>
      <c r="BJ46" s="4" t="s">
        <v>105</v>
      </c>
      <c r="BK46" s="4" t="s">
        <v>441</v>
      </c>
      <c r="BL46" s="4" t="s">
        <v>737</v>
      </c>
      <c r="BT46" s="4" t="s">
        <v>111</v>
      </c>
      <c r="BU46" s="4" t="s">
        <v>444</v>
      </c>
      <c r="BV46" s="4" t="s">
        <v>888</v>
      </c>
      <c r="BY46" s="4" t="s">
        <v>121</v>
      </c>
      <c r="BZ46" s="4" t="s">
        <v>441</v>
      </c>
      <c r="CA46" s="4" t="s">
        <v>654</v>
      </c>
      <c r="CD46" s="4" t="s">
        <v>105</v>
      </c>
      <c r="CE46" s="4" t="s">
        <v>298</v>
      </c>
      <c r="CF46" s="4" t="s">
        <v>980</v>
      </c>
      <c r="CX46" s="4" t="s">
        <v>128</v>
      </c>
      <c r="CY46" s="4" t="s">
        <v>1161</v>
      </c>
      <c r="CZ46" s="4" t="s">
        <v>1162</v>
      </c>
      <c r="DC46" s="4" t="s">
        <v>105</v>
      </c>
      <c r="DD46" s="4" t="s">
        <v>345</v>
      </c>
      <c r="DE46" s="4" t="s">
        <v>1285</v>
      </c>
      <c r="DH46" s="4" t="s">
        <v>107</v>
      </c>
      <c r="DI46" s="4" t="s">
        <v>446</v>
      </c>
      <c r="DJ46" s="4" t="s">
        <v>1341</v>
      </c>
      <c r="DM46" s="4" t="s">
        <v>108</v>
      </c>
      <c r="DN46" s="4" t="s">
        <v>441</v>
      </c>
      <c r="DO46" s="4" t="s">
        <v>647</v>
      </c>
      <c r="DR46" s="4" t="s">
        <v>108</v>
      </c>
      <c r="DS46" s="4" t="s">
        <v>362</v>
      </c>
      <c r="DT46" s="4" t="s">
        <v>1437</v>
      </c>
    </row>
    <row r="47" spans="2:124">
      <c r="B47" s="4" t="s">
        <v>107</v>
      </c>
      <c r="C47" s="4" t="s">
        <v>32</v>
      </c>
      <c r="D47" s="4" t="s">
        <v>30</v>
      </c>
      <c r="G47" s="4" t="s">
        <v>107</v>
      </c>
      <c r="H47" s="4" t="s">
        <v>289</v>
      </c>
      <c r="I47" s="4" t="s">
        <v>30</v>
      </c>
      <c r="L47" s="4" t="s">
        <v>89</v>
      </c>
      <c r="M47" s="4" t="s">
        <v>90</v>
      </c>
      <c r="N47" s="4" t="s">
        <v>30</v>
      </c>
      <c r="Q47" s="4" t="s">
        <v>89</v>
      </c>
      <c r="R47" s="4" t="s">
        <v>296</v>
      </c>
      <c r="S47" s="4" t="s">
        <v>30</v>
      </c>
      <c r="V47" s="4" t="s">
        <v>111</v>
      </c>
      <c r="W47" s="4" t="s">
        <v>397</v>
      </c>
      <c r="X47" s="4" t="s">
        <v>30</v>
      </c>
      <c r="AA47" s="4" t="s">
        <v>89</v>
      </c>
      <c r="AB47" s="4" t="s">
        <v>444</v>
      </c>
      <c r="AC47" s="4" t="s">
        <v>30</v>
      </c>
      <c r="AF47" s="4" t="s">
        <v>109</v>
      </c>
      <c r="AG47" s="4" t="s">
        <v>513</v>
      </c>
      <c r="AH47" s="4" t="s">
        <v>110</v>
      </c>
      <c r="AK47" s="4" t="s">
        <v>107</v>
      </c>
      <c r="AL47" s="4" t="s">
        <v>346</v>
      </c>
      <c r="AM47" s="4" t="s">
        <v>30</v>
      </c>
      <c r="AP47" s="4" t="s">
        <v>89</v>
      </c>
      <c r="AQ47" s="4" t="s">
        <v>444</v>
      </c>
      <c r="AR47" s="4" t="s">
        <v>641</v>
      </c>
      <c r="AZ47" s="4" t="s">
        <v>89</v>
      </c>
      <c r="BA47" s="4" t="s">
        <v>444</v>
      </c>
      <c r="BB47" s="4" t="s">
        <v>641</v>
      </c>
      <c r="BE47" s="4" t="s">
        <v>101</v>
      </c>
      <c r="BF47" s="4" t="s">
        <v>441</v>
      </c>
      <c r="BG47" s="4" t="s">
        <v>646</v>
      </c>
      <c r="BJ47" s="4" t="s">
        <v>107</v>
      </c>
      <c r="BK47" s="4" t="s">
        <v>441</v>
      </c>
      <c r="BL47" s="4" t="s">
        <v>737</v>
      </c>
      <c r="BT47" s="4" t="s">
        <v>112</v>
      </c>
      <c r="BU47" s="4" t="s">
        <v>289</v>
      </c>
      <c r="BV47" s="4" t="s">
        <v>889</v>
      </c>
      <c r="BY47" s="4" t="s">
        <v>123</v>
      </c>
      <c r="BZ47" s="4" t="s">
        <v>441</v>
      </c>
      <c r="CA47" s="4" t="s">
        <v>654</v>
      </c>
      <c r="CD47" s="4" t="s">
        <v>107</v>
      </c>
      <c r="CE47" s="4" t="s">
        <v>298</v>
      </c>
      <c r="CF47" s="4" t="s">
        <v>974</v>
      </c>
      <c r="CX47" s="4" t="s">
        <v>130</v>
      </c>
      <c r="CY47" s="4" t="s">
        <v>1163</v>
      </c>
      <c r="CZ47" s="4" t="s">
        <v>1164</v>
      </c>
      <c r="DC47" s="4" t="s">
        <v>107</v>
      </c>
      <c r="DD47" s="4" t="s">
        <v>441</v>
      </c>
      <c r="DE47" s="4" t="s">
        <v>1281</v>
      </c>
      <c r="DH47" s="4" t="s">
        <v>108</v>
      </c>
      <c r="DI47" s="4" t="s">
        <v>360</v>
      </c>
      <c r="DJ47" s="4" t="s">
        <v>1342</v>
      </c>
      <c r="DM47" s="4" t="s">
        <v>109</v>
      </c>
      <c r="DN47" s="4" t="s">
        <v>441</v>
      </c>
      <c r="DO47" s="4" t="s">
        <v>648</v>
      </c>
      <c r="DR47" s="4" t="s">
        <v>109</v>
      </c>
      <c r="DS47" s="4" t="s">
        <v>513</v>
      </c>
      <c r="DT47" s="4" t="s">
        <v>110</v>
      </c>
    </row>
    <row r="48" spans="2:124">
      <c r="B48" s="4" t="s">
        <v>108</v>
      </c>
      <c r="C48" s="4" t="s">
        <v>32</v>
      </c>
      <c r="D48" s="4" t="s">
        <v>30</v>
      </c>
      <c r="G48" s="4" t="s">
        <v>108</v>
      </c>
      <c r="H48" s="4" t="s">
        <v>289</v>
      </c>
      <c r="I48" s="4" t="s">
        <v>30</v>
      </c>
      <c r="L48" s="4" t="s">
        <v>91</v>
      </c>
      <c r="M48" s="4" t="s">
        <v>29</v>
      </c>
      <c r="N48" s="4" t="s">
        <v>92</v>
      </c>
      <c r="Q48" s="4" t="s">
        <v>91</v>
      </c>
      <c r="R48" s="4" t="s">
        <v>288</v>
      </c>
      <c r="S48" s="4" t="s">
        <v>92</v>
      </c>
      <c r="V48" s="4" t="s">
        <v>112</v>
      </c>
      <c r="W48" s="4" t="s">
        <v>398</v>
      </c>
      <c r="X48" s="4" t="s">
        <v>399</v>
      </c>
      <c r="AA48" s="4" t="s">
        <v>91</v>
      </c>
      <c r="AB48" s="4" t="s">
        <v>346</v>
      </c>
      <c r="AC48" s="4" t="s">
        <v>92</v>
      </c>
      <c r="AF48" s="4" t="s">
        <v>111</v>
      </c>
      <c r="AG48" s="4" t="s">
        <v>445</v>
      </c>
      <c r="AH48" s="4" t="s">
        <v>520</v>
      </c>
      <c r="AK48" s="4" t="s">
        <v>108</v>
      </c>
      <c r="AL48" s="4" t="s">
        <v>346</v>
      </c>
      <c r="AM48" s="4" t="s">
        <v>30</v>
      </c>
      <c r="AP48" s="4" t="s">
        <v>91</v>
      </c>
      <c r="AQ48" s="4" t="s">
        <v>446</v>
      </c>
      <c r="AR48" s="4" t="s">
        <v>642</v>
      </c>
      <c r="AZ48" s="4" t="s">
        <v>91</v>
      </c>
      <c r="BA48" s="4" t="s">
        <v>346</v>
      </c>
      <c r="BB48" s="4" t="s">
        <v>642</v>
      </c>
      <c r="BE48" s="4" t="s">
        <v>105</v>
      </c>
      <c r="BF48" s="4" t="s">
        <v>441</v>
      </c>
      <c r="BG48" s="4" t="s">
        <v>647</v>
      </c>
      <c r="BJ48" s="4" t="s">
        <v>108</v>
      </c>
      <c r="BK48" s="4" t="s">
        <v>441</v>
      </c>
      <c r="BL48" s="4" t="s">
        <v>737</v>
      </c>
      <c r="BT48" s="4" t="s">
        <v>114</v>
      </c>
      <c r="BU48" s="4" t="s">
        <v>319</v>
      </c>
      <c r="BV48" s="4" t="s">
        <v>890</v>
      </c>
      <c r="BY48" s="4" t="s">
        <v>124</v>
      </c>
      <c r="BZ48" s="4" t="s">
        <v>441</v>
      </c>
      <c r="CA48" s="4" t="s">
        <v>654</v>
      </c>
      <c r="CD48" s="4" t="s">
        <v>108</v>
      </c>
      <c r="CE48" s="4" t="s">
        <v>298</v>
      </c>
      <c r="CF48" s="4" t="s">
        <v>972</v>
      </c>
      <c r="CX48" s="4" t="s">
        <v>132</v>
      </c>
      <c r="CY48" s="4" t="s">
        <v>1165</v>
      </c>
      <c r="CZ48" s="4" t="s">
        <v>1166</v>
      </c>
      <c r="DC48" s="4" t="s">
        <v>108</v>
      </c>
      <c r="DD48" s="4" t="s">
        <v>345</v>
      </c>
      <c r="DE48" s="4" t="s">
        <v>1286</v>
      </c>
      <c r="DH48" s="4" t="s">
        <v>109</v>
      </c>
      <c r="DI48" s="4" t="s">
        <v>345</v>
      </c>
      <c r="DJ48" s="4" t="s">
        <v>1343</v>
      </c>
      <c r="DM48" s="4" t="s">
        <v>111</v>
      </c>
      <c r="DN48" s="4" t="s">
        <v>441</v>
      </c>
      <c r="DO48" s="4" t="s">
        <v>649</v>
      </c>
      <c r="DR48" s="4" t="s">
        <v>111</v>
      </c>
      <c r="DS48" s="4" t="s">
        <v>445</v>
      </c>
      <c r="DT48" s="4" t="s">
        <v>1438</v>
      </c>
    </row>
    <row r="49" spans="2:124">
      <c r="B49" s="4" t="s">
        <v>109</v>
      </c>
      <c r="C49" s="4" t="s">
        <v>55</v>
      </c>
      <c r="D49" s="4" t="s">
        <v>110</v>
      </c>
      <c r="G49" s="4" t="s">
        <v>109</v>
      </c>
      <c r="H49" s="4" t="s">
        <v>293</v>
      </c>
      <c r="I49" s="4" t="s">
        <v>110</v>
      </c>
      <c r="L49" s="4" t="s">
        <v>93</v>
      </c>
      <c r="M49" s="4" t="s">
        <v>35</v>
      </c>
      <c r="N49" s="4" t="s">
        <v>92</v>
      </c>
      <c r="Q49" s="4" t="s">
        <v>93</v>
      </c>
      <c r="R49" s="4" t="s">
        <v>290</v>
      </c>
      <c r="S49" s="4" t="s">
        <v>92</v>
      </c>
      <c r="V49" s="4" t="s">
        <v>114</v>
      </c>
      <c r="W49" s="4" t="s">
        <v>400</v>
      </c>
      <c r="X49" s="4" t="s">
        <v>401</v>
      </c>
      <c r="AA49" s="4" t="s">
        <v>93</v>
      </c>
      <c r="AB49" s="4" t="s">
        <v>346</v>
      </c>
      <c r="AC49" s="4" t="s">
        <v>92</v>
      </c>
      <c r="AF49" s="4" t="s">
        <v>112</v>
      </c>
      <c r="AG49" s="4" t="s">
        <v>521</v>
      </c>
      <c r="AH49" s="4" t="s">
        <v>522</v>
      </c>
      <c r="AK49" s="4" t="s">
        <v>109</v>
      </c>
      <c r="AL49" s="4" t="s">
        <v>346</v>
      </c>
      <c r="AM49" s="4" t="s">
        <v>30</v>
      </c>
      <c r="AP49" s="4" t="s">
        <v>93</v>
      </c>
      <c r="AQ49" s="4" t="s">
        <v>360</v>
      </c>
      <c r="AR49" s="4" t="s">
        <v>642</v>
      </c>
      <c r="AZ49" s="4" t="s">
        <v>93</v>
      </c>
      <c r="BA49" s="4" t="s">
        <v>346</v>
      </c>
      <c r="BB49" s="4" t="s">
        <v>642</v>
      </c>
      <c r="BE49" s="4" t="s">
        <v>107</v>
      </c>
      <c r="BF49" s="4" t="s">
        <v>441</v>
      </c>
      <c r="BG49" s="4" t="s">
        <v>647</v>
      </c>
      <c r="BJ49" s="4" t="s">
        <v>109</v>
      </c>
      <c r="BK49" s="4" t="s">
        <v>441</v>
      </c>
      <c r="BL49" s="4" t="s">
        <v>738</v>
      </c>
      <c r="BT49" s="4" t="s">
        <v>116</v>
      </c>
      <c r="BU49" s="4" t="s">
        <v>289</v>
      </c>
      <c r="BV49" s="4" t="s">
        <v>891</v>
      </c>
      <c r="BY49" s="4" t="s">
        <v>125</v>
      </c>
      <c r="BZ49" s="4" t="s">
        <v>441</v>
      </c>
      <c r="CA49" s="4" t="s">
        <v>654</v>
      </c>
      <c r="CD49" s="4" t="s">
        <v>109</v>
      </c>
      <c r="CE49" s="4" t="s">
        <v>434</v>
      </c>
      <c r="CF49" s="4" t="s">
        <v>30</v>
      </c>
      <c r="CX49" s="4" t="s">
        <v>134</v>
      </c>
      <c r="CY49" s="4" t="s">
        <v>1167</v>
      </c>
      <c r="CZ49" s="4" t="s">
        <v>1168</v>
      </c>
      <c r="DC49" s="4" t="s">
        <v>109</v>
      </c>
      <c r="DD49" s="4" t="s">
        <v>441</v>
      </c>
      <c r="DE49" s="4" t="s">
        <v>1281</v>
      </c>
      <c r="DH49" s="4" t="s">
        <v>111</v>
      </c>
      <c r="DI49" s="4" t="s">
        <v>441</v>
      </c>
      <c r="DJ49" s="4" t="s">
        <v>649</v>
      </c>
      <c r="DM49" s="4" t="s">
        <v>112</v>
      </c>
      <c r="DN49" s="4" t="s">
        <v>441</v>
      </c>
      <c r="DO49" s="4" t="s">
        <v>650</v>
      </c>
      <c r="DR49" s="4" t="s">
        <v>112</v>
      </c>
      <c r="DS49" s="4" t="s">
        <v>521</v>
      </c>
      <c r="DT49" s="4" t="s">
        <v>1439</v>
      </c>
    </row>
    <row r="50" spans="2:124">
      <c r="B50" s="4" t="s">
        <v>111</v>
      </c>
      <c r="C50" s="4" t="s">
        <v>32</v>
      </c>
      <c r="D50" s="4" t="s">
        <v>30</v>
      </c>
      <c r="G50" s="4" t="s">
        <v>111</v>
      </c>
      <c r="H50" s="4" t="s">
        <v>289</v>
      </c>
      <c r="I50" s="4" t="s">
        <v>30</v>
      </c>
      <c r="L50" s="4" t="s">
        <v>94</v>
      </c>
      <c r="M50" s="4" t="s">
        <v>35</v>
      </c>
      <c r="N50" s="4" t="s">
        <v>95</v>
      </c>
      <c r="Q50" s="4" t="s">
        <v>94</v>
      </c>
      <c r="R50" s="4" t="s">
        <v>290</v>
      </c>
      <c r="S50" s="4" t="s">
        <v>95</v>
      </c>
      <c r="V50" s="4" t="s">
        <v>116</v>
      </c>
      <c r="W50" s="4" t="s">
        <v>402</v>
      </c>
      <c r="X50" s="4" t="s">
        <v>117</v>
      </c>
      <c r="AA50" s="4" t="s">
        <v>94</v>
      </c>
      <c r="AB50" s="4" t="s">
        <v>345</v>
      </c>
      <c r="AC50" s="4" t="s">
        <v>30</v>
      </c>
      <c r="AF50" s="4" t="s">
        <v>114</v>
      </c>
      <c r="AG50" s="4" t="s">
        <v>523</v>
      </c>
      <c r="AH50" s="4" t="s">
        <v>524</v>
      </c>
      <c r="AK50" s="4" t="s">
        <v>111</v>
      </c>
      <c r="AL50" s="4" t="s">
        <v>346</v>
      </c>
      <c r="AM50" s="4" t="s">
        <v>30</v>
      </c>
      <c r="AP50" s="4" t="s">
        <v>94</v>
      </c>
      <c r="AQ50" s="4" t="s">
        <v>441</v>
      </c>
      <c r="AR50" s="4" t="s">
        <v>643</v>
      </c>
      <c r="AZ50" s="4" t="s">
        <v>94</v>
      </c>
      <c r="BA50" s="4" t="s">
        <v>345</v>
      </c>
      <c r="BB50" s="4" t="s">
        <v>733</v>
      </c>
      <c r="BE50" s="4" t="s">
        <v>108</v>
      </c>
      <c r="BF50" s="4" t="s">
        <v>441</v>
      </c>
      <c r="BG50" s="4" t="s">
        <v>647</v>
      </c>
      <c r="BJ50" s="4" t="s">
        <v>111</v>
      </c>
      <c r="BK50" s="4" t="s">
        <v>441</v>
      </c>
      <c r="BL50" s="4" t="s">
        <v>739</v>
      </c>
      <c r="BT50" s="4" t="s">
        <v>118</v>
      </c>
      <c r="BU50" s="4" t="s">
        <v>365</v>
      </c>
      <c r="BV50" s="4" t="s">
        <v>892</v>
      </c>
      <c r="BY50" s="4" t="s">
        <v>126</v>
      </c>
      <c r="BZ50" s="4" t="s">
        <v>441</v>
      </c>
      <c r="CA50" s="4" t="s">
        <v>655</v>
      </c>
      <c r="CD50" s="4" t="s">
        <v>111</v>
      </c>
      <c r="CE50" s="4" t="s">
        <v>450</v>
      </c>
      <c r="CF50" s="4" t="s">
        <v>30</v>
      </c>
      <c r="CX50" s="4" t="s">
        <v>136</v>
      </c>
      <c r="CY50" s="4" t="s">
        <v>1169</v>
      </c>
      <c r="CZ50" s="4" t="s">
        <v>1170</v>
      </c>
      <c r="DC50" s="4" t="s">
        <v>111</v>
      </c>
      <c r="DD50" s="4" t="s">
        <v>441</v>
      </c>
      <c r="DE50" s="4" t="s">
        <v>1281</v>
      </c>
      <c r="DH50" s="4" t="s">
        <v>112</v>
      </c>
      <c r="DI50" s="4" t="s">
        <v>345</v>
      </c>
      <c r="DJ50" s="4" t="s">
        <v>1344</v>
      </c>
      <c r="DM50" s="4" t="s">
        <v>114</v>
      </c>
      <c r="DN50" s="4" t="s">
        <v>441</v>
      </c>
      <c r="DO50" s="4" t="s">
        <v>651</v>
      </c>
      <c r="DR50" s="4" t="s">
        <v>114</v>
      </c>
      <c r="DS50" s="4" t="s">
        <v>1440</v>
      </c>
      <c r="DT50" s="4" t="s">
        <v>1441</v>
      </c>
    </row>
    <row r="51" spans="2:124">
      <c r="B51" s="4" t="s">
        <v>112</v>
      </c>
      <c r="C51" s="4" t="s">
        <v>45</v>
      </c>
      <c r="D51" s="4" t="s">
        <v>113</v>
      </c>
      <c r="G51" s="4" t="s">
        <v>112</v>
      </c>
      <c r="H51" s="4" t="s">
        <v>292</v>
      </c>
      <c r="I51" s="4" t="s">
        <v>113</v>
      </c>
      <c r="L51" s="4" t="s">
        <v>96</v>
      </c>
      <c r="M51" s="4" t="s">
        <v>325</v>
      </c>
      <c r="N51" s="4" t="s">
        <v>98</v>
      </c>
      <c r="Q51" s="4" t="s">
        <v>96</v>
      </c>
      <c r="R51" s="4" t="s">
        <v>340</v>
      </c>
      <c r="S51" s="4" t="s">
        <v>98</v>
      </c>
      <c r="V51" s="4" t="s">
        <v>118</v>
      </c>
      <c r="W51" s="4" t="s">
        <v>403</v>
      </c>
      <c r="X51" s="4" t="s">
        <v>404</v>
      </c>
      <c r="AA51" s="4" t="s">
        <v>96</v>
      </c>
      <c r="AB51" s="4" t="s">
        <v>293</v>
      </c>
      <c r="AC51" s="4" t="s">
        <v>30</v>
      </c>
      <c r="AF51" s="4" t="s">
        <v>116</v>
      </c>
      <c r="AG51" s="4" t="s">
        <v>396</v>
      </c>
      <c r="AH51" s="4" t="s">
        <v>525</v>
      </c>
      <c r="AK51" s="4" t="s">
        <v>112</v>
      </c>
      <c r="AL51" s="4" t="s">
        <v>346</v>
      </c>
      <c r="AM51" s="4" t="s">
        <v>30</v>
      </c>
      <c r="AP51" s="4" t="s">
        <v>96</v>
      </c>
      <c r="AQ51" s="4" t="s">
        <v>445</v>
      </c>
      <c r="AR51" s="4" t="s">
        <v>644</v>
      </c>
      <c r="AZ51" s="4" t="s">
        <v>96</v>
      </c>
      <c r="BA51" s="4" t="s">
        <v>293</v>
      </c>
      <c r="BB51" s="4" t="s">
        <v>644</v>
      </c>
      <c r="BE51" s="4" t="s">
        <v>109</v>
      </c>
      <c r="BF51" s="4" t="s">
        <v>441</v>
      </c>
      <c r="BG51" s="4" t="s">
        <v>648</v>
      </c>
      <c r="BJ51" s="4" t="s">
        <v>112</v>
      </c>
      <c r="BK51" s="4" t="s">
        <v>441</v>
      </c>
      <c r="BL51" s="4" t="s">
        <v>740</v>
      </c>
      <c r="BT51" s="4" t="s">
        <v>126</v>
      </c>
      <c r="BU51" s="4" t="s">
        <v>445</v>
      </c>
      <c r="BV51" s="4" t="s">
        <v>893</v>
      </c>
      <c r="BY51" s="4" t="s">
        <v>128</v>
      </c>
      <c r="BZ51" s="4" t="s">
        <v>441</v>
      </c>
      <c r="CA51" s="4" t="s">
        <v>656</v>
      </c>
      <c r="CD51" s="4" t="s">
        <v>112</v>
      </c>
      <c r="CE51" s="4" t="s">
        <v>360</v>
      </c>
      <c r="CF51" s="4" t="s">
        <v>30</v>
      </c>
      <c r="CX51" s="4" t="s">
        <v>138</v>
      </c>
      <c r="CY51" s="4" t="s">
        <v>1171</v>
      </c>
      <c r="CZ51" s="4" t="s">
        <v>1172</v>
      </c>
      <c r="DC51" s="4" t="s">
        <v>112</v>
      </c>
      <c r="DD51" s="4" t="s">
        <v>345</v>
      </c>
      <c r="DE51" s="4" t="s">
        <v>1284</v>
      </c>
      <c r="DH51" s="4" t="s">
        <v>114</v>
      </c>
      <c r="DI51" s="4" t="s">
        <v>441</v>
      </c>
      <c r="DJ51" s="4" t="s">
        <v>651</v>
      </c>
      <c r="DM51" s="4" t="s">
        <v>116</v>
      </c>
      <c r="DN51" s="4" t="s">
        <v>441</v>
      </c>
      <c r="DO51" s="4" t="s">
        <v>652</v>
      </c>
      <c r="DR51" s="4" t="s">
        <v>116</v>
      </c>
      <c r="DS51" s="4" t="s">
        <v>396</v>
      </c>
      <c r="DT51" s="4" t="s">
        <v>1442</v>
      </c>
    </row>
    <row r="52" spans="2:124">
      <c r="B52" s="4" t="s">
        <v>114</v>
      </c>
      <c r="C52" s="4" t="s">
        <v>29</v>
      </c>
      <c r="D52" s="4" t="s">
        <v>115</v>
      </c>
      <c r="G52" s="4" t="s">
        <v>114</v>
      </c>
      <c r="H52" s="4" t="s">
        <v>288</v>
      </c>
      <c r="I52" s="4" t="s">
        <v>115</v>
      </c>
      <c r="L52" s="4" t="s">
        <v>99</v>
      </c>
      <c r="M52" s="4" t="s">
        <v>326</v>
      </c>
      <c r="N52" s="4" t="s">
        <v>100</v>
      </c>
      <c r="Q52" s="4" t="s">
        <v>99</v>
      </c>
      <c r="R52" s="4" t="s">
        <v>341</v>
      </c>
      <c r="S52" s="4" t="s">
        <v>100</v>
      </c>
      <c r="V52" s="4" t="s">
        <v>126</v>
      </c>
      <c r="W52" s="4" t="s">
        <v>296</v>
      </c>
      <c r="X52" s="4" t="s">
        <v>405</v>
      </c>
      <c r="AA52" s="4" t="s">
        <v>99</v>
      </c>
      <c r="AB52" s="4" t="s">
        <v>345</v>
      </c>
      <c r="AC52" s="4" t="s">
        <v>30</v>
      </c>
      <c r="AF52" s="4" t="s">
        <v>118</v>
      </c>
      <c r="AG52" s="4" t="s">
        <v>526</v>
      </c>
      <c r="AH52" s="4" t="s">
        <v>527</v>
      </c>
      <c r="AK52" s="4" t="s">
        <v>114</v>
      </c>
      <c r="AL52" s="4" t="s">
        <v>346</v>
      </c>
      <c r="AM52" s="4" t="s">
        <v>30</v>
      </c>
      <c r="AP52" s="4" t="s">
        <v>99</v>
      </c>
      <c r="AQ52" s="4" t="s">
        <v>441</v>
      </c>
      <c r="AR52" s="4" t="s">
        <v>645</v>
      </c>
      <c r="AZ52" s="4" t="s">
        <v>99</v>
      </c>
      <c r="BA52" s="4" t="s">
        <v>345</v>
      </c>
      <c r="BB52" s="4" t="s">
        <v>734</v>
      </c>
      <c r="BE52" s="4" t="s">
        <v>111</v>
      </c>
      <c r="BF52" s="4" t="s">
        <v>441</v>
      </c>
      <c r="BG52" s="4" t="s">
        <v>649</v>
      </c>
      <c r="BJ52" s="4" t="s">
        <v>114</v>
      </c>
      <c r="BK52" s="4" t="s">
        <v>441</v>
      </c>
      <c r="BL52" s="4" t="s">
        <v>741</v>
      </c>
      <c r="BT52" s="4" t="s">
        <v>128</v>
      </c>
      <c r="BU52" s="4" t="s">
        <v>289</v>
      </c>
      <c r="BV52" s="4" t="s">
        <v>894</v>
      </c>
      <c r="BY52" s="4" t="s">
        <v>130</v>
      </c>
      <c r="BZ52" s="4" t="s">
        <v>441</v>
      </c>
      <c r="CA52" s="4" t="s">
        <v>657</v>
      </c>
      <c r="CD52" s="4" t="s">
        <v>114</v>
      </c>
      <c r="CE52" s="4" t="s">
        <v>346</v>
      </c>
      <c r="CF52" s="4" t="s">
        <v>30</v>
      </c>
      <c r="CX52" s="4" t="s">
        <v>140</v>
      </c>
      <c r="CY52" s="4" t="s">
        <v>1173</v>
      </c>
      <c r="CZ52" s="4" t="s">
        <v>1174</v>
      </c>
      <c r="DC52" s="4" t="s">
        <v>114</v>
      </c>
      <c r="DD52" s="4" t="s">
        <v>345</v>
      </c>
      <c r="DE52" s="4" t="s">
        <v>1287</v>
      </c>
      <c r="DH52" s="4" t="s">
        <v>116</v>
      </c>
      <c r="DI52" s="4" t="s">
        <v>360</v>
      </c>
      <c r="DJ52" s="4" t="s">
        <v>1345</v>
      </c>
      <c r="DM52" s="4" t="s">
        <v>118</v>
      </c>
      <c r="DN52" s="4" t="s">
        <v>298</v>
      </c>
      <c r="DO52" s="4" t="s">
        <v>653</v>
      </c>
      <c r="DR52" s="4" t="s">
        <v>118</v>
      </c>
      <c r="DS52" s="4" t="s">
        <v>1443</v>
      </c>
      <c r="DT52" s="4" t="s">
        <v>1444</v>
      </c>
    </row>
    <row r="53" spans="2:124">
      <c r="B53" s="4" t="s">
        <v>116</v>
      </c>
      <c r="C53" s="4" t="s">
        <v>55</v>
      </c>
      <c r="D53" s="4" t="s">
        <v>117</v>
      </c>
      <c r="G53" s="4" t="s">
        <v>116</v>
      </c>
      <c r="H53" s="4" t="s">
        <v>293</v>
      </c>
      <c r="I53" s="4" t="s">
        <v>117</v>
      </c>
      <c r="L53" s="4" t="s">
        <v>101</v>
      </c>
      <c r="M53" s="4" t="s">
        <v>45</v>
      </c>
      <c r="N53" s="4" t="s">
        <v>102</v>
      </c>
      <c r="Q53" s="4" t="s">
        <v>101</v>
      </c>
      <c r="R53" s="4" t="s">
        <v>292</v>
      </c>
      <c r="S53" s="4" t="s">
        <v>102</v>
      </c>
      <c r="V53" s="4" t="s">
        <v>128</v>
      </c>
      <c r="W53" s="4" t="s">
        <v>406</v>
      </c>
      <c r="X53" s="4" t="s">
        <v>129</v>
      </c>
      <c r="AA53" s="4" t="s">
        <v>101</v>
      </c>
      <c r="AB53" s="4" t="s">
        <v>345</v>
      </c>
      <c r="AC53" s="4" t="s">
        <v>30</v>
      </c>
      <c r="AF53" s="4" t="s">
        <v>126</v>
      </c>
      <c r="AG53" s="4" t="s">
        <v>472</v>
      </c>
      <c r="AH53" s="4" t="s">
        <v>528</v>
      </c>
      <c r="AK53" s="4" t="s">
        <v>116</v>
      </c>
      <c r="AL53" s="4" t="s">
        <v>346</v>
      </c>
      <c r="AM53" s="4" t="s">
        <v>30</v>
      </c>
      <c r="AP53" s="4" t="s">
        <v>101</v>
      </c>
      <c r="AQ53" s="4" t="s">
        <v>441</v>
      </c>
      <c r="AR53" s="4" t="s">
        <v>646</v>
      </c>
      <c r="AZ53" s="4" t="s">
        <v>101</v>
      </c>
      <c r="BA53" s="4" t="s">
        <v>345</v>
      </c>
      <c r="BB53" s="4" t="s">
        <v>735</v>
      </c>
      <c r="BE53" s="4" t="s">
        <v>112</v>
      </c>
      <c r="BF53" s="4" t="s">
        <v>441</v>
      </c>
      <c r="BG53" s="4" t="s">
        <v>650</v>
      </c>
      <c r="BJ53" s="4" t="s">
        <v>116</v>
      </c>
      <c r="BK53" s="4" t="s">
        <v>441</v>
      </c>
      <c r="BL53" s="4" t="s">
        <v>742</v>
      </c>
      <c r="BT53" s="4" t="s">
        <v>130</v>
      </c>
      <c r="BU53" s="4" t="s">
        <v>533</v>
      </c>
      <c r="BV53" s="4" t="s">
        <v>895</v>
      </c>
      <c r="BY53" s="4" t="s">
        <v>132</v>
      </c>
      <c r="BZ53" s="4" t="s">
        <v>441</v>
      </c>
      <c r="CA53" s="4" t="s">
        <v>658</v>
      </c>
      <c r="CD53" s="4" t="s">
        <v>116</v>
      </c>
      <c r="CE53" s="4" t="s">
        <v>298</v>
      </c>
      <c r="CF53" s="4" t="s">
        <v>980</v>
      </c>
      <c r="CX53" s="4" t="s">
        <v>142</v>
      </c>
      <c r="CY53" s="4" t="s">
        <v>1175</v>
      </c>
      <c r="CZ53" s="4" t="s">
        <v>1176</v>
      </c>
      <c r="DC53" s="4" t="s">
        <v>116</v>
      </c>
      <c r="DD53" s="4" t="s">
        <v>441</v>
      </c>
      <c r="DE53" s="4" t="s">
        <v>1281</v>
      </c>
      <c r="DH53" s="4" t="s">
        <v>118</v>
      </c>
      <c r="DI53" s="4" t="s">
        <v>288</v>
      </c>
      <c r="DJ53" s="4" t="s">
        <v>1346</v>
      </c>
      <c r="DM53" s="4" t="s">
        <v>121</v>
      </c>
      <c r="DN53" s="4" t="s">
        <v>441</v>
      </c>
      <c r="DO53" s="4" t="s">
        <v>654</v>
      </c>
      <c r="DR53" s="4" t="s">
        <v>126</v>
      </c>
      <c r="DS53" s="4" t="s">
        <v>288</v>
      </c>
      <c r="DT53" s="4" t="s">
        <v>1445</v>
      </c>
    </row>
    <row r="54" spans="2:124">
      <c r="B54" s="4" t="s">
        <v>118</v>
      </c>
      <c r="C54" s="4" t="s">
        <v>119</v>
      </c>
      <c r="D54" s="4" t="s">
        <v>120</v>
      </c>
      <c r="G54" s="4" t="s">
        <v>118</v>
      </c>
      <c r="H54" s="4" t="s">
        <v>299</v>
      </c>
      <c r="I54" s="4" t="s">
        <v>120</v>
      </c>
      <c r="L54" s="4" t="s">
        <v>103</v>
      </c>
      <c r="M54" s="4" t="s">
        <v>104</v>
      </c>
      <c r="N54" s="4" t="s">
        <v>30</v>
      </c>
      <c r="Q54" s="4" t="s">
        <v>103</v>
      </c>
      <c r="R54" s="4" t="s">
        <v>298</v>
      </c>
      <c r="S54" s="4" t="s">
        <v>30</v>
      </c>
      <c r="V54" s="4" t="s">
        <v>130</v>
      </c>
      <c r="W54" s="4" t="s">
        <v>407</v>
      </c>
      <c r="X54" s="4" t="s">
        <v>408</v>
      </c>
      <c r="AA54" s="4" t="s">
        <v>103</v>
      </c>
      <c r="AB54" s="4" t="s">
        <v>441</v>
      </c>
      <c r="AC54" s="4" t="s">
        <v>30</v>
      </c>
      <c r="AF54" s="4" t="s">
        <v>128</v>
      </c>
      <c r="AG54" s="4" t="s">
        <v>55</v>
      </c>
      <c r="AH54" s="4" t="s">
        <v>529</v>
      </c>
      <c r="AK54" s="4" t="s">
        <v>118</v>
      </c>
      <c r="AL54" s="4" t="s">
        <v>450</v>
      </c>
      <c r="AM54" s="4" t="s">
        <v>30</v>
      </c>
      <c r="AP54" s="4" t="s">
        <v>105</v>
      </c>
      <c r="AQ54" s="4" t="s">
        <v>441</v>
      </c>
      <c r="AR54" s="4" t="s">
        <v>647</v>
      </c>
      <c r="AZ54" s="4" t="s">
        <v>103</v>
      </c>
      <c r="BA54" s="4" t="s">
        <v>441</v>
      </c>
      <c r="BB54" s="4" t="s">
        <v>736</v>
      </c>
      <c r="BE54" s="4" t="s">
        <v>114</v>
      </c>
      <c r="BF54" s="4" t="s">
        <v>441</v>
      </c>
      <c r="BG54" s="4" t="s">
        <v>651</v>
      </c>
      <c r="BJ54" s="4" t="s">
        <v>118</v>
      </c>
      <c r="BK54" s="4" t="s">
        <v>441</v>
      </c>
      <c r="BL54" s="4" t="s">
        <v>796</v>
      </c>
      <c r="BT54" s="4" t="s">
        <v>132</v>
      </c>
      <c r="BU54" s="4" t="s">
        <v>896</v>
      </c>
      <c r="BV54" s="4" t="s">
        <v>897</v>
      </c>
      <c r="BY54" s="4" t="s">
        <v>134</v>
      </c>
      <c r="BZ54" s="4" t="s">
        <v>345</v>
      </c>
      <c r="CA54" s="4" t="s">
        <v>963</v>
      </c>
      <c r="CD54" s="4" t="s">
        <v>118</v>
      </c>
      <c r="CE54" s="4" t="s">
        <v>32</v>
      </c>
      <c r="CF54" s="4" t="s">
        <v>981</v>
      </c>
      <c r="CX54" s="4" t="s">
        <v>144</v>
      </c>
      <c r="CY54" s="4" t="s">
        <v>1177</v>
      </c>
      <c r="CZ54" s="4" t="s">
        <v>1178</v>
      </c>
      <c r="DC54" s="4" t="s">
        <v>118</v>
      </c>
      <c r="DD54" s="4" t="s">
        <v>345</v>
      </c>
      <c r="DE54" s="4" t="s">
        <v>1288</v>
      </c>
      <c r="DH54" s="4" t="s">
        <v>121</v>
      </c>
      <c r="DI54" s="4" t="s">
        <v>441</v>
      </c>
      <c r="DJ54" s="4" t="s">
        <v>654</v>
      </c>
      <c r="DM54" s="4" t="s">
        <v>123</v>
      </c>
      <c r="DN54" s="4" t="s">
        <v>441</v>
      </c>
      <c r="DO54" s="4" t="s">
        <v>654</v>
      </c>
      <c r="DR54" s="4" t="s">
        <v>128</v>
      </c>
      <c r="DS54" s="4" t="s">
        <v>55</v>
      </c>
      <c r="DT54" s="4" t="s">
        <v>1446</v>
      </c>
    </row>
    <row r="55" spans="2:124">
      <c r="B55" s="4" t="s">
        <v>121</v>
      </c>
      <c r="C55" s="4" t="s">
        <v>32</v>
      </c>
      <c r="D55" s="4" t="s">
        <v>122</v>
      </c>
      <c r="G55" s="4" t="s">
        <v>121</v>
      </c>
      <c r="H55" s="4" t="s">
        <v>289</v>
      </c>
      <c r="I55" s="4" t="s">
        <v>122</v>
      </c>
      <c r="L55" s="4" t="s">
        <v>105</v>
      </c>
      <c r="M55" s="4" t="s">
        <v>35</v>
      </c>
      <c r="N55" s="4" t="s">
        <v>106</v>
      </c>
      <c r="Q55" s="4" t="s">
        <v>105</v>
      </c>
      <c r="R55" s="4" t="s">
        <v>290</v>
      </c>
      <c r="S55" s="4" t="s">
        <v>106</v>
      </c>
      <c r="V55" s="4" t="s">
        <v>132</v>
      </c>
      <c r="W55" s="4" t="s">
        <v>409</v>
      </c>
      <c r="X55" s="4" t="s">
        <v>410</v>
      </c>
      <c r="AA55" s="4" t="s">
        <v>105</v>
      </c>
      <c r="AB55" s="4" t="s">
        <v>345</v>
      </c>
      <c r="AC55" s="4" t="s">
        <v>30</v>
      </c>
      <c r="AF55" s="4" t="s">
        <v>130</v>
      </c>
      <c r="AG55" s="4" t="s">
        <v>530</v>
      </c>
      <c r="AH55" s="4" t="s">
        <v>531</v>
      </c>
      <c r="AK55" s="4" t="s">
        <v>121</v>
      </c>
      <c r="AL55" s="4" t="s">
        <v>441</v>
      </c>
      <c r="AM55" s="4" t="s">
        <v>30</v>
      </c>
      <c r="AP55" s="4" t="s">
        <v>107</v>
      </c>
      <c r="AQ55" s="4" t="s">
        <v>441</v>
      </c>
      <c r="AR55" s="4" t="s">
        <v>647</v>
      </c>
      <c r="AZ55" s="4" t="s">
        <v>105</v>
      </c>
      <c r="BA55" s="4" t="s">
        <v>345</v>
      </c>
      <c r="BB55" s="4" t="s">
        <v>737</v>
      </c>
      <c r="BE55" s="4" t="s">
        <v>116</v>
      </c>
      <c r="BF55" s="4" t="s">
        <v>441</v>
      </c>
      <c r="BG55" s="4" t="s">
        <v>652</v>
      </c>
      <c r="BJ55" s="4" t="s">
        <v>121</v>
      </c>
      <c r="BK55" s="4" t="s">
        <v>441</v>
      </c>
      <c r="BL55" s="4" t="s">
        <v>743</v>
      </c>
      <c r="BT55" s="4" t="s">
        <v>134</v>
      </c>
      <c r="BU55" s="4" t="s">
        <v>898</v>
      </c>
      <c r="BV55" s="4" t="s">
        <v>899</v>
      </c>
      <c r="BY55" s="4" t="s">
        <v>136</v>
      </c>
      <c r="BZ55" s="4" t="s">
        <v>345</v>
      </c>
      <c r="CA55" s="4" t="s">
        <v>660</v>
      </c>
      <c r="CD55" s="4" t="s">
        <v>121</v>
      </c>
      <c r="CE55" s="4" t="s">
        <v>441</v>
      </c>
      <c r="CF55" s="4" t="s">
        <v>30</v>
      </c>
      <c r="CX55" s="4" t="s">
        <v>146</v>
      </c>
      <c r="CY55" s="4" t="s">
        <v>1179</v>
      </c>
      <c r="CZ55" s="4" t="s">
        <v>1180</v>
      </c>
      <c r="DC55" s="4" t="s">
        <v>126</v>
      </c>
      <c r="DD55" s="4" t="s">
        <v>441</v>
      </c>
      <c r="DE55" s="4" t="s">
        <v>1281</v>
      </c>
      <c r="DH55" s="4" t="s">
        <v>123</v>
      </c>
      <c r="DI55" s="4" t="s">
        <v>441</v>
      </c>
      <c r="DJ55" s="4" t="s">
        <v>654</v>
      </c>
      <c r="DM55" s="4" t="s">
        <v>124</v>
      </c>
      <c r="DN55" s="4" t="s">
        <v>441</v>
      </c>
      <c r="DO55" s="4" t="s">
        <v>654</v>
      </c>
      <c r="DR55" s="4" t="s">
        <v>130</v>
      </c>
      <c r="DS55" s="4" t="s">
        <v>530</v>
      </c>
      <c r="DT55" s="4" t="s">
        <v>1447</v>
      </c>
    </row>
    <row r="56" spans="2:124">
      <c r="B56" s="4" t="s">
        <v>123</v>
      </c>
      <c r="C56" s="4" t="s">
        <v>32</v>
      </c>
      <c r="D56" s="4" t="s">
        <v>122</v>
      </c>
      <c r="G56" s="4" t="s">
        <v>123</v>
      </c>
      <c r="H56" s="4" t="s">
        <v>289</v>
      </c>
      <c r="I56" s="4" t="s">
        <v>122</v>
      </c>
      <c r="L56" s="4" t="s">
        <v>107</v>
      </c>
      <c r="M56" s="4" t="s">
        <v>32</v>
      </c>
      <c r="N56" s="4" t="s">
        <v>30</v>
      </c>
      <c r="Q56" s="4" t="s">
        <v>107</v>
      </c>
      <c r="R56" s="4" t="s">
        <v>289</v>
      </c>
      <c r="S56" s="4" t="s">
        <v>30</v>
      </c>
      <c r="V56" s="4" t="s">
        <v>134</v>
      </c>
      <c r="W56" s="4" t="s">
        <v>411</v>
      </c>
      <c r="X56" s="4" t="s">
        <v>412</v>
      </c>
      <c r="AA56" s="4" t="s">
        <v>107</v>
      </c>
      <c r="AB56" s="4" t="s">
        <v>345</v>
      </c>
      <c r="AC56" s="4" t="s">
        <v>30</v>
      </c>
      <c r="AF56" s="4" t="s">
        <v>132</v>
      </c>
      <c r="AG56" s="4" t="s">
        <v>489</v>
      </c>
      <c r="AH56" s="4" t="s">
        <v>532</v>
      </c>
      <c r="AK56" s="4" t="s">
        <v>123</v>
      </c>
      <c r="AL56" s="4" t="s">
        <v>441</v>
      </c>
      <c r="AM56" s="4" t="s">
        <v>30</v>
      </c>
      <c r="AP56" s="4" t="s">
        <v>108</v>
      </c>
      <c r="AQ56" s="4" t="s">
        <v>441</v>
      </c>
      <c r="AR56" s="4" t="s">
        <v>647</v>
      </c>
      <c r="AZ56" s="4" t="s">
        <v>107</v>
      </c>
      <c r="BA56" s="4" t="s">
        <v>345</v>
      </c>
      <c r="BB56" s="4" t="s">
        <v>737</v>
      </c>
      <c r="BE56" s="4" t="s">
        <v>118</v>
      </c>
      <c r="BF56" s="4" t="s">
        <v>444</v>
      </c>
      <c r="BG56" s="4" t="s">
        <v>653</v>
      </c>
      <c r="BJ56" s="4" t="s">
        <v>123</v>
      </c>
      <c r="BK56" s="4" t="s">
        <v>441</v>
      </c>
      <c r="BL56" s="4" t="s">
        <v>743</v>
      </c>
      <c r="BT56" s="4" t="s">
        <v>136</v>
      </c>
      <c r="BU56" s="4" t="s">
        <v>898</v>
      </c>
      <c r="BV56" s="4" t="s">
        <v>900</v>
      </c>
      <c r="BY56" s="4" t="s">
        <v>138</v>
      </c>
      <c r="BZ56" s="4" t="s">
        <v>441</v>
      </c>
      <c r="CA56" s="4" t="s">
        <v>661</v>
      </c>
      <c r="CD56" s="4" t="s">
        <v>123</v>
      </c>
      <c r="CE56" s="4" t="s">
        <v>441</v>
      </c>
      <c r="CF56" s="4" t="s">
        <v>30</v>
      </c>
      <c r="CX56" s="4" t="s">
        <v>148</v>
      </c>
      <c r="CY56" s="4" t="s">
        <v>1181</v>
      </c>
      <c r="CZ56" s="4" t="s">
        <v>1182</v>
      </c>
      <c r="DC56" s="4" t="s">
        <v>128</v>
      </c>
      <c r="DD56" s="4" t="s">
        <v>441</v>
      </c>
      <c r="DE56" s="4" t="s">
        <v>1281</v>
      </c>
      <c r="DH56" s="4" t="s">
        <v>124</v>
      </c>
      <c r="DI56" s="4" t="s">
        <v>441</v>
      </c>
      <c r="DJ56" s="4" t="s">
        <v>654</v>
      </c>
      <c r="DM56" s="4" t="s">
        <v>125</v>
      </c>
      <c r="DN56" s="4" t="s">
        <v>441</v>
      </c>
      <c r="DO56" s="4" t="s">
        <v>654</v>
      </c>
      <c r="DR56" s="4" t="s">
        <v>132</v>
      </c>
      <c r="DS56" s="4" t="s">
        <v>1448</v>
      </c>
      <c r="DT56" s="4" t="s">
        <v>532</v>
      </c>
    </row>
    <row r="57" spans="2:124">
      <c r="B57" s="4" t="s">
        <v>124</v>
      </c>
      <c r="C57" s="4" t="s">
        <v>32</v>
      </c>
      <c r="D57" s="4" t="s">
        <v>122</v>
      </c>
      <c r="G57" s="4" t="s">
        <v>124</v>
      </c>
      <c r="H57" s="4" t="s">
        <v>289</v>
      </c>
      <c r="I57" s="4" t="s">
        <v>122</v>
      </c>
      <c r="L57" s="4" t="s">
        <v>108</v>
      </c>
      <c r="M57" s="4" t="s">
        <v>32</v>
      </c>
      <c r="N57" s="4" t="s">
        <v>30</v>
      </c>
      <c r="Q57" s="4" t="s">
        <v>108</v>
      </c>
      <c r="R57" s="4" t="s">
        <v>289</v>
      </c>
      <c r="S57" s="4" t="s">
        <v>30</v>
      </c>
      <c r="V57" s="4" t="s">
        <v>136</v>
      </c>
      <c r="W57" s="4" t="s">
        <v>413</v>
      </c>
      <c r="X57" s="4" t="s">
        <v>414</v>
      </c>
      <c r="AA57" s="4" t="s">
        <v>108</v>
      </c>
      <c r="AB57" s="4" t="s">
        <v>345</v>
      </c>
      <c r="AC57" s="4" t="s">
        <v>30</v>
      </c>
      <c r="AF57" s="4" t="s">
        <v>134</v>
      </c>
      <c r="AG57" s="4" t="s">
        <v>533</v>
      </c>
      <c r="AH57" s="4" t="s">
        <v>534</v>
      </c>
      <c r="AK57" s="4" t="s">
        <v>124</v>
      </c>
      <c r="AL57" s="4" t="s">
        <v>441</v>
      </c>
      <c r="AM57" s="4" t="s">
        <v>30</v>
      </c>
      <c r="AP57" s="4" t="s">
        <v>109</v>
      </c>
      <c r="AQ57" s="4" t="s">
        <v>441</v>
      </c>
      <c r="AR57" s="4" t="s">
        <v>648</v>
      </c>
      <c r="AZ57" s="4" t="s">
        <v>108</v>
      </c>
      <c r="BA57" s="4" t="s">
        <v>345</v>
      </c>
      <c r="BB57" s="4" t="s">
        <v>737</v>
      </c>
      <c r="BE57" s="4" t="s">
        <v>121</v>
      </c>
      <c r="BF57" s="4" t="s">
        <v>441</v>
      </c>
      <c r="BG57" s="4" t="s">
        <v>654</v>
      </c>
      <c r="BJ57" s="4" t="s">
        <v>124</v>
      </c>
      <c r="BK57" s="4" t="s">
        <v>441</v>
      </c>
      <c r="BL57" s="4" t="s">
        <v>743</v>
      </c>
      <c r="BT57" s="4" t="s">
        <v>138</v>
      </c>
      <c r="BU57" s="4" t="s">
        <v>411</v>
      </c>
      <c r="BV57" s="4" t="s">
        <v>901</v>
      </c>
      <c r="BY57" s="4" t="s">
        <v>140</v>
      </c>
      <c r="BZ57" s="4" t="s">
        <v>441</v>
      </c>
      <c r="CA57" s="4" t="s">
        <v>662</v>
      </c>
      <c r="CD57" s="4" t="s">
        <v>124</v>
      </c>
      <c r="CE57" s="4" t="s">
        <v>441</v>
      </c>
      <c r="CF57" s="4" t="s">
        <v>30</v>
      </c>
      <c r="CX57" s="4" t="s">
        <v>150</v>
      </c>
      <c r="CY57" s="4" t="s">
        <v>1183</v>
      </c>
      <c r="CZ57" s="4" t="s">
        <v>1184</v>
      </c>
      <c r="DC57" s="4" t="s">
        <v>130</v>
      </c>
      <c r="DD57" s="4" t="s">
        <v>441</v>
      </c>
      <c r="DE57" s="4" t="s">
        <v>1281</v>
      </c>
      <c r="DH57" s="4" t="s">
        <v>125</v>
      </c>
      <c r="DI57" s="4" t="s">
        <v>441</v>
      </c>
      <c r="DJ57" s="4" t="s">
        <v>654</v>
      </c>
      <c r="DM57" s="4" t="s">
        <v>126</v>
      </c>
      <c r="DN57" s="4" t="s">
        <v>441</v>
      </c>
      <c r="DO57" s="4" t="s">
        <v>655</v>
      </c>
      <c r="DR57" s="4" t="s">
        <v>134</v>
      </c>
      <c r="DS57" s="4" t="s">
        <v>296</v>
      </c>
      <c r="DT57" s="4" t="s">
        <v>1449</v>
      </c>
    </row>
    <row r="58" spans="2:124">
      <c r="B58" s="4" t="s">
        <v>125</v>
      </c>
      <c r="C58" s="4" t="s">
        <v>32</v>
      </c>
      <c r="D58" s="4" t="s">
        <v>122</v>
      </c>
      <c r="G58" s="4" t="s">
        <v>125</v>
      </c>
      <c r="H58" s="4" t="s">
        <v>289</v>
      </c>
      <c r="I58" s="4" t="s">
        <v>122</v>
      </c>
      <c r="L58" s="4" t="s">
        <v>109</v>
      </c>
      <c r="M58" s="4" t="s">
        <v>55</v>
      </c>
      <c r="N58" s="4" t="s">
        <v>110</v>
      </c>
      <c r="Q58" s="4" t="s">
        <v>109</v>
      </c>
      <c r="R58" s="4" t="s">
        <v>293</v>
      </c>
      <c r="S58" s="4" t="s">
        <v>110</v>
      </c>
      <c r="V58" s="4" t="s">
        <v>138</v>
      </c>
      <c r="W58" s="4" t="s">
        <v>415</v>
      </c>
      <c r="X58" s="4" t="s">
        <v>416</v>
      </c>
      <c r="AA58" s="4" t="s">
        <v>109</v>
      </c>
      <c r="AB58" s="4" t="s">
        <v>345</v>
      </c>
      <c r="AC58" s="4" t="s">
        <v>30</v>
      </c>
      <c r="AF58" s="4" t="s">
        <v>136</v>
      </c>
      <c r="AG58" s="4" t="s">
        <v>326</v>
      </c>
      <c r="AH58" s="4" t="s">
        <v>535</v>
      </c>
      <c r="AK58" s="4" t="s">
        <v>125</v>
      </c>
      <c r="AL58" s="4" t="s">
        <v>441</v>
      </c>
      <c r="AM58" s="4" t="s">
        <v>30</v>
      </c>
      <c r="AP58" s="4" t="s">
        <v>111</v>
      </c>
      <c r="AQ58" s="4" t="s">
        <v>441</v>
      </c>
      <c r="AR58" s="4" t="s">
        <v>649</v>
      </c>
      <c r="AZ58" s="4" t="s">
        <v>109</v>
      </c>
      <c r="BA58" s="4" t="s">
        <v>345</v>
      </c>
      <c r="BB58" s="4" t="s">
        <v>738</v>
      </c>
      <c r="BE58" s="4" t="s">
        <v>123</v>
      </c>
      <c r="BF58" s="4" t="s">
        <v>441</v>
      </c>
      <c r="BG58" s="4" t="s">
        <v>654</v>
      </c>
      <c r="BJ58" s="4" t="s">
        <v>125</v>
      </c>
      <c r="BK58" s="4" t="s">
        <v>441</v>
      </c>
      <c r="BL58" s="4" t="s">
        <v>743</v>
      </c>
      <c r="BT58" s="4" t="s">
        <v>140</v>
      </c>
      <c r="BU58" s="4" t="s">
        <v>350</v>
      </c>
      <c r="BV58" s="4" t="s">
        <v>902</v>
      </c>
      <c r="BY58" s="4" t="s">
        <v>142</v>
      </c>
      <c r="BZ58" s="4" t="s">
        <v>441</v>
      </c>
      <c r="CA58" s="4" t="s">
        <v>640</v>
      </c>
      <c r="CD58" s="4" t="s">
        <v>125</v>
      </c>
      <c r="CE58" s="4" t="s">
        <v>441</v>
      </c>
      <c r="CF58" s="4" t="s">
        <v>30</v>
      </c>
      <c r="CX58" s="4" t="s">
        <v>152</v>
      </c>
      <c r="CY58" s="4" t="s">
        <v>1185</v>
      </c>
      <c r="CZ58" s="4" t="s">
        <v>1186</v>
      </c>
      <c r="DC58" s="4" t="s">
        <v>132</v>
      </c>
      <c r="DD58" s="4" t="s">
        <v>441</v>
      </c>
      <c r="DE58" s="4" t="s">
        <v>1281</v>
      </c>
      <c r="DH58" s="4" t="s">
        <v>126</v>
      </c>
      <c r="DI58" s="4" t="s">
        <v>346</v>
      </c>
      <c r="DJ58" s="4" t="s">
        <v>1347</v>
      </c>
      <c r="DM58" s="4" t="s">
        <v>128</v>
      </c>
      <c r="DN58" s="4" t="s">
        <v>441</v>
      </c>
      <c r="DO58" s="4" t="s">
        <v>656</v>
      </c>
      <c r="DR58" s="4" t="s">
        <v>136</v>
      </c>
      <c r="DS58" s="4" t="s">
        <v>1415</v>
      </c>
      <c r="DT58" s="4" t="s">
        <v>1450</v>
      </c>
    </row>
    <row r="59" spans="2:124">
      <c r="B59" s="4" t="s">
        <v>126</v>
      </c>
      <c r="C59" s="4" t="s">
        <v>29</v>
      </c>
      <c r="D59" s="4" t="s">
        <v>127</v>
      </c>
      <c r="G59" s="4" t="s">
        <v>126</v>
      </c>
      <c r="H59" s="4" t="s">
        <v>288</v>
      </c>
      <c r="I59" s="4" t="s">
        <v>127</v>
      </c>
      <c r="L59" s="4" t="s">
        <v>111</v>
      </c>
      <c r="M59" s="4" t="s">
        <v>32</v>
      </c>
      <c r="N59" s="4" t="s">
        <v>30</v>
      </c>
      <c r="Q59" s="4" t="s">
        <v>111</v>
      </c>
      <c r="R59" s="4" t="s">
        <v>289</v>
      </c>
      <c r="S59" s="4" t="s">
        <v>30</v>
      </c>
      <c r="V59" s="4" t="s">
        <v>140</v>
      </c>
      <c r="W59" s="4" t="s">
        <v>417</v>
      </c>
      <c r="X59" s="4" t="s">
        <v>418</v>
      </c>
      <c r="AA59" s="4" t="s">
        <v>111</v>
      </c>
      <c r="AB59" s="4" t="s">
        <v>345</v>
      </c>
      <c r="AC59" s="4" t="s">
        <v>30</v>
      </c>
      <c r="AF59" s="4" t="s">
        <v>138</v>
      </c>
      <c r="AG59" s="4" t="s">
        <v>536</v>
      </c>
      <c r="AH59" s="4" t="s">
        <v>537</v>
      </c>
      <c r="AK59" s="4" t="s">
        <v>126</v>
      </c>
      <c r="AL59" s="4" t="s">
        <v>346</v>
      </c>
      <c r="AM59" s="4" t="s">
        <v>30</v>
      </c>
      <c r="AP59" s="4" t="s">
        <v>112</v>
      </c>
      <c r="AQ59" s="4" t="s">
        <v>441</v>
      </c>
      <c r="AR59" s="4" t="s">
        <v>650</v>
      </c>
      <c r="AZ59" s="4" t="s">
        <v>111</v>
      </c>
      <c r="BA59" s="4" t="s">
        <v>345</v>
      </c>
      <c r="BB59" s="4" t="s">
        <v>739</v>
      </c>
      <c r="BE59" s="4" t="s">
        <v>124</v>
      </c>
      <c r="BF59" s="4" t="s">
        <v>441</v>
      </c>
      <c r="BG59" s="4" t="s">
        <v>654</v>
      </c>
      <c r="BJ59" s="4" t="s">
        <v>126</v>
      </c>
      <c r="BK59" s="4" t="s">
        <v>441</v>
      </c>
      <c r="BL59" s="4" t="s">
        <v>744</v>
      </c>
      <c r="BT59" s="4" t="s">
        <v>142</v>
      </c>
      <c r="BU59" s="4" t="s">
        <v>293</v>
      </c>
      <c r="BV59" s="4" t="s">
        <v>903</v>
      </c>
      <c r="BY59" s="4" t="s">
        <v>144</v>
      </c>
      <c r="BZ59" s="4" t="s">
        <v>441</v>
      </c>
      <c r="CA59" s="4" t="s">
        <v>663</v>
      </c>
      <c r="CD59" s="4" t="s">
        <v>126</v>
      </c>
      <c r="CE59" s="4" t="s">
        <v>446</v>
      </c>
      <c r="CF59" s="4" t="s">
        <v>30</v>
      </c>
      <c r="CX59" s="4" t="s">
        <v>154</v>
      </c>
      <c r="CY59" s="4" t="s">
        <v>1187</v>
      </c>
      <c r="CZ59" s="4" t="s">
        <v>1188</v>
      </c>
      <c r="DC59" s="4" t="s">
        <v>134</v>
      </c>
      <c r="DD59" s="4" t="s">
        <v>441</v>
      </c>
      <c r="DE59" s="4" t="s">
        <v>1281</v>
      </c>
      <c r="DH59" s="4" t="s">
        <v>128</v>
      </c>
      <c r="DI59" s="4" t="s">
        <v>345</v>
      </c>
      <c r="DJ59" s="4" t="s">
        <v>1348</v>
      </c>
      <c r="DM59" s="4" t="s">
        <v>130</v>
      </c>
      <c r="DN59" s="4" t="s">
        <v>441</v>
      </c>
      <c r="DO59" s="4" t="s">
        <v>657</v>
      </c>
      <c r="DR59" s="4" t="s">
        <v>138</v>
      </c>
      <c r="DS59" s="4" t="s">
        <v>411</v>
      </c>
      <c r="DT59" s="4" t="s">
        <v>1451</v>
      </c>
    </row>
    <row r="60" spans="2:124">
      <c r="B60" s="4" t="s">
        <v>128</v>
      </c>
      <c r="C60" s="4" t="s">
        <v>35</v>
      </c>
      <c r="D60" s="4" t="s">
        <v>129</v>
      </c>
      <c r="G60" s="4" t="s">
        <v>128</v>
      </c>
      <c r="H60" s="4" t="s">
        <v>290</v>
      </c>
      <c r="I60" s="4" t="s">
        <v>129</v>
      </c>
      <c r="L60" s="4" t="s">
        <v>112</v>
      </c>
      <c r="M60" s="4" t="s">
        <v>45</v>
      </c>
      <c r="N60" s="4" t="s">
        <v>113</v>
      </c>
      <c r="Q60" s="4" t="s">
        <v>112</v>
      </c>
      <c r="R60" s="4" t="s">
        <v>292</v>
      </c>
      <c r="S60" s="4" t="s">
        <v>113</v>
      </c>
      <c r="V60" s="4" t="s">
        <v>142</v>
      </c>
      <c r="W60" s="4" t="s">
        <v>393</v>
      </c>
      <c r="X60" s="4" t="s">
        <v>419</v>
      </c>
      <c r="AA60" s="4" t="s">
        <v>112</v>
      </c>
      <c r="AB60" s="4" t="s">
        <v>345</v>
      </c>
      <c r="AC60" s="4" t="s">
        <v>30</v>
      </c>
      <c r="AF60" s="4" t="s">
        <v>140</v>
      </c>
      <c r="AG60" s="4" t="s">
        <v>361</v>
      </c>
      <c r="AH60" s="4" t="s">
        <v>538</v>
      </c>
      <c r="AK60" s="4" t="s">
        <v>128</v>
      </c>
      <c r="AL60" s="4" t="s">
        <v>346</v>
      </c>
      <c r="AM60" s="4" t="s">
        <v>30</v>
      </c>
      <c r="AP60" s="4" t="s">
        <v>114</v>
      </c>
      <c r="AQ60" s="4" t="s">
        <v>441</v>
      </c>
      <c r="AR60" s="4" t="s">
        <v>651</v>
      </c>
      <c r="AZ60" s="4" t="s">
        <v>112</v>
      </c>
      <c r="BA60" s="4" t="s">
        <v>345</v>
      </c>
      <c r="BB60" s="4" t="s">
        <v>740</v>
      </c>
      <c r="BE60" s="4" t="s">
        <v>125</v>
      </c>
      <c r="BF60" s="4" t="s">
        <v>441</v>
      </c>
      <c r="BG60" s="4" t="s">
        <v>654</v>
      </c>
      <c r="BJ60" s="4" t="s">
        <v>128</v>
      </c>
      <c r="BK60" s="4" t="s">
        <v>441</v>
      </c>
      <c r="BL60" s="4" t="s">
        <v>745</v>
      </c>
      <c r="BT60" s="4" t="s">
        <v>144</v>
      </c>
      <c r="BU60" s="4" t="s">
        <v>898</v>
      </c>
      <c r="BV60" s="4" t="s">
        <v>904</v>
      </c>
      <c r="BY60" s="4" t="s">
        <v>146</v>
      </c>
      <c r="BZ60" s="4" t="s">
        <v>441</v>
      </c>
      <c r="CA60" s="4" t="s">
        <v>664</v>
      </c>
      <c r="CD60" s="4" t="s">
        <v>128</v>
      </c>
      <c r="CE60" s="4" t="s">
        <v>360</v>
      </c>
      <c r="CF60" s="4" t="s">
        <v>30</v>
      </c>
      <c r="CX60" s="4" t="s">
        <v>156</v>
      </c>
      <c r="CY60" s="4" t="s">
        <v>1189</v>
      </c>
      <c r="CZ60" s="4" t="s">
        <v>1190</v>
      </c>
      <c r="DC60" s="4" t="s">
        <v>136</v>
      </c>
      <c r="DD60" s="4" t="s">
        <v>441</v>
      </c>
      <c r="DE60" s="4" t="s">
        <v>1281</v>
      </c>
      <c r="DH60" s="4" t="s">
        <v>130</v>
      </c>
      <c r="DI60" s="4" t="s">
        <v>441</v>
      </c>
      <c r="DJ60" s="4" t="s">
        <v>657</v>
      </c>
      <c r="DM60" s="4" t="s">
        <v>132</v>
      </c>
      <c r="DN60" s="4" t="s">
        <v>441</v>
      </c>
      <c r="DO60" s="4" t="s">
        <v>658</v>
      </c>
      <c r="DR60" s="4" t="s">
        <v>140</v>
      </c>
      <c r="DS60" s="4" t="s">
        <v>361</v>
      </c>
      <c r="DT60" s="4" t="s">
        <v>1452</v>
      </c>
    </row>
    <row r="61" spans="2:124">
      <c r="B61" s="4" t="s">
        <v>130</v>
      </c>
      <c r="C61" s="4" t="s">
        <v>35</v>
      </c>
      <c r="D61" s="4" t="s">
        <v>131</v>
      </c>
      <c r="G61" s="4" t="s">
        <v>130</v>
      </c>
      <c r="H61" s="4" t="s">
        <v>290</v>
      </c>
      <c r="I61" s="4" t="s">
        <v>131</v>
      </c>
      <c r="L61" s="4" t="s">
        <v>114</v>
      </c>
      <c r="M61" s="4" t="s">
        <v>29</v>
      </c>
      <c r="N61" s="4" t="s">
        <v>115</v>
      </c>
      <c r="Q61" s="4" t="s">
        <v>114</v>
      </c>
      <c r="R61" s="4" t="s">
        <v>288</v>
      </c>
      <c r="S61" s="4" t="s">
        <v>115</v>
      </c>
      <c r="V61" s="4" t="s">
        <v>144</v>
      </c>
      <c r="W61" s="4" t="s">
        <v>420</v>
      </c>
      <c r="X61" s="4" t="s">
        <v>145</v>
      </c>
      <c r="AA61" s="4" t="s">
        <v>114</v>
      </c>
      <c r="AB61" s="4" t="s">
        <v>345</v>
      </c>
      <c r="AC61" s="4" t="s">
        <v>30</v>
      </c>
      <c r="AF61" s="4" t="s">
        <v>142</v>
      </c>
      <c r="AG61" s="4" t="s">
        <v>539</v>
      </c>
      <c r="AH61" s="4" t="s">
        <v>540</v>
      </c>
      <c r="AK61" s="4" t="s">
        <v>130</v>
      </c>
      <c r="AL61" s="4" t="s">
        <v>346</v>
      </c>
      <c r="AM61" s="4" t="s">
        <v>30</v>
      </c>
      <c r="AP61" s="4" t="s">
        <v>116</v>
      </c>
      <c r="AQ61" s="4" t="s">
        <v>441</v>
      </c>
      <c r="AR61" s="4" t="s">
        <v>652</v>
      </c>
      <c r="AZ61" s="4" t="s">
        <v>114</v>
      </c>
      <c r="BA61" s="4" t="s">
        <v>345</v>
      </c>
      <c r="BB61" s="4" t="s">
        <v>741</v>
      </c>
      <c r="BE61" s="4" t="s">
        <v>126</v>
      </c>
      <c r="BF61" s="4" t="s">
        <v>441</v>
      </c>
      <c r="BG61" s="4" t="s">
        <v>655</v>
      </c>
      <c r="BJ61" s="4" t="s">
        <v>130</v>
      </c>
      <c r="BK61" s="4" t="s">
        <v>441</v>
      </c>
      <c r="BL61" s="4" t="s">
        <v>746</v>
      </c>
      <c r="BT61" s="4" t="s">
        <v>146</v>
      </c>
      <c r="BU61" s="4" t="s">
        <v>361</v>
      </c>
      <c r="BV61" s="4" t="s">
        <v>905</v>
      </c>
      <c r="BY61" s="4" t="s">
        <v>148</v>
      </c>
      <c r="BZ61" s="4" t="s">
        <v>441</v>
      </c>
      <c r="CA61" s="4" t="s">
        <v>665</v>
      </c>
      <c r="CD61" s="4" t="s">
        <v>130</v>
      </c>
      <c r="CE61" s="4" t="s">
        <v>298</v>
      </c>
      <c r="CF61" s="4" t="s">
        <v>982</v>
      </c>
      <c r="CX61" s="4" t="s">
        <v>160</v>
      </c>
      <c r="CY61" s="4" t="s">
        <v>1191</v>
      </c>
      <c r="CZ61" s="4" t="s">
        <v>1192</v>
      </c>
      <c r="DC61" s="4" t="s">
        <v>138</v>
      </c>
      <c r="DD61" s="4" t="s">
        <v>441</v>
      </c>
      <c r="DE61" s="4" t="s">
        <v>1281</v>
      </c>
      <c r="DH61" s="4" t="s">
        <v>132</v>
      </c>
      <c r="DI61" s="4" t="s">
        <v>360</v>
      </c>
      <c r="DJ61" s="4" t="s">
        <v>1349</v>
      </c>
      <c r="DM61" s="4" t="s">
        <v>134</v>
      </c>
      <c r="DN61" s="4" t="s">
        <v>441</v>
      </c>
      <c r="DO61" s="4" t="s">
        <v>659</v>
      </c>
      <c r="DR61" s="4" t="s">
        <v>142</v>
      </c>
      <c r="DS61" s="4" t="s">
        <v>573</v>
      </c>
      <c r="DT61" s="4" t="s">
        <v>1453</v>
      </c>
    </row>
    <row r="62" spans="2:124">
      <c r="B62" s="4" t="s">
        <v>132</v>
      </c>
      <c r="C62" s="4" t="s">
        <v>35</v>
      </c>
      <c r="D62" s="4" t="s">
        <v>133</v>
      </c>
      <c r="G62" s="4" t="s">
        <v>132</v>
      </c>
      <c r="H62" s="4" t="s">
        <v>290</v>
      </c>
      <c r="I62" s="4" t="s">
        <v>133</v>
      </c>
      <c r="L62" s="4" t="s">
        <v>116</v>
      </c>
      <c r="M62" s="4" t="s">
        <v>55</v>
      </c>
      <c r="N62" s="4" t="s">
        <v>117</v>
      </c>
      <c r="Q62" s="4" t="s">
        <v>116</v>
      </c>
      <c r="R62" s="4" t="s">
        <v>293</v>
      </c>
      <c r="S62" s="4" t="s">
        <v>117</v>
      </c>
      <c r="V62" s="4" t="s">
        <v>146</v>
      </c>
      <c r="W62" s="4" t="s">
        <v>359</v>
      </c>
      <c r="X62" s="4" t="s">
        <v>421</v>
      </c>
      <c r="AA62" s="4" t="s">
        <v>116</v>
      </c>
      <c r="AB62" s="4" t="s">
        <v>345</v>
      </c>
      <c r="AC62" s="4" t="s">
        <v>30</v>
      </c>
      <c r="AF62" s="4" t="s">
        <v>144</v>
      </c>
      <c r="AG62" s="4" t="s">
        <v>24</v>
      </c>
      <c r="AH62" s="4" t="s">
        <v>541</v>
      </c>
      <c r="AK62" s="4" t="s">
        <v>132</v>
      </c>
      <c r="AL62" s="4" t="s">
        <v>346</v>
      </c>
      <c r="AM62" s="4" t="s">
        <v>30</v>
      </c>
      <c r="AP62" s="4" t="s">
        <v>118</v>
      </c>
      <c r="AQ62" s="4" t="s">
        <v>298</v>
      </c>
      <c r="AR62" s="4" t="s">
        <v>653</v>
      </c>
      <c r="AZ62" s="4" t="s">
        <v>116</v>
      </c>
      <c r="BA62" s="4" t="s">
        <v>345</v>
      </c>
      <c r="BB62" s="4" t="s">
        <v>742</v>
      </c>
      <c r="BE62" s="4" t="s">
        <v>128</v>
      </c>
      <c r="BF62" s="4" t="s">
        <v>441</v>
      </c>
      <c r="BG62" s="4" t="s">
        <v>656</v>
      </c>
      <c r="BJ62" s="4" t="s">
        <v>132</v>
      </c>
      <c r="BK62" s="4" t="s">
        <v>441</v>
      </c>
      <c r="BL62" s="4" t="s">
        <v>747</v>
      </c>
      <c r="BT62" s="4" t="s">
        <v>148</v>
      </c>
      <c r="BU62" s="4" t="s">
        <v>377</v>
      </c>
      <c r="BV62" s="4" t="s">
        <v>906</v>
      </c>
      <c r="BY62" s="4" t="s">
        <v>150</v>
      </c>
      <c r="BZ62" s="4" t="s">
        <v>441</v>
      </c>
      <c r="CA62" s="4" t="s">
        <v>785</v>
      </c>
      <c r="CD62" s="4" t="s">
        <v>132</v>
      </c>
      <c r="CE62" s="4" t="s">
        <v>444</v>
      </c>
      <c r="CF62" s="4" t="s">
        <v>983</v>
      </c>
      <c r="CX62" s="4" t="s">
        <v>164</v>
      </c>
      <c r="CY62" s="4" t="s">
        <v>1193</v>
      </c>
      <c r="CZ62" s="4" t="s">
        <v>1194</v>
      </c>
      <c r="DC62" s="4" t="s">
        <v>140</v>
      </c>
      <c r="DD62" s="4" t="s">
        <v>441</v>
      </c>
      <c r="DE62" s="4" t="s">
        <v>1281</v>
      </c>
      <c r="DH62" s="4" t="s">
        <v>134</v>
      </c>
      <c r="DI62" s="4" t="s">
        <v>360</v>
      </c>
      <c r="DJ62" s="4" t="s">
        <v>1350</v>
      </c>
      <c r="DM62" s="4" t="s">
        <v>136</v>
      </c>
      <c r="DN62" s="4" t="s">
        <v>345</v>
      </c>
      <c r="DO62" s="4" t="s">
        <v>660</v>
      </c>
      <c r="DR62" s="4" t="s">
        <v>144</v>
      </c>
      <c r="DS62" s="4" t="s">
        <v>24</v>
      </c>
      <c r="DT62" s="4" t="s">
        <v>1454</v>
      </c>
    </row>
    <row r="63" spans="2:124">
      <c r="B63" s="4" t="s">
        <v>134</v>
      </c>
      <c r="C63" s="4" t="s">
        <v>55</v>
      </c>
      <c r="D63" s="4" t="s">
        <v>135</v>
      </c>
      <c r="G63" s="4" t="s">
        <v>134</v>
      </c>
      <c r="H63" s="4" t="s">
        <v>293</v>
      </c>
      <c r="I63" s="4" t="s">
        <v>135</v>
      </c>
      <c r="L63" s="4" t="s">
        <v>118</v>
      </c>
      <c r="M63" s="4" t="s">
        <v>119</v>
      </c>
      <c r="N63" s="4" t="s">
        <v>120</v>
      </c>
      <c r="Q63" s="4" t="s">
        <v>118</v>
      </c>
      <c r="R63" s="4" t="s">
        <v>299</v>
      </c>
      <c r="S63" s="4" t="s">
        <v>120</v>
      </c>
      <c r="V63" s="4" t="s">
        <v>148</v>
      </c>
      <c r="W63" s="4" t="s">
        <v>292</v>
      </c>
      <c r="X63" s="4" t="s">
        <v>149</v>
      </c>
      <c r="AA63" s="4" t="s">
        <v>118</v>
      </c>
      <c r="AB63" s="4" t="s">
        <v>450</v>
      </c>
      <c r="AC63" s="4" t="s">
        <v>451</v>
      </c>
      <c r="AF63" s="4" t="s">
        <v>146</v>
      </c>
      <c r="AG63" s="4" t="s">
        <v>485</v>
      </c>
      <c r="AH63" s="4" t="s">
        <v>542</v>
      </c>
      <c r="AK63" s="4" t="s">
        <v>134</v>
      </c>
      <c r="AL63" s="4" t="s">
        <v>346</v>
      </c>
      <c r="AM63" s="4" t="s">
        <v>30</v>
      </c>
      <c r="AP63" s="4" t="s">
        <v>121</v>
      </c>
      <c r="AQ63" s="4" t="s">
        <v>441</v>
      </c>
      <c r="AR63" s="4" t="s">
        <v>654</v>
      </c>
      <c r="AZ63" s="4" t="s">
        <v>118</v>
      </c>
      <c r="BA63" s="4" t="s">
        <v>444</v>
      </c>
      <c r="BB63" s="4" t="s">
        <v>653</v>
      </c>
      <c r="BE63" s="4" t="s">
        <v>130</v>
      </c>
      <c r="BF63" s="4" t="s">
        <v>441</v>
      </c>
      <c r="BG63" s="4" t="s">
        <v>657</v>
      </c>
      <c r="BJ63" s="4" t="s">
        <v>134</v>
      </c>
      <c r="BK63" s="4" t="s">
        <v>441</v>
      </c>
      <c r="BL63" s="4" t="s">
        <v>748</v>
      </c>
      <c r="BT63" s="4" t="s">
        <v>150</v>
      </c>
      <c r="BU63" s="4" t="s">
        <v>356</v>
      </c>
      <c r="BV63" s="4" t="s">
        <v>907</v>
      </c>
      <c r="BY63" s="4" t="s">
        <v>152</v>
      </c>
      <c r="BZ63" s="4" t="s">
        <v>441</v>
      </c>
      <c r="CA63" s="4" t="s">
        <v>667</v>
      </c>
      <c r="CD63" s="4" t="s">
        <v>134</v>
      </c>
      <c r="CE63" s="4" t="s">
        <v>444</v>
      </c>
      <c r="CF63" s="4" t="s">
        <v>972</v>
      </c>
      <c r="CX63" s="4" t="s">
        <v>166</v>
      </c>
      <c r="CY63" s="4" t="s">
        <v>1195</v>
      </c>
      <c r="CZ63" s="4" t="s">
        <v>1196</v>
      </c>
      <c r="DC63" s="4" t="s">
        <v>142</v>
      </c>
      <c r="DD63" s="4" t="s">
        <v>441</v>
      </c>
      <c r="DE63" s="4" t="s">
        <v>1281</v>
      </c>
      <c r="DH63" s="4" t="s">
        <v>136</v>
      </c>
      <c r="DI63" s="4" t="s">
        <v>345</v>
      </c>
      <c r="DJ63" s="4" t="s">
        <v>660</v>
      </c>
      <c r="DM63" s="4" t="s">
        <v>138</v>
      </c>
      <c r="DN63" s="4" t="s">
        <v>441</v>
      </c>
      <c r="DO63" s="4" t="s">
        <v>661</v>
      </c>
      <c r="DR63" s="4" t="s">
        <v>146</v>
      </c>
      <c r="DS63" s="4" t="s">
        <v>1271</v>
      </c>
      <c r="DT63" s="4" t="s">
        <v>1455</v>
      </c>
    </row>
    <row r="64" spans="2:124">
      <c r="B64" s="4" t="s">
        <v>136</v>
      </c>
      <c r="C64" s="4" t="s">
        <v>24</v>
      </c>
      <c r="D64" s="4" t="s">
        <v>137</v>
      </c>
      <c r="G64" s="4" t="s">
        <v>136</v>
      </c>
      <c r="H64" s="4" t="s">
        <v>286</v>
      </c>
      <c r="I64" s="4" t="s">
        <v>137</v>
      </c>
      <c r="L64" s="4" t="s">
        <v>121</v>
      </c>
      <c r="M64" s="4" t="s">
        <v>32</v>
      </c>
      <c r="N64" s="4" t="s">
        <v>311</v>
      </c>
      <c r="Q64" s="4" t="s">
        <v>121</v>
      </c>
      <c r="R64" s="4" t="s">
        <v>289</v>
      </c>
      <c r="S64" s="4" t="s">
        <v>311</v>
      </c>
      <c r="V64" s="4" t="s">
        <v>150</v>
      </c>
      <c r="W64" s="4" t="s">
        <v>422</v>
      </c>
      <c r="X64" s="4" t="s">
        <v>423</v>
      </c>
      <c r="AA64" s="4" t="s">
        <v>121</v>
      </c>
      <c r="AB64" s="4" t="s">
        <v>345</v>
      </c>
      <c r="AC64" s="4" t="s">
        <v>122</v>
      </c>
      <c r="AF64" s="4" t="s">
        <v>148</v>
      </c>
      <c r="AG64" s="4" t="s">
        <v>445</v>
      </c>
      <c r="AH64" s="4" t="s">
        <v>543</v>
      </c>
      <c r="AK64" s="4" t="s">
        <v>136</v>
      </c>
      <c r="AL64" s="4" t="s">
        <v>360</v>
      </c>
      <c r="AM64" s="4" t="s">
        <v>30</v>
      </c>
      <c r="AP64" s="4" t="s">
        <v>123</v>
      </c>
      <c r="AQ64" s="4" t="s">
        <v>441</v>
      </c>
      <c r="AR64" s="4" t="s">
        <v>654</v>
      </c>
      <c r="AZ64" s="4" t="s">
        <v>121</v>
      </c>
      <c r="BA64" s="4" t="s">
        <v>345</v>
      </c>
      <c r="BB64" s="4" t="s">
        <v>743</v>
      </c>
      <c r="BE64" s="4" t="s">
        <v>132</v>
      </c>
      <c r="BF64" s="4" t="s">
        <v>441</v>
      </c>
      <c r="BG64" s="4" t="s">
        <v>658</v>
      </c>
      <c r="BJ64" s="4" t="s">
        <v>136</v>
      </c>
      <c r="BK64" s="4" t="s">
        <v>441</v>
      </c>
      <c r="BL64" s="4" t="s">
        <v>797</v>
      </c>
      <c r="BT64" s="4" t="s">
        <v>152</v>
      </c>
      <c r="BU64" s="4" t="s">
        <v>614</v>
      </c>
      <c r="BV64" s="4" t="s">
        <v>908</v>
      </c>
      <c r="BY64" s="4" t="s">
        <v>154</v>
      </c>
      <c r="BZ64" s="4" t="s">
        <v>441</v>
      </c>
      <c r="CA64" s="4" t="s">
        <v>668</v>
      </c>
      <c r="CD64" s="4" t="s">
        <v>136</v>
      </c>
      <c r="CE64" s="4" t="s">
        <v>450</v>
      </c>
      <c r="CF64" s="4" t="s">
        <v>984</v>
      </c>
      <c r="CX64" s="4" t="s">
        <v>168</v>
      </c>
      <c r="CY64" s="4" t="s">
        <v>1197</v>
      </c>
      <c r="CZ64" s="4" t="s">
        <v>1198</v>
      </c>
      <c r="DC64" s="4" t="s">
        <v>144</v>
      </c>
      <c r="DD64" s="4" t="s">
        <v>441</v>
      </c>
      <c r="DE64" s="4" t="s">
        <v>1281</v>
      </c>
      <c r="DH64" s="4" t="s">
        <v>138</v>
      </c>
      <c r="DI64" s="4" t="s">
        <v>441</v>
      </c>
      <c r="DJ64" s="4" t="s">
        <v>661</v>
      </c>
      <c r="DM64" s="4" t="s">
        <v>140</v>
      </c>
      <c r="DN64" s="4" t="s">
        <v>441</v>
      </c>
      <c r="DO64" s="4" t="s">
        <v>662</v>
      </c>
      <c r="DR64" s="4" t="s">
        <v>148</v>
      </c>
      <c r="DS64" s="4" t="s">
        <v>445</v>
      </c>
      <c r="DT64" s="4" t="s">
        <v>1456</v>
      </c>
    </row>
    <row r="65" spans="2:124">
      <c r="B65" s="4" t="s">
        <v>138</v>
      </c>
      <c r="C65" s="4" t="s">
        <v>35</v>
      </c>
      <c r="D65" s="4" t="s">
        <v>139</v>
      </c>
      <c r="G65" s="4" t="s">
        <v>138</v>
      </c>
      <c r="H65" s="4" t="s">
        <v>290</v>
      </c>
      <c r="I65" s="4" t="s">
        <v>139</v>
      </c>
      <c r="L65" s="4" t="s">
        <v>123</v>
      </c>
      <c r="M65" s="4" t="s">
        <v>32</v>
      </c>
      <c r="N65" s="4" t="s">
        <v>311</v>
      </c>
      <c r="Q65" s="4" t="s">
        <v>123</v>
      </c>
      <c r="R65" s="4" t="s">
        <v>289</v>
      </c>
      <c r="S65" s="4" t="s">
        <v>311</v>
      </c>
      <c r="V65" s="4" t="s">
        <v>152</v>
      </c>
      <c r="W65" s="4" t="s">
        <v>424</v>
      </c>
      <c r="X65" s="4" t="s">
        <v>425</v>
      </c>
      <c r="AA65" s="4" t="s">
        <v>123</v>
      </c>
      <c r="AB65" s="4" t="s">
        <v>345</v>
      </c>
      <c r="AC65" s="4" t="s">
        <v>122</v>
      </c>
      <c r="AF65" s="4" t="s">
        <v>150</v>
      </c>
      <c r="AG65" s="4" t="s">
        <v>544</v>
      </c>
      <c r="AH65" s="4" t="s">
        <v>545</v>
      </c>
      <c r="AK65" s="4" t="s">
        <v>138</v>
      </c>
      <c r="AL65" s="4" t="s">
        <v>346</v>
      </c>
      <c r="AM65" s="4" t="s">
        <v>30</v>
      </c>
      <c r="AP65" s="4" t="s">
        <v>124</v>
      </c>
      <c r="AQ65" s="4" t="s">
        <v>441</v>
      </c>
      <c r="AR65" s="4" t="s">
        <v>654</v>
      </c>
      <c r="AZ65" s="4" t="s">
        <v>123</v>
      </c>
      <c r="BA65" s="4" t="s">
        <v>345</v>
      </c>
      <c r="BB65" s="4" t="s">
        <v>743</v>
      </c>
      <c r="BE65" s="4" t="s">
        <v>134</v>
      </c>
      <c r="BF65" s="4" t="s">
        <v>345</v>
      </c>
      <c r="BG65" s="4" t="s">
        <v>784</v>
      </c>
      <c r="BJ65" s="4" t="s">
        <v>138</v>
      </c>
      <c r="BK65" s="4" t="s">
        <v>441</v>
      </c>
      <c r="BL65" s="4" t="s">
        <v>749</v>
      </c>
      <c r="BT65" s="4" t="s">
        <v>154</v>
      </c>
      <c r="BU65" s="4" t="s">
        <v>444</v>
      </c>
      <c r="BV65" s="4" t="s">
        <v>909</v>
      </c>
      <c r="BY65" s="4" t="s">
        <v>156</v>
      </c>
      <c r="BZ65" s="4" t="s">
        <v>441</v>
      </c>
      <c r="CA65" s="4" t="s">
        <v>669</v>
      </c>
      <c r="CD65" s="4" t="s">
        <v>138</v>
      </c>
      <c r="CE65" s="4" t="s">
        <v>444</v>
      </c>
      <c r="CF65" s="4" t="s">
        <v>985</v>
      </c>
      <c r="CX65" s="4" t="s">
        <v>170</v>
      </c>
      <c r="CY65" s="4" t="s">
        <v>1199</v>
      </c>
      <c r="CZ65" s="4" t="s">
        <v>1200</v>
      </c>
      <c r="DC65" s="4" t="s">
        <v>146</v>
      </c>
      <c r="DD65" s="4" t="s">
        <v>441</v>
      </c>
      <c r="DE65" s="4" t="s">
        <v>1281</v>
      </c>
      <c r="DH65" s="4" t="s">
        <v>140</v>
      </c>
      <c r="DI65" s="4" t="s">
        <v>441</v>
      </c>
      <c r="DJ65" s="4" t="s">
        <v>662</v>
      </c>
      <c r="DM65" s="4" t="s">
        <v>142</v>
      </c>
      <c r="DN65" s="4" t="s">
        <v>441</v>
      </c>
      <c r="DO65" s="4" t="s">
        <v>640</v>
      </c>
      <c r="DR65" s="4" t="s">
        <v>150</v>
      </c>
      <c r="DS65" s="4" t="s">
        <v>1078</v>
      </c>
      <c r="DT65" s="4" t="s">
        <v>1457</v>
      </c>
    </row>
    <row r="66" spans="2:124">
      <c r="B66" s="4" t="s">
        <v>140</v>
      </c>
      <c r="C66" s="4" t="s">
        <v>29</v>
      </c>
      <c r="D66" s="4" t="s">
        <v>141</v>
      </c>
      <c r="G66" s="4" t="s">
        <v>140</v>
      </c>
      <c r="H66" s="4" t="s">
        <v>288</v>
      </c>
      <c r="I66" s="4" t="s">
        <v>141</v>
      </c>
      <c r="L66" s="4" t="s">
        <v>124</v>
      </c>
      <c r="M66" s="4" t="s">
        <v>32</v>
      </c>
      <c r="N66" s="4" t="s">
        <v>311</v>
      </c>
      <c r="Q66" s="4" t="s">
        <v>124</v>
      </c>
      <c r="R66" s="4" t="s">
        <v>289</v>
      </c>
      <c r="S66" s="4" t="s">
        <v>311</v>
      </c>
      <c r="V66" s="4" t="s">
        <v>154</v>
      </c>
      <c r="W66" s="4" t="s">
        <v>293</v>
      </c>
      <c r="X66" s="4" t="s">
        <v>155</v>
      </c>
      <c r="AA66" s="4" t="s">
        <v>124</v>
      </c>
      <c r="AB66" s="4" t="s">
        <v>345</v>
      </c>
      <c r="AC66" s="4" t="s">
        <v>122</v>
      </c>
      <c r="AF66" s="4" t="s">
        <v>152</v>
      </c>
      <c r="AG66" s="4" t="s">
        <v>424</v>
      </c>
      <c r="AH66" s="4" t="s">
        <v>546</v>
      </c>
      <c r="AK66" s="4" t="s">
        <v>140</v>
      </c>
      <c r="AL66" s="4" t="s">
        <v>346</v>
      </c>
      <c r="AM66" s="4" t="s">
        <v>30</v>
      </c>
      <c r="AP66" s="4" t="s">
        <v>125</v>
      </c>
      <c r="AQ66" s="4" t="s">
        <v>441</v>
      </c>
      <c r="AR66" s="4" t="s">
        <v>654</v>
      </c>
      <c r="AZ66" s="4" t="s">
        <v>124</v>
      </c>
      <c r="BA66" s="4" t="s">
        <v>345</v>
      </c>
      <c r="BB66" s="4" t="s">
        <v>743</v>
      </c>
      <c r="BE66" s="4" t="s">
        <v>136</v>
      </c>
      <c r="BF66" s="4" t="s">
        <v>345</v>
      </c>
      <c r="BG66" s="4" t="s">
        <v>660</v>
      </c>
      <c r="BJ66" s="4" t="s">
        <v>140</v>
      </c>
      <c r="BK66" s="4" t="s">
        <v>441</v>
      </c>
      <c r="BL66" s="4" t="s">
        <v>750</v>
      </c>
      <c r="BT66" s="4" t="s">
        <v>156</v>
      </c>
      <c r="BU66" s="4" t="s">
        <v>345</v>
      </c>
      <c r="BV66" s="4" t="s">
        <v>910</v>
      </c>
      <c r="BY66" s="4" t="s">
        <v>157</v>
      </c>
      <c r="BZ66" s="4" t="s">
        <v>441</v>
      </c>
      <c r="CA66" s="4" t="s">
        <v>670</v>
      </c>
      <c r="CD66" s="4" t="s">
        <v>140</v>
      </c>
      <c r="CE66" s="4" t="s">
        <v>446</v>
      </c>
      <c r="CF66" s="4" t="s">
        <v>30</v>
      </c>
      <c r="CX66" s="4" t="s">
        <v>172</v>
      </c>
      <c r="CY66" s="4" t="s">
        <v>1201</v>
      </c>
      <c r="CZ66" s="4" t="s">
        <v>1202</v>
      </c>
      <c r="DC66" s="4" t="s">
        <v>148</v>
      </c>
      <c r="DD66" s="4" t="s">
        <v>441</v>
      </c>
      <c r="DE66" s="4" t="s">
        <v>1281</v>
      </c>
      <c r="DH66" s="4" t="s">
        <v>142</v>
      </c>
      <c r="DI66" s="4" t="s">
        <v>360</v>
      </c>
      <c r="DJ66" s="4" t="s">
        <v>1351</v>
      </c>
      <c r="DM66" s="4" t="s">
        <v>144</v>
      </c>
      <c r="DN66" s="4" t="s">
        <v>441</v>
      </c>
      <c r="DO66" s="4" t="s">
        <v>663</v>
      </c>
      <c r="DR66" s="4" t="s">
        <v>152</v>
      </c>
      <c r="DS66" s="4" t="s">
        <v>293</v>
      </c>
      <c r="DT66" s="4" t="s">
        <v>1458</v>
      </c>
    </row>
    <row r="67" spans="2:124">
      <c r="B67" s="4" t="s">
        <v>142</v>
      </c>
      <c r="C67" s="4" t="s">
        <v>55</v>
      </c>
      <c r="D67" s="4" t="s">
        <v>143</v>
      </c>
      <c r="G67" s="4" t="s">
        <v>142</v>
      </c>
      <c r="H67" s="4" t="s">
        <v>293</v>
      </c>
      <c r="I67" s="4" t="s">
        <v>143</v>
      </c>
      <c r="L67" s="4" t="s">
        <v>125</v>
      </c>
      <c r="M67" s="4" t="s">
        <v>32</v>
      </c>
      <c r="N67" s="4" t="s">
        <v>311</v>
      </c>
      <c r="Q67" s="4" t="s">
        <v>125</v>
      </c>
      <c r="R67" s="4" t="s">
        <v>289</v>
      </c>
      <c r="S67" s="4" t="s">
        <v>311</v>
      </c>
      <c r="V67" s="4" t="s">
        <v>156</v>
      </c>
      <c r="W67" s="4" t="s">
        <v>345</v>
      </c>
      <c r="X67" s="4" t="s">
        <v>30</v>
      </c>
      <c r="AA67" s="4" t="s">
        <v>125</v>
      </c>
      <c r="AB67" s="4" t="s">
        <v>345</v>
      </c>
      <c r="AC67" s="4" t="s">
        <v>122</v>
      </c>
      <c r="AF67" s="4" t="s">
        <v>154</v>
      </c>
      <c r="AG67" s="4" t="s">
        <v>350</v>
      </c>
      <c r="AH67" s="4" t="s">
        <v>547</v>
      </c>
      <c r="AK67" s="4" t="s">
        <v>142</v>
      </c>
      <c r="AL67" s="4" t="s">
        <v>346</v>
      </c>
      <c r="AM67" s="4" t="s">
        <v>30</v>
      </c>
      <c r="AP67" s="4" t="s">
        <v>126</v>
      </c>
      <c r="AQ67" s="4" t="s">
        <v>441</v>
      </c>
      <c r="AR67" s="4" t="s">
        <v>655</v>
      </c>
      <c r="AZ67" s="4" t="s">
        <v>125</v>
      </c>
      <c r="BA67" s="4" t="s">
        <v>345</v>
      </c>
      <c r="BB67" s="4" t="s">
        <v>743</v>
      </c>
      <c r="BE67" s="4" t="s">
        <v>138</v>
      </c>
      <c r="BF67" s="4" t="s">
        <v>441</v>
      </c>
      <c r="BG67" s="4" t="s">
        <v>661</v>
      </c>
      <c r="BJ67" s="4" t="s">
        <v>142</v>
      </c>
      <c r="BK67" s="4" t="s">
        <v>441</v>
      </c>
      <c r="BL67" s="4" t="s">
        <v>751</v>
      </c>
      <c r="BT67" s="4" t="s">
        <v>157</v>
      </c>
      <c r="BU67" s="4" t="s">
        <v>345</v>
      </c>
      <c r="BV67" s="4" t="s">
        <v>911</v>
      </c>
      <c r="BY67" s="4" t="s">
        <v>160</v>
      </c>
      <c r="BZ67" s="4" t="s">
        <v>441</v>
      </c>
      <c r="CA67" s="4" t="s">
        <v>671</v>
      </c>
      <c r="CD67" s="4" t="s">
        <v>142</v>
      </c>
      <c r="CE67" s="4" t="s">
        <v>298</v>
      </c>
      <c r="CF67" s="4" t="s">
        <v>986</v>
      </c>
      <c r="CX67" s="4" t="s">
        <v>174</v>
      </c>
      <c r="CY67" s="4" t="s">
        <v>1203</v>
      </c>
      <c r="CZ67" s="4" t="s">
        <v>1204</v>
      </c>
      <c r="DC67" s="4" t="s">
        <v>150</v>
      </c>
      <c r="DD67" s="4" t="s">
        <v>441</v>
      </c>
      <c r="DE67" s="4" t="s">
        <v>1281</v>
      </c>
      <c r="DH67" s="4" t="s">
        <v>144</v>
      </c>
      <c r="DI67" s="4" t="s">
        <v>360</v>
      </c>
      <c r="DJ67" s="4" t="s">
        <v>1352</v>
      </c>
      <c r="DM67" s="4" t="s">
        <v>146</v>
      </c>
      <c r="DN67" s="4" t="s">
        <v>441</v>
      </c>
      <c r="DO67" s="4" t="s">
        <v>664</v>
      </c>
      <c r="DR67" s="4" t="s">
        <v>154</v>
      </c>
      <c r="DS67" s="4" t="s">
        <v>350</v>
      </c>
      <c r="DT67" s="4" t="s">
        <v>1459</v>
      </c>
    </row>
    <row r="68" spans="2:124">
      <c r="B68" s="4" t="s">
        <v>144</v>
      </c>
      <c r="C68" s="4" t="s">
        <v>45</v>
      </c>
      <c r="D68" s="4" t="s">
        <v>145</v>
      </c>
      <c r="G68" s="4" t="s">
        <v>144</v>
      </c>
      <c r="H68" s="4" t="s">
        <v>292</v>
      </c>
      <c r="I68" s="4" t="s">
        <v>145</v>
      </c>
      <c r="L68" s="4" t="s">
        <v>126</v>
      </c>
      <c r="M68" s="4" t="s">
        <v>29</v>
      </c>
      <c r="N68" s="4" t="s">
        <v>127</v>
      </c>
      <c r="Q68" s="4" t="s">
        <v>126</v>
      </c>
      <c r="R68" s="4" t="s">
        <v>288</v>
      </c>
      <c r="S68" s="4" t="s">
        <v>127</v>
      </c>
      <c r="V68" s="4" t="s">
        <v>157</v>
      </c>
      <c r="W68" s="4" t="s">
        <v>345</v>
      </c>
      <c r="X68" s="4" t="s">
        <v>426</v>
      </c>
      <c r="AA68" s="4" t="s">
        <v>126</v>
      </c>
      <c r="AB68" s="4" t="s">
        <v>345</v>
      </c>
      <c r="AC68" s="4" t="s">
        <v>30</v>
      </c>
      <c r="AF68" s="4" t="s">
        <v>156</v>
      </c>
      <c r="AG68" s="4" t="s">
        <v>345</v>
      </c>
      <c r="AH68" s="4" t="s">
        <v>30</v>
      </c>
      <c r="AK68" s="4" t="s">
        <v>144</v>
      </c>
      <c r="AL68" s="4" t="s">
        <v>346</v>
      </c>
      <c r="AM68" s="4" t="s">
        <v>30</v>
      </c>
      <c r="AP68" s="4" t="s">
        <v>128</v>
      </c>
      <c r="AQ68" s="4" t="s">
        <v>441</v>
      </c>
      <c r="AR68" s="4" t="s">
        <v>656</v>
      </c>
      <c r="AZ68" s="4" t="s">
        <v>126</v>
      </c>
      <c r="BA68" s="4" t="s">
        <v>345</v>
      </c>
      <c r="BB68" s="4" t="s">
        <v>744</v>
      </c>
      <c r="BE68" s="4" t="s">
        <v>140</v>
      </c>
      <c r="BF68" s="4" t="s">
        <v>441</v>
      </c>
      <c r="BG68" s="4" t="s">
        <v>662</v>
      </c>
      <c r="BJ68" s="4" t="s">
        <v>144</v>
      </c>
      <c r="BK68" s="4" t="s">
        <v>441</v>
      </c>
      <c r="BL68" s="4" t="s">
        <v>752</v>
      </c>
      <c r="BT68" s="4" t="s">
        <v>160</v>
      </c>
      <c r="BU68" s="4" t="s">
        <v>104</v>
      </c>
      <c r="BV68" s="4" t="s">
        <v>912</v>
      </c>
      <c r="BY68" s="4" t="s">
        <v>162</v>
      </c>
      <c r="BZ68" s="4" t="s">
        <v>441</v>
      </c>
      <c r="CA68" s="4" t="s">
        <v>672</v>
      </c>
      <c r="CD68" s="4" t="s">
        <v>144</v>
      </c>
      <c r="CE68" s="4" t="s">
        <v>298</v>
      </c>
      <c r="CF68" s="4" t="s">
        <v>980</v>
      </c>
      <c r="CX68" s="4" t="s">
        <v>176</v>
      </c>
      <c r="CY68" s="4" t="s">
        <v>1205</v>
      </c>
      <c r="CZ68" s="4" t="s">
        <v>1206</v>
      </c>
      <c r="DC68" s="4" t="s">
        <v>152</v>
      </c>
      <c r="DD68" s="4" t="s">
        <v>441</v>
      </c>
      <c r="DE68" s="4" t="s">
        <v>1281</v>
      </c>
      <c r="DH68" s="4" t="s">
        <v>146</v>
      </c>
      <c r="DI68" s="4" t="s">
        <v>360</v>
      </c>
      <c r="DJ68" s="4" t="s">
        <v>1353</v>
      </c>
      <c r="DM68" s="4" t="s">
        <v>148</v>
      </c>
      <c r="DN68" s="4" t="s">
        <v>441</v>
      </c>
      <c r="DO68" s="4" t="s">
        <v>665</v>
      </c>
      <c r="DR68" s="4" t="s">
        <v>156</v>
      </c>
      <c r="DS68" s="4" t="s">
        <v>345</v>
      </c>
      <c r="DT68" s="4" t="s">
        <v>1460</v>
      </c>
    </row>
    <row r="69" spans="2:124">
      <c r="B69" s="4" t="s">
        <v>146</v>
      </c>
      <c r="C69" s="4" t="s">
        <v>45</v>
      </c>
      <c r="D69" s="4" t="s">
        <v>147</v>
      </c>
      <c r="G69" s="4" t="s">
        <v>146</v>
      </c>
      <c r="H69" s="4" t="s">
        <v>292</v>
      </c>
      <c r="I69" s="4" t="s">
        <v>147</v>
      </c>
      <c r="L69" s="4" t="s">
        <v>128</v>
      </c>
      <c r="M69" s="4" t="s">
        <v>35</v>
      </c>
      <c r="N69" s="4" t="s">
        <v>129</v>
      </c>
      <c r="Q69" s="4" t="s">
        <v>128</v>
      </c>
      <c r="R69" s="4" t="s">
        <v>290</v>
      </c>
      <c r="S69" s="4" t="s">
        <v>129</v>
      </c>
      <c r="V69" s="4" t="s">
        <v>160</v>
      </c>
      <c r="W69" s="4" t="s">
        <v>296</v>
      </c>
      <c r="X69" s="4" t="s">
        <v>427</v>
      </c>
      <c r="AA69" s="4" t="s">
        <v>128</v>
      </c>
      <c r="AB69" s="4" t="s">
        <v>345</v>
      </c>
      <c r="AC69" s="4" t="s">
        <v>30</v>
      </c>
      <c r="AF69" s="4" t="s">
        <v>157</v>
      </c>
      <c r="AG69" s="4" t="s">
        <v>350</v>
      </c>
      <c r="AH69" s="4" t="s">
        <v>548</v>
      </c>
      <c r="AK69" s="4" t="s">
        <v>146</v>
      </c>
      <c r="AL69" s="4" t="s">
        <v>346</v>
      </c>
      <c r="AM69" s="4" t="s">
        <v>30</v>
      </c>
      <c r="AP69" s="4" t="s">
        <v>130</v>
      </c>
      <c r="AQ69" s="4" t="s">
        <v>441</v>
      </c>
      <c r="AR69" s="4" t="s">
        <v>657</v>
      </c>
      <c r="AZ69" s="4" t="s">
        <v>128</v>
      </c>
      <c r="BA69" s="4" t="s">
        <v>345</v>
      </c>
      <c r="BB69" s="4" t="s">
        <v>745</v>
      </c>
      <c r="BE69" s="4" t="s">
        <v>142</v>
      </c>
      <c r="BF69" s="4" t="s">
        <v>441</v>
      </c>
      <c r="BG69" s="4" t="s">
        <v>640</v>
      </c>
      <c r="BJ69" s="4" t="s">
        <v>146</v>
      </c>
      <c r="BK69" s="4" t="s">
        <v>441</v>
      </c>
      <c r="BL69" s="4" t="s">
        <v>753</v>
      </c>
      <c r="BT69" s="4" t="s">
        <v>164</v>
      </c>
      <c r="BU69" s="4" t="s">
        <v>497</v>
      </c>
      <c r="BV69" s="4" t="s">
        <v>913</v>
      </c>
      <c r="BY69" s="4" t="s">
        <v>164</v>
      </c>
      <c r="BZ69" s="4" t="s">
        <v>360</v>
      </c>
      <c r="CA69" s="4" t="s">
        <v>673</v>
      </c>
      <c r="CD69" s="4" t="s">
        <v>146</v>
      </c>
      <c r="CE69" s="4" t="s">
        <v>298</v>
      </c>
      <c r="CF69" s="4" t="s">
        <v>987</v>
      </c>
      <c r="CX69" s="4" t="s">
        <v>178</v>
      </c>
      <c r="CY69" s="4" t="s">
        <v>1207</v>
      </c>
      <c r="CZ69" s="4" t="s">
        <v>1208</v>
      </c>
      <c r="DC69" s="4" t="s">
        <v>154</v>
      </c>
      <c r="DD69" s="4" t="s">
        <v>441</v>
      </c>
      <c r="DE69" s="4" t="s">
        <v>1281</v>
      </c>
      <c r="DH69" s="4" t="s">
        <v>148</v>
      </c>
      <c r="DI69" s="4" t="s">
        <v>441</v>
      </c>
      <c r="DJ69" s="4" t="s">
        <v>665</v>
      </c>
      <c r="DM69" s="4" t="s">
        <v>150</v>
      </c>
      <c r="DN69" s="4" t="s">
        <v>441</v>
      </c>
      <c r="DO69" s="4" t="s">
        <v>785</v>
      </c>
      <c r="DR69" s="4" t="s">
        <v>157</v>
      </c>
      <c r="DS69" s="4" t="s">
        <v>350</v>
      </c>
      <c r="DT69" s="4" t="s">
        <v>1461</v>
      </c>
    </row>
    <row r="70" spans="2:124">
      <c r="B70" s="4" t="s">
        <v>148</v>
      </c>
      <c r="C70" s="4" t="s">
        <v>55</v>
      </c>
      <c r="D70" s="4" t="s">
        <v>149</v>
      </c>
      <c r="G70" s="4" t="s">
        <v>148</v>
      </c>
      <c r="H70" s="4" t="s">
        <v>293</v>
      </c>
      <c r="I70" s="4" t="s">
        <v>149</v>
      </c>
      <c r="L70" s="4" t="s">
        <v>130</v>
      </c>
      <c r="M70" s="4" t="s">
        <v>35</v>
      </c>
      <c r="N70" s="4" t="s">
        <v>131</v>
      </c>
      <c r="Q70" s="4" t="s">
        <v>130</v>
      </c>
      <c r="R70" s="4" t="s">
        <v>290</v>
      </c>
      <c r="S70" s="4" t="s">
        <v>131</v>
      </c>
      <c r="V70" s="4" t="s">
        <v>164</v>
      </c>
      <c r="W70" s="4" t="s">
        <v>428</v>
      </c>
      <c r="X70" s="4" t="s">
        <v>429</v>
      </c>
      <c r="AA70" s="4" t="s">
        <v>130</v>
      </c>
      <c r="AB70" s="4" t="s">
        <v>345</v>
      </c>
      <c r="AC70" s="4" t="s">
        <v>30</v>
      </c>
      <c r="AF70" s="4" t="s">
        <v>160</v>
      </c>
      <c r="AG70" s="4" t="s">
        <v>445</v>
      </c>
      <c r="AH70" s="4" t="s">
        <v>549</v>
      </c>
      <c r="AK70" s="4" t="s">
        <v>148</v>
      </c>
      <c r="AL70" s="4" t="s">
        <v>346</v>
      </c>
      <c r="AM70" s="4" t="s">
        <v>30</v>
      </c>
      <c r="AP70" s="4" t="s">
        <v>132</v>
      </c>
      <c r="AQ70" s="4" t="s">
        <v>441</v>
      </c>
      <c r="AR70" s="4" t="s">
        <v>658</v>
      </c>
      <c r="AZ70" s="4" t="s">
        <v>130</v>
      </c>
      <c r="BA70" s="4" t="s">
        <v>345</v>
      </c>
      <c r="BB70" s="4" t="s">
        <v>746</v>
      </c>
      <c r="BE70" s="4" t="s">
        <v>144</v>
      </c>
      <c r="BF70" s="4" t="s">
        <v>441</v>
      </c>
      <c r="BG70" s="4" t="s">
        <v>663</v>
      </c>
      <c r="BJ70" s="4" t="s">
        <v>148</v>
      </c>
      <c r="BK70" s="4" t="s">
        <v>441</v>
      </c>
      <c r="BL70" s="4" t="s">
        <v>754</v>
      </c>
      <c r="BT70" s="4" t="s">
        <v>166</v>
      </c>
      <c r="BU70" s="4" t="s">
        <v>521</v>
      </c>
      <c r="BV70" s="4" t="s">
        <v>914</v>
      </c>
      <c r="BY70" s="4" t="s">
        <v>166</v>
      </c>
      <c r="BZ70" s="4" t="s">
        <v>441</v>
      </c>
      <c r="CA70" s="4" t="s">
        <v>674</v>
      </c>
      <c r="CD70" s="4" t="s">
        <v>148</v>
      </c>
      <c r="CE70" s="4" t="s">
        <v>446</v>
      </c>
      <c r="CF70" s="4" t="s">
        <v>988</v>
      </c>
      <c r="CX70" s="4" t="s">
        <v>182</v>
      </c>
      <c r="CY70" s="4" t="s">
        <v>1209</v>
      </c>
      <c r="CZ70" s="4" t="s">
        <v>1210</v>
      </c>
      <c r="DC70" s="4" t="s">
        <v>156</v>
      </c>
      <c r="DD70" s="4" t="s">
        <v>441</v>
      </c>
      <c r="DE70" s="4" t="s">
        <v>1281</v>
      </c>
      <c r="DH70" s="4" t="s">
        <v>150</v>
      </c>
      <c r="DI70" s="4" t="s">
        <v>345</v>
      </c>
      <c r="DJ70" s="4" t="s">
        <v>1354</v>
      </c>
      <c r="DM70" s="4" t="s">
        <v>152</v>
      </c>
      <c r="DN70" s="4" t="s">
        <v>441</v>
      </c>
      <c r="DO70" s="4" t="s">
        <v>667</v>
      </c>
      <c r="DR70" s="4" t="s">
        <v>160</v>
      </c>
      <c r="DS70" s="4" t="s">
        <v>445</v>
      </c>
      <c r="DT70" s="4" t="s">
        <v>1462</v>
      </c>
    </row>
    <row r="71" spans="2:124">
      <c r="B71" s="4" t="s">
        <v>150</v>
      </c>
      <c r="C71" s="4" t="s">
        <v>35</v>
      </c>
      <c r="D71" s="4" t="s">
        <v>151</v>
      </c>
      <c r="G71" s="4" t="s">
        <v>150</v>
      </c>
      <c r="H71" s="4" t="s">
        <v>290</v>
      </c>
      <c r="I71" s="4" t="s">
        <v>151</v>
      </c>
      <c r="L71" s="4" t="s">
        <v>132</v>
      </c>
      <c r="M71" s="4" t="s">
        <v>35</v>
      </c>
      <c r="N71" s="4" t="s">
        <v>133</v>
      </c>
      <c r="Q71" s="4" t="s">
        <v>132</v>
      </c>
      <c r="R71" s="4" t="s">
        <v>290</v>
      </c>
      <c r="S71" s="4" t="s">
        <v>133</v>
      </c>
      <c r="V71" s="4" t="s">
        <v>166</v>
      </c>
      <c r="W71" s="4" t="s">
        <v>430</v>
      </c>
      <c r="X71" s="4" t="s">
        <v>431</v>
      </c>
      <c r="AA71" s="4" t="s">
        <v>132</v>
      </c>
      <c r="AB71" s="4" t="s">
        <v>345</v>
      </c>
      <c r="AC71" s="4" t="s">
        <v>30</v>
      </c>
      <c r="AF71" s="4" t="s">
        <v>164</v>
      </c>
      <c r="AG71" s="4" t="s">
        <v>550</v>
      </c>
      <c r="AH71" s="4" t="s">
        <v>551</v>
      </c>
      <c r="AK71" s="4" t="s">
        <v>150</v>
      </c>
      <c r="AL71" s="4" t="s">
        <v>346</v>
      </c>
      <c r="AM71" s="4" t="s">
        <v>30</v>
      </c>
      <c r="AP71" s="4" t="s">
        <v>134</v>
      </c>
      <c r="AQ71" s="4" t="s">
        <v>441</v>
      </c>
      <c r="AR71" s="4" t="s">
        <v>659</v>
      </c>
      <c r="AZ71" s="4" t="s">
        <v>132</v>
      </c>
      <c r="BA71" s="4" t="s">
        <v>345</v>
      </c>
      <c r="BB71" s="4" t="s">
        <v>747</v>
      </c>
      <c r="BE71" s="4" t="s">
        <v>146</v>
      </c>
      <c r="BF71" s="4" t="s">
        <v>441</v>
      </c>
      <c r="BG71" s="4" t="s">
        <v>664</v>
      </c>
      <c r="BJ71" s="4" t="s">
        <v>150</v>
      </c>
      <c r="BK71" s="4" t="s">
        <v>441</v>
      </c>
      <c r="BL71" s="4" t="s">
        <v>755</v>
      </c>
      <c r="BT71" s="4" t="s">
        <v>168</v>
      </c>
      <c r="BU71" s="4" t="s">
        <v>593</v>
      </c>
      <c r="BV71" s="4" t="s">
        <v>915</v>
      </c>
      <c r="BY71" s="4" t="s">
        <v>168</v>
      </c>
      <c r="BZ71" s="4" t="s">
        <v>441</v>
      </c>
      <c r="CA71" s="4" t="s">
        <v>787</v>
      </c>
      <c r="CD71" s="4" t="s">
        <v>150</v>
      </c>
      <c r="CE71" s="4" t="s">
        <v>298</v>
      </c>
      <c r="CF71" s="4" t="s">
        <v>989</v>
      </c>
      <c r="CX71" s="4" t="s">
        <v>184</v>
      </c>
      <c r="CY71" s="4" t="s">
        <v>1211</v>
      </c>
      <c r="CZ71" s="4" t="s">
        <v>1212</v>
      </c>
      <c r="DC71" s="4" t="s">
        <v>157</v>
      </c>
      <c r="DD71" s="4" t="s">
        <v>441</v>
      </c>
      <c r="DE71" s="4" t="s">
        <v>1281</v>
      </c>
      <c r="DH71" s="4" t="s">
        <v>152</v>
      </c>
      <c r="DI71" s="4" t="s">
        <v>441</v>
      </c>
      <c r="DJ71" s="4" t="s">
        <v>667</v>
      </c>
      <c r="DM71" s="4" t="s">
        <v>154</v>
      </c>
      <c r="DN71" s="4" t="s">
        <v>441</v>
      </c>
      <c r="DO71" s="4" t="s">
        <v>668</v>
      </c>
      <c r="DR71" s="4" t="s">
        <v>164</v>
      </c>
      <c r="DS71" s="4" t="s">
        <v>1463</v>
      </c>
      <c r="DT71" s="4" t="s">
        <v>1464</v>
      </c>
    </row>
    <row r="72" spans="2:124">
      <c r="B72" s="4" t="s">
        <v>152</v>
      </c>
      <c r="C72" s="4" t="s">
        <v>55</v>
      </c>
      <c r="D72" s="4" t="s">
        <v>153</v>
      </c>
      <c r="G72" s="4" t="s">
        <v>152</v>
      </c>
      <c r="H72" s="4" t="s">
        <v>293</v>
      </c>
      <c r="I72" s="4" t="s">
        <v>153</v>
      </c>
      <c r="L72" s="4" t="s">
        <v>134</v>
      </c>
      <c r="M72" s="4" t="s">
        <v>55</v>
      </c>
      <c r="N72" s="4" t="s">
        <v>135</v>
      </c>
      <c r="Q72" s="4" t="s">
        <v>134</v>
      </c>
      <c r="R72" s="4" t="s">
        <v>293</v>
      </c>
      <c r="S72" s="4" t="s">
        <v>135</v>
      </c>
      <c r="V72" s="4" t="s">
        <v>168</v>
      </c>
      <c r="W72" s="4" t="s">
        <v>432</v>
      </c>
      <c r="X72" s="4" t="s">
        <v>433</v>
      </c>
      <c r="AA72" s="4" t="s">
        <v>134</v>
      </c>
      <c r="AB72" s="4" t="s">
        <v>345</v>
      </c>
      <c r="AC72" s="4" t="s">
        <v>30</v>
      </c>
      <c r="AF72" s="4" t="s">
        <v>166</v>
      </c>
      <c r="AG72" s="4" t="s">
        <v>286</v>
      </c>
      <c r="AH72" s="4" t="s">
        <v>552</v>
      </c>
      <c r="AK72" s="4" t="s">
        <v>152</v>
      </c>
      <c r="AL72" s="4" t="s">
        <v>346</v>
      </c>
      <c r="AM72" s="4" t="s">
        <v>30</v>
      </c>
      <c r="AP72" s="4" t="s">
        <v>136</v>
      </c>
      <c r="AQ72" s="4" t="s">
        <v>345</v>
      </c>
      <c r="AR72" s="4" t="s">
        <v>660</v>
      </c>
      <c r="AZ72" s="4" t="s">
        <v>134</v>
      </c>
      <c r="BA72" s="4" t="s">
        <v>345</v>
      </c>
      <c r="BB72" s="4" t="s">
        <v>748</v>
      </c>
      <c r="BE72" s="4" t="s">
        <v>148</v>
      </c>
      <c r="BF72" s="4" t="s">
        <v>441</v>
      </c>
      <c r="BG72" s="4" t="s">
        <v>665</v>
      </c>
      <c r="BJ72" s="4" t="s">
        <v>152</v>
      </c>
      <c r="BK72" s="4" t="s">
        <v>441</v>
      </c>
      <c r="BL72" s="4" t="s">
        <v>756</v>
      </c>
      <c r="BT72" s="4" t="s">
        <v>170</v>
      </c>
      <c r="BU72" s="4" t="s">
        <v>555</v>
      </c>
      <c r="BV72" s="4" t="s">
        <v>916</v>
      </c>
      <c r="BY72" s="4" t="s">
        <v>170</v>
      </c>
      <c r="BZ72" s="4" t="s">
        <v>345</v>
      </c>
      <c r="CA72" s="4" t="s">
        <v>676</v>
      </c>
      <c r="CD72" s="4" t="s">
        <v>152</v>
      </c>
      <c r="CE72" s="4" t="s">
        <v>360</v>
      </c>
      <c r="CF72" s="4" t="s">
        <v>981</v>
      </c>
      <c r="CX72" s="4" t="s">
        <v>188</v>
      </c>
      <c r="CY72" s="4" t="s">
        <v>1213</v>
      </c>
      <c r="CZ72" s="4" t="s">
        <v>1214</v>
      </c>
      <c r="DC72" s="4" t="s">
        <v>159</v>
      </c>
      <c r="DD72" s="4" t="s">
        <v>441</v>
      </c>
      <c r="DE72" s="4" t="s">
        <v>1281</v>
      </c>
      <c r="DH72" s="4" t="s">
        <v>154</v>
      </c>
      <c r="DI72" s="4" t="s">
        <v>441</v>
      </c>
      <c r="DJ72" s="4" t="s">
        <v>668</v>
      </c>
      <c r="DM72" s="4" t="s">
        <v>156</v>
      </c>
      <c r="DN72" s="4" t="s">
        <v>441</v>
      </c>
      <c r="DO72" s="4" t="s">
        <v>669</v>
      </c>
      <c r="DR72" s="4" t="s">
        <v>166</v>
      </c>
      <c r="DS72" s="4" t="s">
        <v>286</v>
      </c>
      <c r="DT72" s="4" t="s">
        <v>1465</v>
      </c>
    </row>
    <row r="73" spans="2:124">
      <c r="B73" s="4" t="s">
        <v>154</v>
      </c>
      <c r="C73" s="4" t="s">
        <v>55</v>
      </c>
      <c r="D73" s="4" t="s">
        <v>155</v>
      </c>
      <c r="G73" s="4" t="s">
        <v>154</v>
      </c>
      <c r="H73" s="4" t="s">
        <v>293</v>
      </c>
      <c r="I73" s="4" t="s">
        <v>155</v>
      </c>
      <c r="L73" s="4" t="s">
        <v>136</v>
      </c>
      <c r="M73" s="4" t="s">
        <v>24</v>
      </c>
      <c r="N73" s="4" t="s">
        <v>137</v>
      </c>
      <c r="Q73" s="4" t="s">
        <v>136</v>
      </c>
      <c r="R73" s="4" t="s">
        <v>286</v>
      </c>
      <c r="S73" s="4" t="s">
        <v>137</v>
      </c>
      <c r="V73" s="4" t="s">
        <v>170</v>
      </c>
      <c r="W73" s="4" t="s">
        <v>434</v>
      </c>
      <c r="X73" s="4" t="s">
        <v>435</v>
      </c>
      <c r="AA73" s="4" t="s">
        <v>136</v>
      </c>
      <c r="AB73" s="4" t="s">
        <v>346</v>
      </c>
      <c r="AC73" s="4" t="s">
        <v>30</v>
      </c>
      <c r="AF73" s="4" t="s">
        <v>168</v>
      </c>
      <c r="AG73" s="4" t="s">
        <v>77</v>
      </c>
      <c r="AH73" s="4" t="s">
        <v>553</v>
      </c>
      <c r="AK73" s="4" t="s">
        <v>154</v>
      </c>
      <c r="AL73" s="4" t="s">
        <v>346</v>
      </c>
      <c r="AM73" s="4" t="s">
        <v>30</v>
      </c>
      <c r="AP73" s="4" t="s">
        <v>138</v>
      </c>
      <c r="AQ73" s="4" t="s">
        <v>441</v>
      </c>
      <c r="AR73" s="4" t="s">
        <v>661</v>
      </c>
      <c r="AZ73" s="4" t="s">
        <v>136</v>
      </c>
      <c r="BA73" s="4" t="s">
        <v>346</v>
      </c>
      <c r="BB73" s="4" t="s">
        <v>660</v>
      </c>
      <c r="BE73" s="4" t="s">
        <v>150</v>
      </c>
      <c r="BF73" s="4" t="s">
        <v>441</v>
      </c>
      <c r="BG73" s="4" t="s">
        <v>785</v>
      </c>
      <c r="BJ73" s="4" t="s">
        <v>154</v>
      </c>
      <c r="BK73" s="4" t="s">
        <v>441</v>
      </c>
      <c r="BL73" s="4" t="s">
        <v>757</v>
      </c>
      <c r="BT73" s="4" t="s">
        <v>172</v>
      </c>
      <c r="BU73" s="4" t="s">
        <v>603</v>
      </c>
      <c r="BV73" s="4" t="s">
        <v>917</v>
      </c>
      <c r="BY73" s="4" t="s">
        <v>172</v>
      </c>
      <c r="BZ73" s="4" t="s">
        <v>441</v>
      </c>
      <c r="CA73" s="4" t="s">
        <v>677</v>
      </c>
      <c r="CD73" s="4" t="s">
        <v>154</v>
      </c>
      <c r="CE73" s="4" t="s">
        <v>434</v>
      </c>
      <c r="CF73" s="4" t="s">
        <v>990</v>
      </c>
      <c r="CX73" s="4" t="s">
        <v>190</v>
      </c>
      <c r="CY73" s="4" t="s">
        <v>1215</v>
      </c>
      <c r="CZ73" s="4" t="s">
        <v>1216</v>
      </c>
      <c r="DC73" s="4" t="s">
        <v>160</v>
      </c>
      <c r="DD73" s="4" t="s">
        <v>441</v>
      </c>
      <c r="DE73" s="4" t="s">
        <v>1281</v>
      </c>
      <c r="DH73" s="4" t="s">
        <v>156</v>
      </c>
      <c r="DI73" s="4" t="s">
        <v>360</v>
      </c>
      <c r="DJ73" s="4" t="s">
        <v>1355</v>
      </c>
      <c r="DM73" s="4" t="s">
        <v>157</v>
      </c>
      <c r="DN73" s="4" t="s">
        <v>441</v>
      </c>
      <c r="DO73" s="4" t="s">
        <v>670</v>
      </c>
      <c r="DR73" s="4" t="s">
        <v>168</v>
      </c>
      <c r="DS73" s="4" t="s">
        <v>77</v>
      </c>
      <c r="DT73" s="4" t="s">
        <v>1466</v>
      </c>
    </row>
    <row r="74" spans="2:124">
      <c r="B74" s="4" t="s">
        <v>156</v>
      </c>
      <c r="C74" s="4" t="s">
        <v>32</v>
      </c>
      <c r="D74" s="4" t="s">
        <v>30</v>
      </c>
      <c r="G74" s="4" t="s">
        <v>156</v>
      </c>
      <c r="H74" s="4" t="s">
        <v>289</v>
      </c>
      <c r="I74" s="4" t="s">
        <v>30</v>
      </c>
      <c r="L74" s="4" t="s">
        <v>138</v>
      </c>
      <c r="M74" s="4" t="s">
        <v>35</v>
      </c>
      <c r="N74" s="4" t="s">
        <v>139</v>
      </c>
      <c r="Q74" s="4" t="s">
        <v>138</v>
      </c>
      <c r="R74" s="4" t="s">
        <v>290</v>
      </c>
      <c r="S74" s="4" t="s">
        <v>139</v>
      </c>
      <c r="V74" s="4" t="s">
        <v>172</v>
      </c>
      <c r="W74" s="4" t="s">
        <v>436</v>
      </c>
      <c r="X74" s="4" t="s">
        <v>437</v>
      </c>
      <c r="AA74" s="4" t="s">
        <v>138</v>
      </c>
      <c r="AB74" s="4" t="s">
        <v>345</v>
      </c>
      <c r="AC74" s="4" t="s">
        <v>30</v>
      </c>
      <c r="AF74" s="4" t="s">
        <v>170</v>
      </c>
      <c r="AG74" s="4" t="s">
        <v>513</v>
      </c>
      <c r="AH74" s="4" t="s">
        <v>554</v>
      </c>
      <c r="AK74" s="4" t="s">
        <v>156</v>
      </c>
      <c r="AL74" s="4" t="s">
        <v>346</v>
      </c>
      <c r="AM74" s="4" t="s">
        <v>30</v>
      </c>
      <c r="AP74" s="4" t="s">
        <v>140</v>
      </c>
      <c r="AQ74" s="4" t="s">
        <v>441</v>
      </c>
      <c r="AR74" s="4" t="s">
        <v>662</v>
      </c>
      <c r="AZ74" s="4" t="s">
        <v>138</v>
      </c>
      <c r="BA74" s="4" t="s">
        <v>345</v>
      </c>
      <c r="BB74" s="4" t="s">
        <v>749</v>
      </c>
      <c r="BE74" s="4" t="s">
        <v>152</v>
      </c>
      <c r="BF74" s="4" t="s">
        <v>441</v>
      </c>
      <c r="BG74" s="4" t="s">
        <v>667</v>
      </c>
      <c r="BJ74" s="4" t="s">
        <v>156</v>
      </c>
      <c r="BK74" s="4" t="s">
        <v>441</v>
      </c>
      <c r="BL74" s="4" t="s">
        <v>758</v>
      </c>
      <c r="BT74" s="4" t="s">
        <v>174</v>
      </c>
      <c r="BU74" s="4" t="s">
        <v>350</v>
      </c>
      <c r="BV74" s="4" t="s">
        <v>918</v>
      </c>
      <c r="BY74" s="4" t="s">
        <v>174</v>
      </c>
      <c r="BZ74" s="4" t="s">
        <v>441</v>
      </c>
      <c r="CA74" s="4" t="s">
        <v>678</v>
      </c>
      <c r="CD74" s="4" t="s">
        <v>156</v>
      </c>
      <c r="CE74" s="4" t="s">
        <v>298</v>
      </c>
      <c r="CF74" s="4" t="s">
        <v>991</v>
      </c>
      <c r="CX74" s="4" t="s">
        <v>196</v>
      </c>
      <c r="CY74" s="4" t="s">
        <v>1217</v>
      </c>
      <c r="CZ74" s="4" t="s">
        <v>1218</v>
      </c>
      <c r="DC74" s="4" t="s">
        <v>162</v>
      </c>
      <c r="DD74" s="4" t="s">
        <v>441</v>
      </c>
      <c r="DE74" s="4" t="s">
        <v>1281</v>
      </c>
      <c r="DH74" s="4" t="s">
        <v>157</v>
      </c>
      <c r="DI74" s="4" t="s">
        <v>441</v>
      </c>
      <c r="DJ74" s="4" t="s">
        <v>670</v>
      </c>
      <c r="DM74" s="4" t="s">
        <v>160</v>
      </c>
      <c r="DN74" s="4" t="s">
        <v>346</v>
      </c>
      <c r="DO74" s="4" t="s">
        <v>1387</v>
      </c>
      <c r="DR74" s="4" t="s">
        <v>170</v>
      </c>
      <c r="DS74" s="4" t="s">
        <v>513</v>
      </c>
      <c r="DT74" s="4" t="s">
        <v>1467</v>
      </c>
    </row>
    <row r="75" spans="2:124">
      <c r="B75" s="4" t="s">
        <v>157</v>
      </c>
      <c r="C75" s="4" t="s">
        <v>55</v>
      </c>
      <c r="D75" s="4" t="s">
        <v>158</v>
      </c>
      <c r="G75" s="4" t="s">
        <v>157</v>
      </c>
      <c r="H75" s="4" t="s">
        <v>293</v>
      </c>
      <c r="I75" s="4" t="s">
        <v>158</v>
      </c>
      <c r="L75" s="4" t="s">
        <v>140</v>
      </c>
      <c r="M75" s="4" t="s">
        <v>29</v>
      </c>
      <c r="N75" s="4" t="s">
        <v>141</v>
      </c>
      <c r="Q75" s="4" t="s">
        <v>140</v>
      </c>
      <c r="R75" s="4" t="s">
        <v>288</v>
      </c>
      <c r="S75" s="4" t="s">
        <v>141</v>
      </c>
      <c r="V75" s="4" t="s">
        <v>174</v>
      </c>
      <c r="W75" s="4" t="s">
        <v>438</v>
      </c>
      <c r="X75" s="4" t="s">
        <v>439</v>
      </c>
      <c r="AA75" s="4" t="s">
        <v>140</v>
      </c>
      <c r="AB75" s="4" t="s">
        <v>345</v>
      </c>
      <c r="AC75" s="4" t="s">
        <v>30</v>
      </c>
      <c r="AF75" s="4" t="s">
        <v>172</v>
      </c>
      <c r="AG75" s="4" t="s">
        <v>555</v>
      </c>
      <c r="AH75" s="4" t="s">
        <v>556</v>
      </c>
      <c r="AK75" s="4" t="s">
        <v>157</v>
      </c>
      <c r="AL75" s="4" t="s">
        <v>346</v>
      </c>
      <c r="AM75" s="4" t="s">
        <v>30</v>
      </c>
      <c r="AP75" s="4" t="s">
        <v>142</v>
      </c>
      <c r="AQ75" s="4" t="s">
        <v>441</v>
      </c>
      <c r="AR75" s="4" t="s">
        <v>640</v>
      </c>
      <c r="AZ75" s="4" t="s">
        <v>140</v>
      </c>
      <c r="BA75" s="4" t="s">
        <v>345</v>
      </c>
      <c r="BB75" s="4" t="s">
        <v>750</v>
      </c>
      <c r="BE75" s="4" t="s">
        <v>154</v>
      </c>
      <c r="BF75" s="4" t="s">
        <v>441</v>
      </c>
      <c r="BG75" s="4" t="s">
        <v>668</v>
      </c>
      <c r="BJ75" s="4" t="s">
        <v>157</v>
      </c>
      <c r="BK75" s="4" t="s">
        <v>441</v>
      </c>
      <c r="BL75" s="4" t="s">
        <v>759</v>
      </c>
      <c r="BT75" s="4" t="s">
        <v>176</v>
      </c>
      <c r="BU75" s="4" t="s">
        <v>444</v>
      </c>
      <c r="BV75" s="4" t="s">
        <v>919</v>
      </c>
      <c r="BY75" s="4" t="s">
        <v>176</v>
      </c>
      <c r="BZ75" s="4" t="s">
        <v>345</v>
      </c>
      <c r="CA75" s="4" t="s">
        <v>679</v>
      </c>
      <c r="CD75" s="4" t="s">
        <v>157</v>
      </c>
      <c r="CE75" s="4" t="s">
        <v>345</v>
      </c>
      <c r="CF75" s="4" t="s">
        <v>992</v>
      </c>
      <c r="CX75" s="4" t="s">
        <v>198</v>
      </c>
      <c r="CY75" s="4" t="s">
        <v>1219</v>
      </c>
      <c r="CZ75" s="4" t="s">
        <v>1220</v>
      </c>
      <c r="DC75" s="4" t="s">
        <v>164</v>
      </c>
      <c r="DD75" s="4" t="s">
        <v>441</v>
      </c>
      <c r="DE75" s="4" t="s">
        <v>1281</v>
      </c>
      <c r="DH75" s="4" t="s">
        <v>160</v>
      </c>
      <c r="DI75" s="4" t="s">
        <v>446</v>
      </c>
      <c r="DJ75" s="4" t="s">
        <v>1356</v>
      </c>
      <c r="DM75" s="4" t="s">
        <v>162</v>
      </c>
      <c r="DN75" s="4" t="s">
        <v>441</v>
      </c>
      <c r="DO75" s="4" t="s">
        <v>672</v>
      </c>
      <c r="DR75" s="4" t="s">
        <v>172</v>
      </c>
      <c r="DS75" s="4" t="s">
        <v>555</v>
      </c>
      <c r="DT75" s="4" t="s">
        <v>1468</v>
      </c>
    </row>
    <row r="76" spans="2:124">
      <c r="B76" s="4" t="s">
        <v>159</v>
      </c>
      <c r="C76" s="4" t="s">
        <v>104</v>
      </c>
      <c r="D76" s="4" t="s">
        <v>30</v>
      </c>
      <c r="G76" s="4" t="s">
        <v>159</v>
      </c>
      <c r="H76" s="4" t="s">
        <v>298</v>
      </c>
      <c r="I76" s="4" t="s">
        <v>30</v>
      </c>
      <c r="L76" s="4" t="s">
        <v>142</v>
      </c>
      <c r="M76" s="4" t="s">
        <v>55</v>
      </c>
      <c r="N76" s="4" t="s">
        <v>143</v>
      </c>
      <c r="Q76" s="4" t="s">
        <v>142</v>
      </c>
      <c r="R76" s="4" t="s">
        <v>293</v>
      </c>
      <c r="S76" s="4" t="s">
        <v>143</v>
      </c>
      <c r="V76" s="4" t="s">
        <v>336</v>
      </c>
      <c r="W76" s="4" t="s">
        <v>104</v>
      </c>
      <c r="X76" s="4" t="s">
        <v>30</v>
      </c>
      <c r="AA76" s="4" t="s">
        <v>142</v>
      </c>
      <c r="AB76" s="4" t="s">
        <v>345</v>
      </c>
      <c r="AC76" s="4" t="s">
        <v>30</v>
      </c>
      <c r="AF76" s="4" t="s">
        <v>174</v>
      </c>
      <c r="AG76" s="4" t="s">
        <v>440</v>
      </c>
      <c r="AH76" s="4" t="s">
        <v>557</v>
      </c>
      <c r="AK76" s="4" t="s">
        <v>159</v>
      </c>
      <c r="AL76" s="4" t="s">
        <v>345</v>
      </c>
      <c r="AM76" s="4" t="s">
        <v>30</v>
      </c>
      <c r="AP76" s="4" t="s">
        <v>144</v>
      </c>
      <c r="AQ76" s="4" t="s">
        <v>441</v>
      </c>
      <c r="AR76" s="4" t="s">
        <v>663</v>
      </c>
      <c r="AZ76" s="4" t="s">
        <v>142</v>
      </c>
      <c r="BA76" s="4" t="s">
        <v>345</v>
      </c>
      <c r="BB76" s="4" t="s">
        <v>751</v>
      </c>
      <c r="BE76" s="4" t="s">
        <v>156</v>
      </c>
      <c r="BF76" s="4" t="s">
        <v>441</v>
      </c>
      <c r="BG76" s="4" t="s">
        <v>669</v>
      </c>
      <c r="BJ76" s="4" t="s">
        <v>159</v>
      </c>
      <c r="BK76" s="4" t="s">
        <v>441</v>
      </c>
      <c r="BL76" s="4" t="s">
        <v>760</v>
      </c>
      <c r="BT76" s="4" t="s">
        <v>178</v>
      </c>
      <c r="BU76" s="4" t="s">
        <v>360</v>
      </c>
      <c r="BV76" s="4" t="s">
        <v>920</v>
      </c>
      <c r="BY76" s="4" t="s">
        <v>178</v>
      </c>
      <c r="BZ76" s="4" t="s">
        <v>441</v>
      </c>
      <c r="CA76" s="4" t="s">
        <v>680</v>
      </c>
      <c r="CD76" s="4" t="s">
        <v>159</v>
      </c>
      <c r="CE76" s="4" t="s">
        <v>441</v>
      </c>
      <c r="CF76" s="4" t="s">
        <v>30</v>
      </c>
      <c r="CX76" s="4" t="s">
        <v>200</v>
      </c>
      <c r="CY76" s="4" t="s">
        <v>1221</v>
      </c>
      <c r="CZ76" s="4" t="s">
        <v>1222</v>
      </c>
      <c r="DC76" s="4" t="s">
        <v>166</v>
      </c>
      <c r="DD76" s="4" t="s">
        <v>441</v>
      </c>
      <c r="DE76" s="4" t="s">
        <v>1281</v>
      </c>
      <c r="DH76" s="4" t="s">
        <v>162</v>
      </c>
      <c r="DI76" s="4" t="s">
        <v>441</v>
      </c>
      <c r="DJ76" s="4" t="s">
        <v>672</v>
      </c>
      <c r="DM76" s="4" t="s">
        <v>164</v>
      </c>
      <c r="DN76" s="4" t="s">
        <v>346</v>
      </c>
      <c r="DO76" s="4" t="s">
        <v>673</v>
      </c>
      <c r="DR76" s="4" t="s">
        <v>174</v>
      </c>
      <c r="DS76" s="4" t="s">
        <v>881</v>
      </c>
      <c r="DT76" s="4" t="s">
        <v>1469</v>
      </c>
    </row>
    <row r="77" spans="2:124">
      <c r="B77" s="4" t="s">
        <v>160</v>
      </c>
      <c r="C77" s="4" t="s">
        <v>77</v>
      </c>
      <c r="D77" s="4" t="s">
        <v>161</v>
      </c>
      <c r="G77" s="4" t="s">
        <v>160</v>
      </c>
      <c r="H77" s="4" t="s">
        <v>295</v>
      </c>
      <c r="I77" s="4" t="s">
        <v>161</v>
      </c>
      <c r="L77" s="4" t="s">
        <v>144</v>
      </c>
      <c r="M77" s="4" t="s">
        <v>45</v>
      </c>
      <c r="N77" s="4" t="s">
        <v>145</v>
      </c>
      <c r="Q77" s="4" t="s">
        <v>144</v>
      </c>
      <c r="R77" s="4" t="s">
        <v>292</v>
      </c>
      <c r="S77" s="4" t="s">
        <v>145</v>
      </c>
      <c r="V77" s="4" t="s">
        <v>337</v>
      </c>
      <c r="W77" s="4" t="s">
        <v>440</v>
      </c>
      <c r="X77" s="4" t="s">
        <v>30</v>
      </c>
      <c r="AA77" s="4" t="s">
        <v>144</v>
      </c>
      <c r="AB77" s="4" t="s">
        <v>345</v>
      </c>
      <c r="AC77" s="4" t="s">
        <v>30</v>
      </c>
      <c r="AF77" s="4" t="s">
        <v>176</v>
      </c>
      <c r="AG77" s="4" t="s">
        <v>436</v>
      </c>
      <c r="AH77" s="4" t="s">
        <v>558</v>
      </c>
      <c r="AK77" s="4" t="s">
        <v>160</v>
      </c>
      <c r="AL77" s="4" t="s">
        <v>346</v>
      </c>
      <c r="AM77" s="4" t="s">
        <v>30</v>
      </c>
      <c r="AP77" s="4" t="s">
        <v>146</v>
      </c>
      <c r="AQ77" s="4" t="s">
        <v>441</v>
      </c>
      <c r="AR77" s="4" t="s">
        <v>664</v>
      </c>
      <c r="AZ77" s="4" t="s">
        <v>144</v>
      </c>
      <c r="BA77" s="4" t="s">
        <v>345</v>
      </c>
      <c r="BB77" s="4" t="s">
        <v>752</v>
      </c>
      <c r="BE77" s="4" t="s">
        <v>157</v>
      </c>
      <c r="BF77" s="4" t="s">
        <v>441</v>
      </c>
      <c r="BG77" s="4" t="s">
        <v>670</v>
      </c>
      <c r="BJ77" s="4" t="s">
        <v>160</v>
      </c>
      <c r="BK77" s="4" t="s">
        <v>441</v>
      </c>
      <c r="BL77" s="4" t="s">
        <v>761</v>
      </c>
      <c r="BT77" s="4" t="s">
        <v>182</v>
      </c>
      <c r="BU77" s="4" t="s">
        <v>397</v>
      </c>
      <c r="BV77" s="4" t="s">
        <v>921</v>
      </c>
      <c r="BY77" s="4" t="s">
        <v>180</v>
      </c>
      <c r="BZ77" s="4" t="s">
        <v>345</v>
      </c>
      <c r="CA77" s="4" t="s">
        <v>681</v>
      </c>
      <c r="CD77" s="4" t="s">
        <v>160</v>
      </c>
      <c r="CE77" s="4" t="s">
        <v>360</v>
      </c>
      <c r="CF77" s="4" t="s">
        <v>993</v>
      </c>
      <c r="CX77" s="4" t="s">
        <v>201</v>
      </c>
      <c r="CY77" s="4" t="s">
        <v>1223</v>
      </c>
      <c r="CZ77" s="4" t="s">
        <v>1224</v>
      </c>
      <c r="DC77" s="4" t="s">
        <v>168</v>
      </c>
      <c r="DD77" s="4" t="s">
        <v>441</v>
      </c>
      <c r="DE77" s="4" t="s">
        <v>1281</v>
      </c>
      <c r="DH77" s="4" t="s">
        <v>164</v>
      </c>
      <c r="DI77" s="4" t="s">
        <v>446</v>
      </c>
      <c r="DJ77" s="4" t="s">
        <v>1357</v>
      </c>
      <c r="DM77" s="4" t="s">
        <v>166</v>
      </c>
      <c r="DN77" s="4" t="s">
        <v>441</v>
      </c>
      <c r="DO77" s="4" t="s">
        <v>674</v>
      </c>
      <c r="DR77" s="4" t="s">
        <v>176</v>
      </c>
      <c r="DS77" s="4" t="s">
        <v>289</v>
      </c>
      <c r="DT77" s="4" t="s">
        <v>1470</v>
      </c>
    </row>
    <row r="78" spans="2:124">
      <c r="B78" s="4" t="s">
        <v>162</v>
      </c>
      <c r="C78" s="4" t="s">
        <v>32</v>
      </c>
      <c r="D78" s="4" t="s">
        <v>163</v>
      </c>
      <c r="G78" s="4" t="s">
        <v>162</v>
      </c>
      <c r="H78" s="4" t="s">
        <v>289</v>
      </c>
      <c r="I78" s="4" t="s">
        <v>163</v>
      </c>
      <c r="L78" s="4" t="s">
        <v>146</v>
      </c>
      <c r="M78" s="4" t="s">
        <v>45</v>
      </c>
      <c r="N78" s="4" t="s">
        <v>147</v>
      </c>
      <c r="Q78" s="4" t="s">
        <v>146</v>
      </c>
      <c r="R78" s="4" t="s">
        <v>292</v>
      </c>
      <c r="S78" s="4" t="s">
        <v>147</v>
      </c>
      <c r="V78" s="4" t="s">
        <v>338</v>
      </c>
      <c r="W78" s="4" t="s">
        <v>345</v>
      </c>
      <c r="X78" s="4" t="s">
        <v>30</v>
      </c>
      <c r="AA78" s="4" t="s">
        <v>146</v>
      </c>
      <c r="AB78" s="4" t="s">
        <v>345</v>
      </c>
      <c r="AC78" s="4" t="s">
        <v>30</v>
      </c>
      <c r="AF78" s="4" t="s">
        <v>178</v>
      </c>
      <c r="AG78" s="4" t="s">
        <v>450</v>
      </c>
      <c r="AH78" s="4" t="s">
        <v>559</v>
      </c>
      <c r="AK78" s="4" t="s">
        <v>162</v>
      </c>
      <c r="AL78" s="4" t="s">
        <v>346</v>
      </c>
      <c r="AM78" s="4" t="s">
        <v>615</v>
      </c>
      <c r="AP78" s="4" t="s">
        <v>148</v>
      </c>
      <c r="AQ78" s="4" t="s">
        <v>441</v>
      </c>
      <c r="AR78" s="4" t="s">
        <v>665</v>
      </c>
      <c r="AZ78" s="4" t="s">
        <v>146</v>
      </c>
      <c r="BA78" s="4" t="s">
        <v>345</v>
      </c>
      <c r="BB78" s="4" t="s">
        <v>753</v>
      </c>
      <c r="BE78" s="4" t="s">
        <v>160</v>
      </c>
      <c r="BF78" s="4" t="s">
        <v>345</v>
      </c>
      <c r="BG78" s="4" t="s">
        <v>786</v>
      </c>
      <c r="BJ78" s="4" t="s">
        <v>162</v>
      </c>
      <c r="BK78" s="4" t="s">
        <v>441</v>
      </c>
      <c r="BL78" s="4" t="s">
        <v>762</v>
      </c>
      <c r="BT78" s="4" t="s">
        <v>184</v>
      </c>
      <c r="BU78" s="4" t="s">
        <v>555</v>
      </c>
      <c r="BV78" s="4" t="s">
        <v>922</v>
      </c>
      <c r="BY78" s="4" t="s">
        <v>182</v>
      </c>
      <c r="BZ78" s="4" t="s">
        <v>441</v>
      </c>
      <c r="CA78" s="4" t="s">
        <v>682</v>
      </c>
      <c r="CD78" s="4" t="s">
        <v>162</v>
      </c>
      <c r="CE78" s="4" t="s">
        <v>441</v>
      </c>
      <c r="CF78" s="4" t="s">
        <v>163</v>
      </c>
      <c r="CX78" s="4" t="s">
        <v>203</v>
      </c>
      <c r="CY78" s="4" t="s">
        <v>1225</v>
      </c>
      <c r="CZ78" s="4" t="s">
        <v>1226</v>
      </c>
      <c r="DC78" s="4" t="s">
        <v>170</v>
      </c>
      <c r="DD78" s="4" t="s">
        <v>441</v>
      </c>
      <c r="DE78" s="4" t="s">
        <v>1281</v>
      </c>
      <c r="DH78" s="4" t="s">
        <v>166</v>
      </c>
      <c r="DI78" s="4" t="s">
        <v>441</v>
      </c>
      <c r="DJ78" s="4" t="s">
        <v>674</v>
      </c>
      <c r="DM78" s="4" t="s">
        <v>168</v>
      </c>
      <c r="DN78" s="4" t="s">
        <v>441</v>
      </c>
      <c r="DO78" s="4" t="s">
        <v>787</v>
      </c>
      <c r="DR78" s="4" t="s">
        <v>178</v>
      </c>
      <c r="DS78" s="4" t="s">
        <v>298</v>
      </c>
      <c r="DT78" s="4" t="s">
        <v>1471</v>
      </c>
    </row>
    <row r="79" spans="2:124">
      <c r="B79" s="4" t="s">
        <v>164</v>
      </c>
      <c r="C79" s="4" t="s">
        <v>24</v>
      </c>
      <c r="D79" s="4" t="s">
        <v>165</v>
      </c>
      <c r="G79" s="4" t="s">
        <v>164</v>
      </c>
      <c r="H79" s="4" t="s">
        <v>286</v>
      </c>
      <c r="I79" s="4" t="s">
        <v>165</v>
      </c>
      <c r="L79" s="4" t="s">
        <v>148</v>
      </c>
      <c r="M79" s="4" t="s">
        <v>55</v>
      </c>
      <c r="N79" s="4" t="s">
        <v>149</v>
      </c>
      <c r="Q79" s="4" t="s">
        <v>148</v>
      </c>
      <c r="R79" s="4" t="s">
        <v>293</v>
      </c>
      <c r="S79" s="4" t="s">
        <v>149</v>
      </c>
      <c r="AA79" s="4" t="s">
        <v>148</v>
      </c>
      <c r="AB79" s="4" t="s">
        <v>345</v>
      </c>
      <c r="AC79" s="4" t="s">
        <v>30</v>
      </c>
      <c r="AF79" s="4" t="s">
        <v>182</v>
      </c>
      <c r="AG79" s="4" t="s">
        <v>55</v>
      </c>
      <c r="AH79" s="4" t="s">
        <v>560</v>
      </c>
      <c r="AK79" s="4" t="s">
        <v>164</v>
      </c>
      <c r="AL79" s="4" t="s">
        <v>446</v>
      </c>
      <c r="AM79" s="4" t="s">
        <v>616</v>
      </c>
      <c r="AP79" s="4" t="s">
        <v>150</v>
      </c>
      <c r="AQ79" s="4" t="s">
        <v>345</v>
      </c>
      <c r="AR79" s="4" t="s">
        <v>666</v>
      </c>
      <c r="AZ79" s="4" t="s">
        <v>148</v>
      </c>
      <c r="BA79" s="4" t="s">
        <v>345</v>
      </c>
      <c r="BB79" s="4" t="s">
        <v>754</v>
      </c>
      <c r="BE79" s="4" t="s">
        <v>162</v>
      </c>
      <c r="BF79" s="4" t="s">
        <v>441</v>
      </c>
      <c r="BG79" s="4" t="s">
        <v>672</v>
      </c>
      <c r="BJ79" s="4" t="s">
        <v>164</v>
      </c>
      <c r="BK79" s="4" t="s">
        <v>441</v>
      </c>
      <c r="BL79" s="4" t="s">
        <v>798</v>
      </c>
      <c r="BT79" s="4" t="s">
        <v>186</v>
      </c>
      <c r="BU79" s="4" t="s">
        <v>446</v>
      </c>
      <c r="BV79" s="4" t="s">
        <v>923</v>
      </c>
      <c r="BY79" s="4" t="s">
        <v>184</v>
      </c>
      <c r="BZ79" s="4" t="s">
        <v>441</v>
      </c>
      <c r="CA79" s="4" t="s">
        <v>683</v>
      </c>
      <c r="CD79" s="4" t="s">
        <v>164</v>
      </c>
      <c r="CE79" s="4" t="s">
        <v>593</v>
      </c>
      <c r="CF79" s="4" t="s">
        <v>994</v>
      </c>
      <c r="CX79" s="4" t="s">
        <v>205</v>
      </c>
      <c r="CY79" s="4" t="s">
        <v>1227</v>
      </c>
      <c r="CZ79" s="4" t="s">
        <v>1228</v>
      </c>
      <c r="DC79" s="4" t="s">
        <v>172</v>
      </c>
      <c r="DD79" s="4" t="s">
        <v>441</v>
      </c>
      <c r="DE79" s="4" t="s">
        <v>1281</v>
      </c>
      <c r="DH79" s="4" t="s">
        <v>168</v>
      </c>
      <c r="DI79" s="4" t="s">
        <v>345</v>
      </c>
      <c r="DJ79" s="4" t="s">
        <v>1358</v>
      </c>
      <c r="DM79" s="4" t="s">
        <v>170</v>
      </c>
      <c r="DN79" s="4" t="s">
        <v>345</v>
      </c>
      <c r="DO79" s="4" t="s">
        <v>676</v>
      </c>
      <c r="DR79" s="4" t="s">
        <v>182</v>
      </c>
      <c r="DS79" s="4" t="s">
        <v>361</v>
      </c>
      <c r="DT79" s="4" t="s">
        <v>1472</v>
      </c>
    </row>
    <row r="80" spans="2:124">
      <c r="B80" s="4" t="s">
        <v>166</v>
      </c>
      <c r="C80" s="4" t="s">
        <v>55</v>
      </c>
      <c r="D80" s="4" t="s">
        <v>167</v>
      </c>
      <c r="G80" s="4" t="s">
        <v>166</v>
      </c>
      <c r="H80" s="4" t="s">
        <v>293</v>
      </c>
      <c r="I80" s="4" t="s">
        <v>167</v>
      </c>
      <c r="L80" s="4" t="s">
        <v>150</v>
      </c>
      <c r="M80" s="4" t="s">
        <v>35</v>
      </c>
      <c r="N80" s="4" t="s">
        <v>151</v>
      </c>
      <c r="Q80" s="4" t="s">
        <v>150</v>
      </c>
      <c r="R80" s="4" t="s">
        <v>290</v>
      </c>
      <c r="S80" s="4" t="s">
        <v>151</v>
      </c>
      <c r="AA80" s="4" t="s">
        <v>150</v>
      </c>
      <c r="AB80" s="4" t="s">
        <v>345</v>
      </c>
      <c r="AC80" s="4" t="s">
        <v>30</v>
      </c>
      <c r="AF80" s="4" t="s">
        <v>184</v>
      </c>
      <c r="AG80" s="4" t="s">
        <v>295</v>
      </c>
      <c r="AH80" s="4" t="s">
        <v>561</v>
      </c>
      <c r="AK80" s="4" t="s">
        <v>166</v>
      </c>
      <c r="AL80" s="4" t="s">
        <v>346</v>
      </c>
      <c r="AM80" s="4" t="s">
        <v>617</v>
      </c>
      <c r="AP80" s="4" t="s">
        <v>152</v>
      </c>
      <c r="AQ80" s="4" t="s">
        <v>441</v>
      </c>
      <c r="AR80" s="4" t="s">
        <v>667</v>
      </c>
      <c r="AZ80" s="4" t="s">
        <v>150</v>
      </c>
      <c r="BA80" s="4" t="s">
        <v>345</v>
      </c>
      <c r="BB80" s="4" t="s">
        <v>755</v>
      </c>
      <c r="BE80" s="4" t="s">
        <v>164</v>
      </c>
      <c r="BF80" s="4" t="s">
        <v>346</v>
      </c>
      <c r="BG80" s="4" t="s">
        <v>673</v>
      </c>
      <c r="BJ80" s="4" t="s">
        <v>166</v>
      </c>
      <c r="BK80" s="4" t="s">
        <v>441</v>
      </c>
      <c r="BL80" s="4" t="s">
        <v>799</v>
      </c>
      <c r="BT80" s="4" t="s">
        <v>188</v>
      </c>
      <c r="BU80" s="4" t="s">
        <v>293</v>
      </c>
      <c r="BV80" s="4" t="s">
        <v>924</v>
      </c>
      <c r="BY80" s="4" t="s">
        <v>186</v>
      </c>
      <c r="BZ80" s="4" t="s">
        <v>345</v>
      </c>
      <c r="CA80" s="4" t="s">
        <v>964</v>
      </c>
      <c r="CD80" s="4" t="s">
        <v>166</v>
      </c>
      <c r="CE80" s="4" t="s">
        <v>346</v>
      </c>
      <c r="CF80" s="4" t="s">
        <v>995</v>
      </c>
      <c r="CX80" s="4" t="s">
        <v>206</v>
      </c>
      <c r="CY80" s="4" t="s">
        <v>1229</v>
      </c>
      <c r="CZ80" s="4" t="s">
        <v>1230</v>
      </c>
      <c r="DC80" s="4" t="s">
        <v>174</v>
      </c>
      <c r="DD80" s="4" t="s">
        <v>441</v>
      </c>
      <c r="DE80" s="4" t="s">
        <v>1281</v>
      </c>
      <c r="DH80" s="4" t="s">
        <v>170</v>
      </c>
      <c r="DI80" s="4" t="s">
        <v>345</v>
      </c>
      <c r="DJ80" s="4" t="s">
        <v>676</v>
      </c>
      <c r="DM80" s="4" t="s">
        <v>172</v>
      </c>
      <c r="DN80" s="4" t="s">
        <v>441</v>
      </c>
      <c r="DO80" s="4" t="s">
        <v>677</v>
      </c>
      <c r="DR80" s="4" t="s">
        <v>184</v>
      </c>
      <c r="DS80" s="4" t="s">
        <v>295</v>
      </c>
      <c r="DT80" s="4" t="s">
        <v>1473</v>
      </c>
    </row>
    <row r="81" spans="2:124">
      <c r="B81" s="4" t="s">
        <v>168</v>
      </c>
      <c r="C81" s="4" t="s">
        <v>55</v>
      </c>
      <c r="D81" s="4" t="s">
        <v>169</v>
      </c>
      <c r="G81" s="4" t="s">
        <v>168</v>
      </c>
      <c r="H81" s="4" t="s">
        <v>293</v>
      </c>
      <c r="I81" s="4" t="s">
        <v>169</v>
      </c>
      <c r="L81" s="4" t="s">
        <v>152</v>
      </c>
      <c r="M81" s="4" t="s">
        <v>55</v>
      </c>
      <c r="N81" s="4" t="s">
        <v>153</v>
      </c>
      <c r="Q81" s="4" t="s">
        <v>152</v>
      </c>
      <c r="R81" s="4" t="s">
        <v>293</v>
      </c>
      <c r="S81" s="4" t="s">
        <v>153</v>
      </c>
      <c r="AA81" s="4" t="s">
        <v>152</v>
      </c>
      <c r="AB81" s="4" t="s">
        <v>345</v>
      </c>
      <c r="AC81" s="4" t="s">
        <v>30</v>
      </c>
      <c r="AF81" s="4" t="s">
        <v>186</v>
      </c>
      <c r="AG81" s="4" t="s">
        <v>555</v>
      </c>
      <c r="AH81" s="4" t="s">
        <v>562</v>
      </c>
      <c r="AK81" s="4" t="s">
        <v>168</v>
      </c>
      <c r="AL81" s="4" t="s">
        <v>346</v>
      </c>
      <c r="AM81" s="4" t="s">
        <v>618</v>
      </c>
      <c r="AP81" s="4" t="s">
        <v>154</v>
      </c>
      <c r="AQ81" s="4" t="s">
        <v>441</v>
      </c>
      <c r="AR81" s="4" t="s">
        <v>668</v>
      </c>
      <c r="AZ81" s="4" t="s">
        <v>152</v>
      </c>
      <c r="BA81" s="4" t="s">
        <v>345</v>
      </c>
      <c r="BB81" s="4" t="s">
        <v>756</v>
      </c>
      <c r="BE81" s="4" t="s">
        <v>166</v>
      </c>
      <c r="BF81" s="4" t="s">
        <v>441</v>
      </c>
      <c r="BG81" s="4" t="s">
        <v>674</v>
      </c>
      <c r="BJ81" s="4" t="s">
        <v>168</v>
      </c>
      <c r="BK81" s="4" t="s">
        <v>441</v>
      </c>
      <c r="BL81" s="4" t="s">
        <v>763</v>
      </c>
      <c r="BT81" s="4" t="s">
        <v>190</v>
      </c>
      <c r="BU81" s="4" t="s">
        <v>441</v>
      </c>
      <c r="BV81" s="4" t="s">
        <v>925</v>
      </c>
      <c r="BY81" s="4" t="s">
        <v>188</v>
      </c>
      <c r="BZ81" s="4" t="s">
        <v>441</v>
      </c>
      <c r="CA81" s="4" t="s">
        <v>685</v>
      </c>
      <c r="CD81" s="4" t="s">
        <v>168</v>
      </c>
      <c r="CE81" s="4" t="s">
        <v>360</v>
      </c>
      <c r="CF81" s="4" t="s">
        <v>996</v>
      </c>
      <c r="CX81" s="4" t="s">
        <v>208</v>
      </c>
      <c r="CY81" s="4" t="s">
        <v>1231</v>
      </c>
      <c r="CZ81" s="4" t="s">
        <v>1232</v>
      </c>
      <c r="DC81" s="4" t="s">
        <v>176</v>
      </c>
      <c r="DD81" s="4" t="s">
        <v>441</v>
      </c>
      <c r="DE81" s="4" t="s">
        <v>1281</v>
      </c>
      <c r="DH81" s="4" t="s">
        <v>172</v>
      </c>
      <c r="DI81" s="4" t="s">
        <v>441</v>
      </c>
      <c r="DJ81" s="4" t="s">
        <v>677</v>
      </c>
      <c r="DM81" s="4" t="s">
        <v>174</v>
      </c>
      <c r="DN81" s="4" t="s">
        <v>441</v>
      </c>
      <c r="DO81" s="4" t="s">
        <v>678</v>
      </c>
      <c r="DR81" s="4" t="s">
        <v>186</v>
      </c>
      <c r="DS81" s="4" t="s">
        <v>377</v>
      </c>
      <c r="DT81" s="4" t="s">
        <v>1474</v>
      </c>
    </row>
    <row r="82" spans="2:124">
      <c r="B82" s="4" t="s">
        <v>170</v>
      </c>
      <c r="C82" s="4" t="s">
        <v>29</v>
      </c>
      <c r="D82" s="4" t="s">
        <v>171</v>
      </c>
      <c r="G82" s="4" t="s">
        <v>170</v>
      </c>
      <c r="H82" s="4" t="s">
        <v>288</v>
      </c>
      <c r="I82" s="4" t="s">
        <v>171</v>
      </c>
      <c r="L82" s="4" t="s">
        <v>154</v>
      </c>
      <c r="M82" s="4" t="s">
        <v>55</v>
      </c>
      <c r="N82" s="4" t="s">
        <v>155</v>
      </c>
      <c r="Q82" s="4" t="s">
        <v>154</v>
      </c>
      <c r="R82" s="4" t="s">
        <v>293</v>
      </c>
      <c r="S82" s="4" t="s">
        <v>155</v>
      </c>
      <c r="AA82" s="4" t="s">
        <v>154</v>
      </c>
      <c r="AB82" s="4" t="s">
        <v>345</v>
      </c>
      <c r="AC82" s="4" t="s">
        <v>30</v>
      </c>
      <c r="AF82" s="4" t="s">
        <v>188</v>
      </c>
      <c r="AG82" s="4" t="s">
        <v>563</v>
      </c>
      <c r="AH82" s="4" t="s">
        <v>564</v>
      </c>
      <c r="AK82" s="4" t="s">
        <v>170</v>
      </c>
      <c r="AL82" s="4" t="s">
        <v>360</v>
      </c>
      <c r="AM82" s="4" t="s">
        <v>619</v>
      </c>
      <c r="AP82" s="4" t="s">
        <v>156</v>
      </c>
      <c r="AQ82" s="4" t="s">
        <v>441</v>
      </c>
      <c r="AR82" s="4" t="s">
        <v>669</v>
      </c>
      <c r="AZ82" s="4" t="s">
        <v>154</v>
      </c>
      <c r="BA82" s="4" t="s">
        <v>345</v>
      </c>
      <c r="BB82" s="4" t="s">
        <v>757</v>
      </c>
      <c r="BE82" s="4" t="s">
        <v>168</v>
      </c>
      <c r="BF82" s="4" t="s">
        <v>441</v>
      </c>
      <c r="BG82" s="4" t="s">
        <v>787</v>
      </c>
      <c r="BJ82" s="4" t="s">
        <v>170</v>
      </c>
      <c r="BK82" s="4" t="s">
        <v>441</v>
      </c>
      <c r="BL82" s="4" t="s">
        <v>800</v>
      </c>
      <c r="BT82" s="4" t="s">
        <v>196</v>
      </c>
      <c r="BU82" s="4" t="s">
        <v>298</v>
      </c>
      <c r="BV82" s="4" t="s">
        <v>926</v>
      </c>
      <c r="BY82" s="4" t="s">
        <v>190</v>
      </c>
      <c r="BZ82" s="4" t="s">
        <v>441</v>
      </c>
      <c r="CA82" s="4" t="s">
        <v>686</v>
      </c>
      <c r="CD82" s="4" t="s">
        <v>170</v>
      </c>
      <c r="CE82" s="4" t="s">
        <v>298</v>
      </c>
      <c r="CF82" s="4" t="s">
        <v>997</v>
      </c>
      <c r="CX82" s="4" t="s">
        <v>210</v>
      </c>
      <c r="CY82" s="4" t="s">
        <v>1233</v>
      </c>
      <c r="CZ82" s="4" t="s">
        <v>1234</v>
      </c>
      <c r="DC82" s="4" t="s">
        <v>178</v>
      </c>
      <c r="DD82" s="4" t="s">
        <v>441</v>
      </c>
      <c r="DE82" s="4" t="s">
        <v>1281</v>
      </c>
      <c r="DH82" s="4" t="s">
        <v>174</v>
      </c>
      <c r="DI82" s="4" t="s">
        <v>441</v>
      </c>
      <c r="DJ82" s="4" t="s">
        <v>678</v>
      </c>
      <c r="DM82" s="4" t="s">
        <v>176</v>
      </c>
      <c r="DN82" s="4" t="s">
        <v>345</v>
      </c>
      <c r="DO82" s="4" t="s">
        <v>679</v>
      </c>
      <c r="DR82" s="4" t="s">
        <v>188</v>
      </c>
      <c r="DS82" s="4" t="s">
        <v>563</v>
      </c>
      <c r="DT82" s="4" t="s">
        <v>1475</v>
      </c>
    </row>
    <row r="83" spans="2:124">
      <c r="B83" s="4" t="s">
        <v>172</v>
      </c>
      <c r="C83" s="4" t="s">
        <v>55</v>
      </c>
      <c r="D83" s="4" t="s">
        <v>173</v>
      </c>
      <c r="G83" s="4" t="s">
        <v>172</v>
      </c>
      <c r="H83" s="4" t="s">
        <v>293</v>
      </c>
      <c r="I83" s="4" t="s">
        <v>173</v>
      </c>
      <c r="L83" s="4" t="s">
        <v>156</v>
      </c>
      <c r="M83" s="4" t="s">
        <v>32</v>
      </c>
      <c r="N83" s="4" t="s">
        <v>30</v>
      </c>
      <c r="Q83" s="4" t="s">
        <v>156</v>
      </c>
      <c r="R83" s="4" t="s">
        <v>289</v>
      </c>
      <c r="S83" s="4" t="s">
        <v>30</v>
      </c>
      <c r="AA83" s="4" t="s">
        <v>156</v>
      </c>
      <c r="AB83" s="4" t="s">
        <v>345</v>
      </c>
      <c r="AC83" s="4" t="s">
        <v>30</v>
      </c>
      <c r="AF83" s="4" t="s">
        <v>190</v>
      </c>
      <c r="AG83" s="4" t="s">
        <v>441</v>
      </c>
      <c r="AH83" s="4" t="s">
        <v>565</v>
      </c>
      <c r="AK83" s="4" t="s">
        <v>172</v>
      </c>
      <c r="AL83" s="4" t="s">
        <v>346</v>
      </c>
      <c r="AM83" s="4" t="s">
        <v>620</v>
      </c>
      <c r="AP83" s="4" t="s">
        <v>157</v>
      </c>
      <c r="AQ83" s="4" t="s">
        <v>441</v>
      </c>
      <c r="AR83" s="4" t="s">
        <v>670</v>
      </c>
      <c r="AZ83" s="4" t="s">
        <v>156</v>
      </c>
      <c r="BA83" s="4" t="s">
        <v>345</v>
      </c>
      <c r="BB83" s="4" t="s">
        <v>758</v>
      </c>
      <c r="BE83" s="4" t="s">
        <v>170</v>
      </c>
      <c r="BF83" s="4" t="s">
        <v>345</v>
      </c>
      <c r="BG83" s="4" t="s">
        <v>676</v>
      </c>
      <c r="BJ83" s="4" t="s">
        <v>172</v>
      </c>
      <c r="BK83" s="4" t="s">
        <v>441</v>
      </c>
      <c r="BL83" s="4" t="s">
        <v>764</v>
      </c>
      <c r="BT83" s="4" t="s">
        <v>198</v>
      </c>
      <c r="BU83" s="4" t="s">
        <v>424</v>
      </c>
      <c r="BV83" s="4" t="s">
        <v>927</v>
      </c>
      <c r="BY83" s="4" t="s">
        <v>192</v>
      </c>
      <c r="BZ83" s="4" t="s">
        <v>441</v>
      </c>
      <c r="CA83" s="4" t="s">
        <v>687</v>
      </c>
      <c r="CD83" s="4" t="s">
        <v>172</v>
      </c>
      <c r="CE83" s="4" t="s">
        <v>345</v>
      </c>
      <c r="CF83" s="4" t="s">
        <v>454</v>
      </c>
      <c r="CX83" s="4" t="s">
        <v>212</v>
      </c>
      <c r="CY83" s="4" t="s">
        <v>1235</v>
      </c>
      <c r="CZ83" s="4" t="s">
        <v>1236</v>
      </c>
      <c r="DC83" s="4" t="s">
        <v>180</v>
      </c>
      <c r="DD83" s="4" t="s">
        <v>441</v>
      </c>
      <c r="DE83" s="4" t="s">
        <v>1281</v>
      </c>
      <c r="DH83" s="4" t="s">
        <v>176</v>
      </c>
      <c r="DI83" s="4" t="s">
        <v>345</v>
      </c>
      <c r="DJ83" s="4" t="s">
        <v>679</v>
      </c>
      <c r="DM83" s="4" t="s">
        <v>178</v>
      </c>
      <c r="DN83" s="4" t="s">
        <v>441</v>
      </c>
      <c r="DO83" s="4" t="s">
        <v>680</v>
      </c>
      <c r="DR83" s="4" t="s">
        <v>190</v>
      </c>
      <c r="DS83" s="4" t="s">
        <v>441</v>
      </c>
      <c r="DT83" s="4" t="s">
        <v>1476</v>
      </c>
    </row>
    <row r="84" spans="2:124">
      <c r="B84" s="4" t="s">
        <v>174</v>
      </c>
      <c r="C84" s="4" t="s">
        <v>55</v>
      </c>
      <c r="D84" s="4" t="s">
        <v>175</v>
      </c>
      <c r="G84" s="4" t="s">
        <v>174</v>
      </c>
      <c r="H84" s="4" t="s">
        <v>293</v>
      </c>
      <c r="I84" s="4" t="s">
        <v>175</v>
      </c>
      <c r="L84" s="4" t="s">
        <v>157</v>
      </c>
      <c r="M84" s="4" t="s">
        <v>55</v>
      </c>
      <c r="N84" s="4" t="s">
        <v>158</v>
      </c>
      <c r="Q84" s="4" t="s">
        <v>157</v>
      </c>
      <c r="R84" s="4" t="s">
        <v>293</v>
      </c>
      <c r="S84" s="4" t="s">
        <v>158</v>
      </c>
      <c r="AA84" s="4" t="s">
        <v>157</v>
      </c>
      <c r="AB84" s="4" t="s">
        <v>345</v>
      </c>
      <c r="AC84" s="4" t="s">
        <v>30</v>
      </c>
      <c r="AF84" s="4" t="s">
        <v>196</v>
      </c>
      <c r="AG84" s="4" t="s">
        <v>436</v>
      </c>
      <c r="AH84" s="4" t="s">
        <v>566</v>
      </c>
      <c r="AK84" s="4" t="s">
        <v>174</v>
      </c>
      <c r="AL84" s="4" t="s">
        <v>346</v>
      </c>
      <c r="AM84" s="4" t="s">
        <v>621</v>
      </c>
      <c r="AP84" s="4" t="s">
        <v>160</v>
      </c>
      <c r="AQ84" s="4" t="s">
        <v>441</v>
      </c>
      <c r="AR84" s="4" t="s">
        <v>671</v>
      </c>
      <c r="AZ84" s="4" t="s">
        <v>157</v>
      </c>
      <c r="BA84" s="4" t="s">
        <v>345</v>
      </c>
      <c r="BB84" s="4" t="s">
        <v>759</v>
      </c>
      <c r="BE84" s="4" t="s">
        <v>172</v>
      </c>
      <c r="BF84" s="4" t="s">
        <v>441</v>
      </c>
      <c r="BG84" s="4" t="s">
        <v>677</v>
      </c>
      <c r="BJ84" s="4" t="s">
        <v>174</v>
      </c>
      <c r="BK84" s="4" t="s">
        <v>441</v>
      </c>
      <c r="BL84" s="4" t="s">
        <v>765</v>
      </c>
      <c r="BT84" s="4" t="s">
        <v>200</v>
      </c>
      <c r="BU84" s="4" t="s">
        <v>450</v>
      </c>
      <c r="BV84" s="4" t="s">
        <v>928</v>
      </c>
      <c r="BY84" s="4" t="s">
        <v>194</v>
      </c>
      <c r="BZ84" s="4" t="s">
        <v>441</v>
      </c>
      <c r="CA84" s="4" t="s">
        <v>688</v>
      </c>
      <c r="CD84" s="4" t="s">
        <v>174</v>
      </c>
      <c r="CE84" s="4" t="s">
        <v>345</v>
      </c>
      <c r="CF84" s="4" t="s">
        <v>455</v>
      </c>
      <c r="CX84" s="4" t="s">
        <v>217</v>
      </c>
      <c r="CY84" s="4" t="s">
        <v>1237</v>
      </c>
      <c r="CZ84" s="4" t="s">
        <v>1238</v>
      </c>
      <c r="DC84" s="4" t="s">
        <v>182</v>
      </c>
      <c r="DD84" s="4" t="s">
        <v>441</v>
      </c>
      <c r="DE84" s="4" t="s">
        <v>1281</v>
      </c>
      <c r="DH84" s="4" t="s">
        <v>178</v>
      </c>
      <c r="DI84" s="4" t="s">
        <v>360</v>
      </c>
      <c r="DJ84" s="4" t="s">
        <v>1359</v>
      </c>
      <c r="DM84" s="4" t="s">
        <v>180</v>
      </c>
      <c r="DN84" s="4" t="s">
        <v>345</v>
      </c>
      <c r="DO84" s="4" t="s">
        <v>681</v>
      </c>
      <c r="DR84" s="4" t="s">
        <v>196</v>
      </c>
      <c r="DS84" s="4" t="s">
        <v>436</v>
      </c>
      <c r="DT84" s="4" t="s">
        <v>1477</v>
      </c>
    </row>
    <row r="85" spans="2:124">
      <c r="B85" s="4" t="s">
        <v>176</v>
      </c>
      <c r="C85" s="4" t="s">
        <v>55</v>
      </c>
      <c r="D85" s="4" t="s">
        <v>177</v>
      </c>
      <c r="G85" s="4" t="s">
        <v>176</v>
      </c>
      <c r="H85" s="4" t="s">
        <v>293</v>
      </c>
      <c r="I85" s="4" t="s">
        <v>177</v>
      </c>
      <c r="L85" s="4" t="s">
        <v>159</v>
      </c>
      <c r="M85" s="4" t="s">
        <v>104</v>
      </c>
      <c r="N85" s="4" t="s">
        <v>30</v>
      </c>
      <c r="Q85" s="4" t="s">
        <v>159</v>
      </c>
      <c r="R85" s="4" t="s">
        <v>298</v>
      </c>
      <c r="S85" s="4" t="s">
        <v>30</v>
      </c>
      <c r="AA85" s="4" t="s">
        <v>159</v>
      </c>
      <c r="AB85" s="4" t="s">
        <v>441</v>
      </c>
      <c r="AC85" s="4" t="s">
        <v>30</v>
      </c>
      <c r="AF85" s="4" t="s">
        <v>198</v>
      </c>
      <c r="AG85" s="4" t="s">
        <v>402</v>
      </c>
      <c r="AH85" s="4" t="s">
        <v>567</v>
      </c>
      <c r="AK85" s="4" t="s">
        <v>176</v>
      </c>
      <c r="AL85" s="4" t="s">
        <v>360</v>
      </c>
      <c r="AM85" s="4" t="s">
        <v>622</v>
      </c>
      <c r="AP85" s="4" t="s">
        <v>162</v>
      </c>
      <c r="AQ85" s="4" t="s">
        <v>441</v>
      </c>
      <c r="AR85" s="4" t="s">
        <v>672</v>
      </c>
      <c r="AZ85" s="4" t="s">
        <v>159</v>
      </c>
      <c r="BA85" s="4" t="s">
        <v>441</v>
      </c>
      <c r="BB85" s="4" t="s">
        <v>760</v>
      </c>
      <c r="BE85" s="4" t="s">
        <v>174</v>
      </c>
      <c r="BF85" s="4" t="s">
        <v>441</v>
      </c>
      <c r="BG85" s="4" t="s">
        <v>678</v>
      </c>
      <c r="BJ85" s="4" t="s">
        <v>176</v>
      </c>
      <c r="BK85" s="4" t="s">
        <v>441</v>
      </c>
      <c r="BL85" s="4" t="s">
        <v>801</v>
      </c>
      <c r="BT85" s="4" t="s">
        <v>201</v>
      </c>
      <c r="BU85" s="4" t="s">
        <v>929</v>
      </c>
      <c r="BV85" s="4" t="s">
        <v>890</v>
      </c>
      <c r="BY85" s="4" t="s">
        <v>196</v>
      </c>
      <c r="BZ85" s="4" t="s">
        <v>441</v>
      </c>
      <c r="CA85" s="4" t="s">
        <v>689</v>
      </c>
      <c r="CD85" s="4" t="s">
        <v>176</v>
      </c>
      <c r="CE85" s="4" t="s">
        <v>360</v>
      </c>
      <c r="CF85" s="4" t="s">
        <v>998</v>
      </c>
      <c r="CX85" s="4" t="s">
        <v>218</v>
      </c>
      <c r="CY85" s="4" t="s">
        <v>1239</v>
      </c>
      <c r="CZ85" s="4" t="s">
        <v>1240</v>
      </c>
      <c r="DC85" s="4" t="s">
        <v>184</v>
      </c>
      <c r="DD85" s="4" t="s">
        <v>441</v>
      </c>
      <c r="DE85" s="4" t="s">
        <v>1281</v>
      </c>
      <c r="DH85" s="4" t="s">
        <v>180</v>
      </c>
      <c r="DI85" s="4" t="s">
        <v>345</v>
      </c>
      <c r="DJ85" s="4" t="s">
        <v>681</v>
      </c>
      <c r="DM85" s="4" t="s">
        <v>182</v>
      </c>
      <c r="DN85" s="4" t="s">
        <v>441</v>
      </c>
      <c r="DO85" s="4" t="s">
        <v>682</v>
      </c>
      <c r="DR85" s="4" t="s">
        <v>198</v>
      </c>
      <c r="DS85" s="4" t="s">
        <v>402</v>
      </c>
      <c r="DT85" s="4" t="s">
        <v>1478</v>
      </c>
    </row>
    <row r="86" spans="2:124">
      <c r="B86" s="4" t="s">
        <v>178</v>
      </c>
      <c r="C86" s="4" t="s">
        <v>32</v>
      </c>
      <c r="D86" s="4" t="s">
        <v>179</v>
      </c>
      <c r="G86" s="4" t="s">
        <v>178</v>
      </c>
      <c r="H86" s="4" t="s">
        <v>289</v>
      </c>
      <c r="I86" s="4" t="s">
        <v>300</v>
      </c>
      <c r="L86" s="4" t="s">
        <v>160</v>
      </c>
      <c r="M86" s="4" t="s">
        <v>38</v>
      </c>
      <c r="N86" s="4" t="s">
        <v>161</v>
      </c>
      <c r="Q86" s="4" t="s">
        <v>160</v>
      </c>
      <c r="R86" s="4" t="s">
        <v>291</v>
      </c>
      <c r="S86" s="4" t="s">
        <v>161</v>
      </c>
      <c r="AA86" s="4" t="s">
        <v>160</v>
      </c>
      <c r="AB86" s="4" t="s">
        <v>345</v>
      </c>
      <c r="AC86" s="4" t="s">
        <v>30</v>
      </c>
      <c r="AF86" s="4" t="s">
        <v>200</v>
      </c>
      <c r="AG86" s="4" t="s">
        <v>396</v>
      </c>
      <c r="AH86" s="4" t="s">
        <v>568</v>
      </c>
      <c r="AK86" s="4" t="s">
        <v>178</v>
      </c>
      <c r="AL86" s="4" t="s">
        <v>346</v>
      </c>
      <c r="AM86" s="4" t="s">
        <v>179</v>
      </c>
      <c r="AP86" s="4" t="s">
        <v>164</v>
      </c>
      <c r="AQ86" s="4" t="s">
        <v>346</v>
      </c>
      <c r="AR86" s="4" t="s">
        <v>673</v>
      </c>
      <c r="AZ86" s="4" t="s">
        <v>160</v>
      </c>
      <c r="BA86" s="4" t="s">
        <v>345</v>
      </c>
      <c r="BB86" s="4" t="s">
        <v>761</v>
      </c>
      <c r="BE86" s="4" t="s">
        <v>176</v>
      </c>
      <c r="BF86" s="4" t="s">
        <v>345</v>
      </c>
      <c r="BG86" s="4" t="s">
        <v>679</v>
      </c>
      <c r="BJ86" s="4" t="s">
        <v>178</v>
      </c>
      <c r="BK86" s="4" t="s">
        <v>441</v>
      </c>
      <c r="BL86" s="4" t="s">
        <v>802</v>
      </c>
      <c r="BT86" s="4" t="s">
        <v>203</v>
      </c>
      <c r="BU86" s="4" t="s">
        <v>930</v>
      </c>
      <c r="BV86" s="4" t="s">
        <v>931</v>
      </c>
      <c r="BY86" s="4" t="s">
        <v>198</v>
      </c>
      <c r="BZ86" s="4" t="s">
        <v>441</v>
      </c>
      <c r="CA86" s="4" t="s">
        <v>690</v>
      </c>
      <c r="CD86" s="4" t="s">
        <v>178</v>
      </c>
      <c r="CE86" s="4" t="s">
        <v>346</v>
      </c>
      <c r="CF86" s="4" t="s">
        <v>300</v>
      </c>
      <c r="CX86" s="4" t="s">
        <v>220</v>
      </c>
      <c r="CY86" s="4" t="s">
        <v>1241</v>
      </c>
      <c r="CZ86" s="4" t="s">
        <v>1242</v>
      </c>
      <c r="DC86" s="4" t="s">
        <v>186</v>
      </c>
      <c r="DD86" s="4" t="s">
        <v>441</v>
      </c>
      <c r="DE86" s="4" t="s">
        <v>1281</v>
      </c>
      <c r="DH86" s="4" t="s">
        <v>182</v>
      </c>
      <c r="DI86" s="4" t="s">
        <v>346</v>
      </c>
      <c r="DJ86" s="4" t="s">
        <v>1360</v>
      </c>
      <c r="DM86" s="4" t="s">
        <v>184</v>
      </c>
      <c r="DN86" s="4" t="s">
        <v>441</v>
      </c>
      <c r="DO86" s="4" t="s">
        <v>683</v>
      </c>
      <c r="DR86" s="4" t="s">
        <v>200</v>
      </c>
      <c r="DS86" s="4" t="s">
        <v>396</v>
      </c>
      <c r="DT86" s="4" t="s">
        <v>1479</v>
      </c>
    </row>
    <row r="87" spans="2:124">
      <c r="B87" s="4" t="s">
        <v>180</v>
      </c>
      <c r="C87" s="4" t="s">
        <v>55</v>
      </c>
      <c r="D87" s="4" t="s">
        <v>181</v>
      </c>
      <c r="G87" s="4" t="s">
        <v>180</v>
      </c>
      <c r="H87" s="4" t="s">
        <v>293</v>
      </c>
      <c r="I87" s="4" t="s">
        <v>181</v>
      </c>
      <c r="L87" s="4" t="s">
        <v>162</v>
      </c>
      <c r="M87" s="4" t="s">
        <v>32</v>
      </c>
      <c r="N87" s="4" t="s">
        <v>311</v>
      </c>
      <c r="Q87" s="4" t="s">
        <v>162</v>
      </c>
      <c r="R87" s="4" t="s">
        <v>289</v>
      </c>
      <c r="S87" s="4" t="s">
        <v>311</v>
      </c>
      <c r="AA87" s="4" t="s">
        <v>162</v>
      </c>
      <c r="AB87" s="4" t="s">
        <v>345</v>
      </c>
      <c r="AC87" s="4" t="s">
        <v>163</v>
      </c>
      <c r="AF87" s="4" t="s">
        <v>201</v>
      </c>
      <c r="AG87" s="4" t="s">
        <v>569</v>
      </c>
      <c r="AH87" s="4" t="s">
        <v>570</v>
      </c>
      <c r="AK87" s="4" t="s">
        <v>180</v>
      </c>
      <c r="AL87" s="4" t="s">
        <v>360</v>
      </c>
      <c r="AM87" s="4" t="s">
        <v>623</v>
      </c>
      <c r="AP87" s="4" t="s">
        <v>166</v>
      </c>
      <c r="AQ87" s="4" t="s">
        <v>441</v>
      </c>
      <c r="AR87" s="4" t="s">
        <v>674</v>
      </c>
      <c r="AZ87" s="4" t="s">
        <v>162</v>
      </c>
      <c r="BA87" s="4" t="s">
        <v>345</v>
      </c>
      <c r="BB87" s="4" t="s">
        <v>762</v>
      </c>
      <c r="BE87" s="4" t="s">
        <v>178</v>
      </c>
      <c r="BF87" s="4" t="s">
        <v>441</v>
      </c>
      <c r="BG87" s="4" t="s">
        <v>680</v>
      </c>
      <c r="BJ87" s="4" t="s">
        <v>180</v>
      </c>
      <c r="BK87" s="4" t="s">
        <v>441</v>
      </c>
      <c r="BL87" s="4" t="s">
        <v>803</v>
      </c>
      <c r="BT87" s="4" t="s">
        <v>205</v>
      </c>
      <c r="BU87" s="4" t="s">
        <v>932</v>
      </c>
      <c r="BV87" s="4" t="s">
        <v>933</v>
      </c>
      <c r="BY87" s="4" t="s">
        <v>200</v>
      </c>
      <c r="BZ87" s="4" t="s">
        <v>441</v>
      </c>
      <c r="CA87" s="4" t="s">
        <v>690</v>
      </c>
      <c r="CD87" s="4" t="s">
        <v>180</v>
      </c>
      <c r="CE87" s="4" t="s">
        <v>345</v>
      </c>
      <c r="CF87" s="4" t="s">
        <v>999</v>
      </c>
      <c r="CX87" s="4" t="s">
        <v>222</v>
      </c>
      <c r="CY87" s="4" t="s">
        <v>1243</v>
      </c>
      <c r="CZ87" s="4" t="s">
        <v>1244</v>
      </c>
      <c r="DC87" s="4" t="s">
        <v>188</v>
      </c>
      <c r="DD87" s="4" t="s">
        <v>441</v>
      </c>
      <c r="DE87" s="4" t="s">
        <v>1281</v>
      </c>
      <c r="DH87" s="4" t="s">
        <v>184</v>
      </c>
      <c r="DI87" s="4" t="s">
        <v>360</v>
      </c>
      <c r="DJ87" s="4" t="s">
        <v>1361</v>
      </c>
      <c r="DM87" s="4" t="s">
        <v>186</v>
      </c>
      <c r="DN87" s="4" t="s">
        <v>345</v>
      </c>
      <c r="DO87" s="4" t="s">
        <v>1388</v>
      </c>
      <c r="DR87" s="4" t="s">
        <v>201</v>
      </c>
      <c r="DS87" s="4" t="s">
        <v>569</v>
      </c>
      <c r="DT87" s="4" t="s">
        <v>1480</v>
      </c>
    </row>
    <row r="88" spans="2:124">
      <c r="B88" s="4" t="s">
        <v>182</v>
      </c>
      <c r="C88" s="4" t="s">
        <v>32</v>
      </c>
      <c r="D88" s="4" t="s">
        <v>183</v>
      </c>
      <c r="G88" s="4" t="s">
        <v>182</v>
      </c>
      <c r="H88" s="4" t="s">
        <v>289</v>
      </c>
      <c r="I88" s="4" t="s">
        <v>183</v>
      </c>
      <c r="L88" s="4" t="s">
        <v>164</v>
      </c>
      <c r="M88" s="4" t="s">
        <v>24</v>
      </c>
      <c r="N88" s="4" t="s">
        <v>165</v>
      </c>
      <c r="Q88" s="4" t="s">
        <v>164</v>
      </c>
      <c r="R88" s="4" t="s">
        <v>286</v>
      </c>
      <c r="S88" s="4" t="s">
        <v>165</v>
      </c>
      <c r="AA88" s="4" t="s">
        <v>164</v>
      </c>
      <c r="AB88" s="4" t="s">
        <v>360</v>
      </c>
      <c r="AC88" s="4" t="s">
        <v>165</v>
      </c>
      <c r="AF88" s="4" t="s">
        <v>203</v>
      </c>
      <c r="AG88" s="4" t="s">
        <v>489</v>
      </c>
      <c r="AH88" s="4" t="s">
        <v>571</v>
      </c>
      <c r="AK88" s="4" t="s">
        <v>182</v>
      </c>
      <c r="AL88" s="4" t="s">
        <v>346</v>
      </c>
      <c r="AM88" s="4" t="s">
        <v>183</v>
      </c>
      <c r="AP88" s="4" t="s">
        <v>168</v>
      </c>
      <c r="AQ88" s="4" t="s">
        <v>345</v>
      </c>
      <c r="AR88" s="4" t="s">
        <v>675</v>
      </c>
      <c r="AZ88" s="4" t="s">
        <v>164</v>
      </c>
      <c r="BA88" s="4" t="s">
        <v>360</v>
      </c>
      <c r="BB88" s="4" t="s">
        <v>673</v>
      </c>
      <c r="BE88" s="4" t="s">
        <v>180</v>
      </c>
      <c r="BF88" s="4" t="s">
        <v>345</v>
      </c>
      <c r="BG88" s="4" t="s">
        <v>681</v>
      </c>
      <c r="BJ88" s="4" t="s">
        <v>182</v>
      </c>
      <c r="BK88" s="4" t="s">
        <v>441</v>
      </c>
      <c r="BL88" s="4" t="s">
        <v>804</v>
      </c>
      <c r="BT88" s="4" t="s">
        <v>206</v>
      </c>
      <c r="BU88" s="4" t="s">
        <v>593</v>
      </c>
      <c r="BV88" s="4" t="s">
        <v>934</v>
      </c>
      <c r="BY88" s="4" t="s">
        <v>201</v>
      </c>
      <c r="BZ88" s="4" t="s">
        <v>345</v>
      </c>
      <c r="CA88" s="4" t="s">
        <v>702</v>
      </c>
      <c r="CD88" s="4" t="s">
        <v>182</v>
      </c>
      <c r="CE88" s="4" t="s">
        <v>346</v>
      </c>
      <c r="CF88" s="4" t="s">
        <v>1000</v>
      </c>
      <c r="CX88" s="4" t="s">
        <v>224</v>
      </c>
      <c r="CY88" s="4" t="s">
        <v>1245</v>
      </c>
      <c r="CZ88" s="4" t="s">
        <v>1246</v>
      </c>
      <c r="DC88" s="4" t="s">
        <v>190</v>
      </c>
      <c r="DD88" s="4" t="s">
        <v>441</v>
      </c>
      <c r="DE88" s="4" t="s">
        <v>1281</v>
      </c>
      <c r="DH88" s="4" t="s">
        <v>186</v>
      </c>
      <c r="DI88" s="4" t="s">
        <v>346</v>
      </c>
      <c r="DJ88" s="4" t="s">
        <v>1362</v>
      </c>
      <c r="DM88" s="4" t="s">
        <v>188</v>
      </c>
      <c r="DN88" s="4" t="s">
        <v>441</v>
      </c>
      <c r="DO88" s="4" t="s">
        <v>685</v>
      </c>
      <c r="DR88" s="4" t="s">
        <v>203</v>
      </c>
      <c r="DS88" s="4" t="s">
        <v>489</v>
      </c>
      <c r="DT88" s="4" t="s">
        <v>1481</v>
      </c>
    </row>
    <row r="89" spans="2:124">
      <c r="B89" s="4" t="s">
        <v>184</v>
      </c>
      <c r="C89" s="4" t="s">
        <v>32</v>
      </c>
      <c r="D89" s="4" t="s">
        <v>185</v>
      </c>
      <c r="G89" s="4" t="s">
        <v>184</v>
      </c>
      <c r="H89" s="4" t="s">
        <v>289</v>
      </c>
      <c r="I89" s="4" t="s">
        <v>301</v>
      </c>
      <c r="L89" s="4" t="s">
        <v>166</v>
      </c>
      <c r="M89" s="4" t="s">
        <v>55</v>
      </c>
      <c r="N89" s="4" t="s">
        <v>167</v>
      </c>
      <c r="Q89" s="4" t="s">
        <v>166</v>
      </c>
      <c r="R89" s="4" t="s">
        <v>293</v>
      </c>
      <c r="S89" s="4" t="s">
        <v>167</v>
      </c>
      <c r="AA89" s="4" t="s">
        <v>166</v>
      </c>
      <c r="AB89" s="4" t="s">
        <v>345</v>
      </c>
      <c r="AC89" s="4" t="s">
        <v>452</v>
      </c>
      <c r="AF89" s="4" t="s">
        <v>205</v>
      </c>
      <c r="AG89" s="4" t="s">
        <v>521</v>
      </c>
      <c r="AH89" s="4" t="s">
        <v>572</v>
      </c>
      <c r="AK89" s="4" t="s">
        <v>184</v>
      </c>
      <c r="AL89" s="4" t="s">
        <v>346</v>
      </c>
      <c r="AM89" s="4" t="s">
        <v>301</v>
      </c>
      <c r="AP89" s="4" t="s">
        <v>170</v>
      </c>
      <c r="AQ89" s="4" t="s">
        <v>345</v>
      </c>
      <c r="AR89" s="4" t="s">
        <v>676</v>
      </c>
      <c r="AZ89" s="4" t="s">
        <v>166</v>
      </c>
      <c r="BA89" s="4" t="s">
        <v>345</v>
      </c>
      <c r="BB89" s="4" t="s">
        <v>674</v>
      </c>
      <c r="BE89" s="4" t="s">
        <v>182</v>
      </c>
      <c r="BF89" s="4" t="s">
        <v>441</v>
      </c>
      <c r="BG89" s="4" t="s">
        <v>682</v>
      </c>
      <c r="BJ89" s="4" t="s">
        <v>184</v>
      </c>
      <c r="BK89" s="4" t="s">
        <v>441</v>
      </c>
      <c r="BL89" s="4" t="s">
        <v>805</v>
      </c>
      <c r="BT89" s="4" t="s">
        <v>208</v>
      </c>
      <c r="BU89" s="4" t="s">
        <v>298</v>
      </c>
      <c r="BV89" s="4" t="s">
        <v>935</v>
      </c>
      <c r="BY89" s="4" t="s">
        <v>203</v>
      </c>
      <c r="BZ89" s="4" t="s">
        <v>441</v>
      </c>
      <c r="CA89" s="4" t="s">
        <v>692</v>
      </c>
      <c r="CD89" s="4" t="s">
        <v>184</v>
      </c>
      <c r="CE89" s="4" t="s">
        <v>446</v>
      </c>
      <c r="CF89" s="4" t="s">
        <v>972</v>
      </c>
      <c r="CX89" s="4" t="s">
        <v>226</v>
      </c>
      <c r="CY89" s="4" t="s">
        <v>1247</v>
      </c>
      <c r="CZ89" s="4" t="s">
        <v>1248</v>
      </c>
      <c r="DC89" s="4" t="s">
        <v>192</v>
      </c>
      <c r="DD89" s="4" t="s">
        <v>441</v>
      </c>
      <c r="DE89" s="4" t="s">
        <v>1281</v>
      </c>
      <c r="DH89" s="4" t="s">
        <v>188</v>
      </c>
      <c r="DI89" s="4" t="s">
        <v>346</v>
      </c>
      <c r="DJ89" s="4" t="s">
        <v>1363</v>
      </c>
      <c r="DM89" s="4" t="s">
        <v>190</v>
      </c>
      <c r="DN89" s="4" t="s">
        <v>441</v>
      </c>
      <c r="DO89" s="4" t="s">
        <v>686</v>
      </c>
      <c r="DR89" s="4" t="s">
        <v>205</v>
      </c>
      <c r="DS89" s="4" t="s">
        <v>521</v>
      </c>
      <c r="DT89" s="4" t="s">
        <v>1482</v>
      </c>
    </row>
    <row r="90" spans="2:124">
      <c r="B90" s="4" t="s">
        <v>186</v>
      </c>
      <c r="C90" s="4" t="s">
        <v>32</v>
      </c>
      <c r="D90" s="4" t="s">
        <v>187</v>
      </c>
      <c r="G90" s="4" t="s">
        <v>186</v>
      </c>
      <c r="H90" s="4" t="s">
        <v>289</v>
      </c>
      <c r="I90" s="4" t="s">
        <v>187</v>
      </c>
      <c r="L90" s="4" t="s">
        <v>168</v>
      </c>
      <c r="M90" s="4" t="s">
        <v>55</v>
      </c>
      <c r="N90" s="4" t="s">
        <v>169</v>
      </c>
      <c r="Q90" s="4" t="s">
        <v>168</v>
      </c>
      <c r="R90" s="4" t="s">
        <v>293</v>
      </c>
      <c r="S90" s="4" t="s">
        <v>169</v>
      </c>
      <c r="AA90" s="4" t="s">
        <v>168</v>
      </c>
      <c r="AB90" s="4" t="s">
        <v>345</v>
      </c>
      <c r="AC90" s="4" t="s">
        <v>453</v>
      </c>
      <c r="AF90" s="4" t="s">
        <v>206</v>
      </c>
      <c r="AG90" s="4" t="s">
        <v>573</v>
      </c>
      <c r="AH90" s="4" t="s">
        <v>574</v>
      </c>
      <c r="AK90" s="4" t="s">
        <v>186</v>
      </c>
      <c r="AL90" s="4" t="s">
        <v>346</v>
      </c>
      <c r="AM90" s="4" t="s">
        <v>329</v>
      </c>
      <c r="AP90" s="4" t="s">
        <v>172</v>
      </c>
      <c r="AQ90" s="4" t="s">
        <v>441</v>
      </c>
      <c r="AR90" s="4" t="s">
        <v>677</v>
      </c>
      <c r="AZ90" s="4" t="s">
        <v>168</v>
      </c>
      <c r="BA90" s="4" t="s">
        <v>345</v>
      </c>
      <c r="BB90" s="4" t="s">
        <v>763</v>
      </c>
      <c r="BE90" s="4" t="s">
        <v>184</v>
      </c>
      <c r="BF90" s="4" t="s">
        <v>441</v>
      </c>
      <c r="BG90" s="4" t="s">
        <v>683</v>
      </c>
      <c r="BJ90" s="4" t="s">
        <v>186</v>
      </c>
      <c r="BK90" s="4" t="s">
        <v>441</v>
      </c>
      <c r="BL90" s="4" t="s">
        <v>806</v>
      </c>
      <c r="BT90" s="4" t="s">
        <v>210</v>
      </c>
      <c r="BU90" s="4" t="s">
        <v>396</v>
      </c>
      <c r="BV90" s="4" t="s">
        <v>915</v>
      </c>
      <c r="BY90" s="4" t="s">
        <v>205</v>
      </c>
      <c r="BZ90" s="4" t="s">
        <v>441</v>
      </c>
      <c r="CA90" s="4" t="s">
        <v>692</v>
      </c>
      <c r="CD90" s="4" t="s">
        <v>186</v>
      </c>
      <c r="CE90" s="4" t="s">
        <v>446</v>
      </c>
      <c r="CF90" s="4" t="s">
        <v>187</v>
      </c>
      <c r="CX90" s="4" t="s">
        <v>227</v>
      </c>
      <c r="CY90" s="4" t="s">
        <v>1249</v>
      </c>
      <c r="CZ90" s="4" t="s">
        <v>1250</v>
      </c>
      <c r="DC90" s="4" t="s">
        <v>194</v>
      </c>
      <c r="DD90" s="4" t="s">
        <v>441</v>
      </c>
      <c r="DE90" s="4" t="s">
        <v>1289</v>
      </c>
      <c r="DH90" s="4" t="s">
        <v>190</v>
      </c>
      <c r="DI90" s="4" t="s">
        <v>441</v>
      </c>
      <c r="DJ90" s="4" t="s">
        <v>686</v>
      </c>
      <c r="DM90" s="4" t="s">
        <v>192</v>
      </c>
      <c r="DN90" s="4" t="s">
        <v>441</v>
      </c>
      <c r="DO90" s="4" t="s">
        <v>687</v>
      </c>
      <c r="DR90" s="4" t="s">
        <v>206</v>
      </c>
      <c r="DS90" s="4" t="s">
        <v>573</v>
      </c>
      <c r="DT90" s="4" t="s">
        <v>1483</v>
      </c>
    </row>
    <row r="91" spans="2:124">
      <c r="B91" s="4" t="s">
        <v>188</v>
      </c>
      <c r="C91" s="4" t="s">
        <v>32</v>
      </c>
      <c r="D91" s="4" t="s">
        <v>189</v>
      </c>
      <c r="G91" s="4" t="s">
        <v>188</v>
      </c>
      <c r="H91" s="4" t="s">
        <v>289</v>
      </c>
      <c r="I91" s="4" t="s">
        <v>302</v>
      </c>
      <c r="L91" s="4" t="s">
        <v>170</v>
      </c>
      <c r="M91" s="4" t="s">
        <v>29</v>
      </c>
      <c r="N91" s="4" t="s">
        <v>171</v>
      </c>
      <c r="Q91" s="4" t="s">
        <v>170</v>
      </c>
      <c r="R91" s="4" t="s">
        <v>288</v>
      </c>
      <c r="S91" s="4" t="s">
        <v>171</v>
      </c>
      <c r="AA91" s="4" t="s">
        <v>170</v>
      </c>
      <c r="AB91" s="4" t="s">
        <v>346</v>
      </c>
      <c r="AC91" s="4" t="s">
        <v>171</v>
      </c>
      <c r="AF91" s="4" t="s">
        <v>208</v>
      </c>
      <c r="AG91" s="4" t="s">
        <v>32</v>
      </c>
      <c r="AH91" s="4" t="s">
        <v>575</v>
      </c>
      <c r="AK91" s="4" t="s">
        <v>188</v>
      </c>
      <c r="AL91" s="4" t="s">
        <v>346</v>
      </c>
      <c r="AM91" s="4" t="s">
        <v>302</v>
      </c>
      <c r="AP91" s="4" t="s">
        <v>174</v>
      </c>
      <c r="AQ91" s="4" t="s">
        <v>441</v>
      </c>
      <c r="AR91" s="4" t="s">
        <v>678</v>
      </c>
      <c r="AZ91" s="4" t="s">
        <v>170</v>
      </c>
      <c r="BA91" s="4" t="s">
        <v>346</v>
      </c>
      <c r="BB91" s="4" t="s">
        <v>676</v>
      </c>
      <c r="BE91" s="4" t="s">
        <v>186</v>
      </c>
      <c r="BF91" s="4" t="s">
        <v>345</v>
      </c>
      <c r="BG91" s="4" t="s">
        <v>788</v>
      </c>
      <c r="BJ91" s="4" t="s">
        <v>188</v>
      </c>
      <c r="BK91" s="4" t="s">
        <v>441</v>
      </c>
      <c r="BL91" s="4" t="s">
        <v>807</v>
      </c>
      <c r="BT91" s="4" t="s">
        <v>212</v>
      </c>
      <c r="BU91" s="4" t="s">
        <v>533</v>
      </c>
      <c r="BV91" s="4" t="s">
        <v>936</v>
      </c>
      <c r="BY91" s="4" t="s">
        <v>206</v>
      </c>
      <c r="BZ91" s="4" t="s">
        <v>441</v>
      </c>
      <c r="CA91" s="4" t="s">
        <v>693</v>
      </c>
      <c r="CD91" s="4" t="s">
        <v>188</v>
      </c>
      <c r="CE91" s="4" t="s">
        <v>346</v>
      </c>
      <c r="CF91" s="4" t="s">
        <v>189</v>
      </c>
      <c r="CX91" s="4" t="s">
        <v>228</v>
      </c>
      <c r="CY91" s="4" t="s">
        <v>1251</v>
      </c>
      <c r="CZ91" s="4" t="s">
        <v>1252</v>
      </c>
      <c r="DC91" s="4" t="s">
        <v>196</v>
      </c>
      <c r="DD91" s="4" t="s">
        <v>441</v>
      </c>
      <c r="DE91" s="4" t="s">
        <v>1290</v>
      </c>
      <c r="DH91" s="4" t="s">
        <v>192</v>
      </c>
      <c r="DI91" s="4" t="s">
        <v>441</v>
      </c>
      <c r="DJ91" s="4" t="s">
        <v>687</v>
      </c>
      <c r="DM91" s="4" t="s">
        <v>194</v>
      </c>
      <c r="DN91" s="4" t="s">
        <v>441</v>
      </c>
      <c r="DO91" s="4" t="s">
        <v>688</v>
      </c>
      <c r="DR91" s="4" t="s">
        <v>208</v>
      </c>
      <c r="DS91" s="4" t="s">
        <v>32</v>
      </c>
      <c r="DT91" s="4" t="s">
        <v>1484</v>
      </c>
    </row>
    <row r="92" spans="2:124">
      <c r="B92" s="4" t="s">
        <v>190</v>
      </c>
      <c r="C92" s="4" t="s">
        <v>32</v>
      </c>
      <c r="D92" s="4" t="s">
        <v>191</v>
      </c>
      <c r="G92" s="4" t="s">
        <v>190</v>
      </c>
      <c r="H92" s="4" t="s">
        <v>289</v>
      </c>
      <c r="I92" s="4" t="s">
        <v>303</v>
      </c>
      <c r="L92" s="4" t="s">
        <v>172</v>
      </c>
      <c r="M92" s="4" t="s">
        <v>55</v>
      </c>
      <c r="N92" s="4" t="s">
        <v>173</v>
      </c>
      <c r="Q92" s="4" t="s">
        <v>172</v>
      </c>
      <c r="R92" s="4" t="s">
        <v>293</v>
      </c>
      <c r="S92" s="4" t="s">
        <v>173</v>
      </c>
      <c r="AA92" s="4" t="s">
        <v>172</v>
      </c>
      <c r="AB92" s="4" t="s">
        <v>345</v>
      </c>
      <c r="AC92" s="4" t="s">
        <v>454</v>
      </c>
      <c r="AF92" s="4" t="s">
        <v>210</v>
      </c>
      <c r="AG92" s="4" t="s">
        <v>521</v>
      </c>
      <c r="AH92" s="4" t="s">
        <v>576</v>
      </c>
      <c r="AK92" s="4" t="s">
        <v>190</v>
      </c>
      <c r="AL92" s="4" t="s">
        <v>346</v>
      </c>
      <c r="AM92" s="4" t="s">
        <v>321</v>
      </c>
      <c r="AP92" s="4" t="s">
        <v>176</v>
      </c>
      <c r="AQ92" s="4" t="s">
        <v>345</v>
      </c>
      <c r="AR92" s="4" t="s">
        <v>679</v>
      </c>
      <c r="AZ92" s="4" t="s">
        <v>172</v>
      </c>
      <c r="BA92" s="4" t="s">
        <v>345</v>
      </c>
      <c r="BB92" s="4" t="s">
        <v>764</v>
      </c>
      <c r="BE92" s="4" t="s">
        <v>188</v>
      </c>
      <c r="BF92" s="4" t="s">
        <v>441</v>
      </c>
      <c r="BG92" s="4" t="s">
        <v>685</v>
      </c>
      <c r="BJ92" s="4" t="s">
        <v>190</v>
      </c>
      <c r="BK92" s="4" t="s">
        <v>441</v>
      </c>
      <c r="BL92" s="4" t="s">
        <v>793</v>
      </c>
      <c r="BT92" s="4" t="s">
        <v>217</v>
      </c>
      <c r="BU92" s="4" t="s">
        <v>499</v>
      </c>
      <c r="BV92" s="4" t="s">
        <v>937</v>
      </c>
      <c r="BY92" s="4" t="s">
        <v>208</v>
      </c>
      <c r="BZ92" s="4" t="s">
        <v>441</v>
      </c>
      <c r="CA92" s="4" t="s">
        <v>694</v>
      </c>
      <c r="CD92" s="4" t="s">
        <v>190</v>
      </c>
      <c r="CE92" s="4" t="s">
        <v>346</v>
      </c>
      <c r="CF92" s="4" t="s">
        <v>1001</v>
      </c>
      <c r="CX92" s="4" t="s">
        <v>232</v>
      </c>
      <c r="CY92" s="4" t="s">
        <v>402</v>
      </c>
      <c r="CZ92" s="4" t="s">
        <v>1253</v>
      </c>
      <c r="DC92" s="4" t="s">
        <v>198</v>
      </c>
      <c r="DD92" s="4" t="s">
        <v>441</v>
      </c>
      <c r="DE92" s="4" t="s">
        <v>1291</v>
      </c>
      <c r="DH92" s="4" t="s">
        <v>194</v>
      </c>
      <c r="DI92" s="4" t="s">
        <v>441</v>
      </c>
      <c r="DJ92" s="4" t="s">
        <v>688</v>
      </c>
      <c r="DM92" s="4" t="s">
        <v>196</v>
      </c>
      <c r="DN92" s="4" t="s">
        <v>441</v>
      </c>
      <c r="DO92" s="4" t="s">
        <v>689</v>
      </c>
      <c r="DR92" s="4" t="s">
        <v>210</v>
      </c>
      <c r="DS92" s="4" t="s">
        <v>521</v>
      </c>
      <c r="DT92" s="4" t="s">
        <v>1485</v>
      </c>
    </row>
    <row r="93" spans="2:124">
      <c r="B93" s="4" t="s">
        <v>192</v>
      </c>
      <c r="C93" s="4" t="s">
        <v>32</v>
      </c>
      <c r="D93" s="4" t="s">
        <v>193</v>
      </c>
      <c r="G93" s="4" t="s">
        <v>192</v>
      </c>
      <c r="H93" s="4" t="s">
        <v>289</v>
      </c>
      <c r="I93" s="4" t="s">
        <v>193</v>
      </c>
      <c r="L93" s="4" t="s">
        <v>174</v>
      </c>
      <c r="M93" s="4" t="s">
        <v>55</v>
      </c>
      <c r="N93" s="4" t="s">
        <v>175</v>
      </c>
      <c r="Q93" s="4" t="s">
        <v>174</v>
      </c>
      <c r="R93" s="4" t="s">
        <v>293</v>
      </c>
      <c r="S93" s="4" t="s">
        <v>175</v>
      </c>
      <c r="AA93" s="4" t="s">
        <v>174</v>
      </c>
      <c r="AB93" s="4" t="s">
        <v>345</v>
      </c>
      <c r="AC93" s="4" t="s">
        <v>455</v>
      </c>
      <c r="AF93" s="4" t="s">
        <v>212</v>
      </c>
      <c r="AG93" s="4" t="s">
        <v>577</v>
      </c>
      <c r="AH93" s="4" t="s">
        <v>578</v>
      </c>
      <c r="AK93" s="4" t="s">
        <v>192</v>
      </c>
      <c r="AL93" s="4" t="s">
        <v>346</v>
      </c>
      <c r="AM93" s="4" t="s">
        <v>330</v>
      </c>
      <c r="AP93" s="4" t="s">
        <v>178</v>
      </c>
      <c r="AQ93" s="4" t="s">
        <v>441</v>
      </c>
      <c r="AR93" s="4" t="s">
        <v>680</v>
      </c>
      <c r="AZ93" s="4" t="s">
        <v>174</v>
      </c>
      <c r="BA93" s="4" t="s">
        <v>345</v>
      </c>
      <c r="BB93" s="4" t="s">
        <v>765</v>
      </c>
      <c r="BE93" s="4" t="s">
        <v>190</v>
      </c>
      <c r="BF93" s="4" t="s">
        <v>441</v>
      </c>
      <c r="BG93" s="4" t="s">
        <v>686</v>
      </c>
      <c r="BJ93" s="4" t="s">
        <v>192</v>
      </c>
      <c r="BK93" s="4" t="s">
        <v>441</v>
      </c>
      <c r="BL93" s="4" t="s">
        <v>808</v>
      </c>
      <c r="BT93" s="4" t="s">
        <v>218</v>
      </c>
      <c r="BU93" s="4" t="s">
        <v>45</v>
      </c>
      <c r="BV93" s="4" t="s">
        <v>938</v>
      </c>
      <c r="BY93" s="4" t="s">
        <v>210</v>
      </c>
      <c r="BZ93" s="4" t="s">
        <v>441</v>
      </c>
      <c r="CA93" s="4" t="s">
        <v>695</v>
      </c>
      <c r="CD93" s="4" t="s">
        <v>192</v>
      </c>
      <c r="CE93" s="4" t="s">
        <v>441</v>
      </c>
      <c r="CF93" s="4" t="s">
        <v>193</v>
      </c>
      <c r="CX93" s="4" t="s">
        <v>235</v>
      </c>
      <c r="CY93" s="4" t="s">
        <v>850</v>
      </c>
      <c r="CZ93" s="4" t="s">
        <v>1254</v>
      </c>
      <c r="DC93" s="4" t="s">
        <v>200</v>
      </c>
      <c r="DD93" s="4" t="s">
        <v>441</v>
      </c>
      <c r="DE93" s="4" t="s">
        <v>1291</v>
      </c>
      <c r="DH93" s="4" t="s">
        <v>196</v>
      </c>
      <c r="DI93" s="4" t="s">
        <v>441</v>
      </c>
      <c r="DJ93" s="4" t="s">
        <v>689</v>
      </c>
      <c r="DM93" s="4" t="s">
        <v>198</v>
      </c>
      <c r="DN93" s="4" t="s">
        <v>441</v>
      </c>
      <c r="DO93" s="4" t="s">
        <v>690</v>
      </c>
      <c r="DR93" s="4" t="s">
        <v>212</v>
      </c>
      <c r="DS93" s="4" t="s">
        <v>577</v>
      </c>
      <c r="DT93" s="4" t="s">
        <v>1486</v>
      </c>
    </row>
    <row r="94" spans="2:124">
      <c r="B94" s="4" t="s">
        <v>194</v>
      </c>
      <c r="C94" s="4" t="s">
        <v>32</v>
      </c>
      <c r="D94" s="4" t="s">
        <v>195</v>
      </c>
      <c r="G94" s="4" t="s">
        <v>194</v>
      </c>
      <c r="H94" s="4" t="s">
        <v>289</v>
      </c>
      <c r="I94" s="4" t="s">
        <v>304</v>
      </c>
      <c r="L94" s="4" t="s">
        <v>176</v>
      </c>
      <c r="M94" s="4" t="s">
        <v>55</v>
      </c>
      <c r="N94" s="4" t="s">
        <v>327</v>
      </c>
      <c r="Q94" s="4" t="s">
        <v>176</v>
      </c>
      <c r="R94" s="4" t="s">
        <v>293</v>
      </c>
      <c r="S94" s="4" t="s">
        <v>177</v>
      </c>
      <c r="AA94" s="4" t="s">
        <v>176</v>
      </c>
      <c r="AB94" s="4" t="s">
        <v>346</v>
      </c>
      <c r="AC94" s="4" t="s">
        <v>177</v>
      </c>
      <c r="AF94" s="4" t="s">
        <v>217</v>
      </c>
      <c r="AG94" s="4" t="s">
        <v>579</v>
      </c>
      <c r="AH94" s="4" t="s">
        <v>580</v>
      </c>
      <c r="AK94" s="4" t="s">
        <v>194</v>
      </c>
      <c r="AL94" s="4" t="s">
        <v>346</v>
      </c>
      <c r="AM94" s="4" t="s">
        <v>304</v>
      </c>
      <c r="AP94" s="4" t="s">
        <v>180</v>
      </c>
      <c r="AQ94" s="4" t="s">
        <v>345</v>
      </c>
      <c r="AR94" s="4" t="s">
        <v>681</v>
      </c>
      <c r="AZ94" s="4" t="s">
        <v>176</v>
      </c>
      <c r="BA94" s="4" t="s">
        <v>346</v>
      </c>
      <c r="BB94" s="4" t="s">
        <v>679</v>
      </c>
      <c r="BE94" s="4" t="s">
        <v>192</v>
      </c>
      <c r="BF94" s="4" t="s">
        <v>441</v>
      </c>
      <c r="BG94" s="4" t="s">
        <v>687</v>
      </c>
      <c r="BJ94" s="4" t="s">
        <v>194</v>
      </c>
      <c r="BK94" s="4" t="s">
        <v>441</v>
      </c>
      <c r="BL94" s="4" t="s">
        <v>809</v>
      </c>
      <c r="BT94" s="4" t="s">
        <v>220</v>
      </c>
      <c r="BU94" s="4" t="s">
        <v>614</v>
      </c>
      <c r="BV94" s="4" t="s">
        <v>939</v>
      </c>
      <c r="BY94" s="4" t="s">
        <v>212</v>
      </c>
      <c r="BZ94" s="4" t="s">
        <v>441</v>
      </c>
      <c r="CA94" s="4" t="s">
        <v>695</v>
      </c>
      <c r="CD94" s="4" t="s">
        <v>194</v>
      </c>
      <c r="CE94" s="4" t="s">
        <v>345</v>
      </c>
      <c r="CF94" s="4" t="s">
        <v>1002</v>
      </c>
      <c r="CX94" s="4" t="s">
        <v>237</v>
      </c>
      <c r="CY94" s="4" t="s">
        <v>603</v>
      </c>
      <c r="CZ94" s="4" t="s">
        <v>1255</v>
      </c>
      <c r="DC94" s="4" t="s">
        <v>201</v>
      </c>
      <c r="DD94" s="4" t="s">
        <v>441</v>
      </c>
      <c r="DE94" s="4" t="s">
        <v>1292</v>
      </c>
      <c r="DH94" s="4" t="s">
        <v>198</v>
      </c>
      <c r="DI94" s="4" t="s">
        <v>360</v>
      </c>
      <c r="DJ94" s="4" t="s">
        <v>1364</v>
      </c>
      <c r="DM94" s="4" t="s">
        <v>200</v>
      </c>
      <c r="DN94" s="4" t="s">
        <v>441</v>
      </c>
      <c r="DO94" s="4" t="s">
        <v>690</v>
      </c>
      <c r="DR94" s="4" t="s">
        <v>217</v>
      </c>
      <c r="DS94" s="4" t="s">
        <v>579</v>
      </c>
      <c r="DT94" s="4" t="s">
        <v>1487</v>
      </c>
    </row>
    <row r="95" spans="2:124">
      <c r="B95" s="4" t="s">
        <v>196</v>
      </c>
      <c r="C95" s="4" t="s">
        <v>32</v>
      </c>
      <c r="D95" s="4" t="s">
        <v>197</v>
      </c>
      <c r="G95" s="4" t="s">
        <v>196</v>
      </c>
      <c r="H95" s="4" t="s">
        <v>289</v>
      </c>
      <c r="I95" s="4" t="s">
        <v>197</v>
      </c>
      <c r="L95" s="4" t="s">
        <v>178</v>
      </c>
      <c r="M95" s="4" t="s">
        <v>32</v>
      </c>
      <c r="N95" s="4" t="s">
        <v>300</v>
      </c>
      <c r="Q95" s="4" t="s">
        <v>178</v>
      </c>
      <c r="R95" s="4" t="s">
        <v>289</v>
      </c>
      <c r="S95" s="4" t="s">
        <v>300</v>
      </c>
      <c r="AA95" s="4" t="s">
        <v>178</v>
      </c>
      <c r="AB95" s="4" t="s">
        <v>345</v>
      </c>
      <c r="AC95" s="4" t="s">
        <v>179</v>
      </c>
      <c r="AF95" s="4" t="s">
        <v>218</v>
      </c>
      <c r="AG95" s="4" t="s">
        <v>581</v>
      </c>
      <c r="AH95" s="4" t="s">
        <v>582</v>
      </c>
      <c r="AK95" s="4" t="s">
        <v>196</v>
      </c>
      <c r="AL95" s="4" t="s">
        <v>346</v>
      </c>
      <c r="AM95" s="4" t="s">
        <v>197</v>
      </c>
      <c r="AP95" s="4" t="s">
        <v>182</v>
      </c>
      <c r="AQ95" s="4" t="s">
        <v>441</v>
      </c>
      <c r="AR95" s="4" t="s">
        <v>682</v>
      </c>
      <c r="AZ95" s="4" t="s">
        <v>178</v>
      </c>
      <c r="BA95" s="4" t="s">
        <v>345</v>
      </c>
      <c r="BB95" s="4" t="s">
        <v>680</v>
      </c>
      <c r="BE95" s="4" t="s">
        <v>194</v>
      </c>
      <c r="BF95" s="4" t="s">
        <v>441</v>
      </c>
      <c r="BG95" s="4" t="s">
        <v>688</v>
      </c>
      <c r="BJ95" s="4" t="s">
        <v>196</v>
      </c>
      <c r="BK95" s="4" t="s">
        <v>441</v>
      </c>
      <c r="BL95" s="4" t="s">
        <v>810</v>
      </c>
      <c r="BT95" s="4" t="s">
        <v>222</v>
      </c>
      <c r="BU95" s="4" t="s">
        <v>614</v>
      </c>
      <c r="BV95" s="4" t="s">
        <v>940</v>
      </c>
      <c r="BY95" s="4" t="s">
        <v>213</v>
      </c>
      <c r="BZ95" s="4" t="s">
        <v>441</v>
      </c>
      <c r="CA95" s="4" t="s">
        <v>696</v>
      </c>
      <c r="CD95" s="4" t="s">
        <v>196</v>
      </c>
      <c r="CE95" s="4" t="s">
        <v>346</v>
      </c>
      <c r="CF95" s="4" t="s">
        <v>342</v>
      </c>
      <c r="CX95" s="4" t="s">
        <v>239</v>
      </c>
      <c r="CY95" s="4" t="s">
        <v>1256</v>
      </c>
      <c r="CZ95" s="4" t="s">
        <v>1257</v>
      </c>
      <c r="DC95" s="4" t="s">
        <v>203</v>
      </c>
      <c r="DD95" s="4" t="s">
        <v>441</v>
      </c>
      <c r="DE95" s="4" t="s">
        <v>1293</v>
      </c>
      <c r="DH95" s="4" t="s">
        <v>200</v>
      </c>
      <c r="DI95" s="4" t="s">
        <v>360</v>
      </c>
      <c r="DJ95" s="4" t="s">
        <v>1365</v>
      </c>
      <c r="DM95" s="4" t="s">
        <v>201</v>
      </c>
      <c r="DN95" s="4" t="s">
        <v>346</v>
      </c>
      <c r="DO95" s="4" t="s">
        <v>1389</v>
      </c>
      <c r="DR95" s="4" t="s">
        <v>218</v>
      </c>
      <c r="DS95" s="4" t="s">
        <v>581</v>
      </c>
      <c r="DT95" s="4" t="s">
        <v>1488</v>
      </c>
    </row>
    <row r="96" spans="2:124">
      <c r="B96" s="4" t="s">
        <v>198</v>
      </c>
      <c r="C96" s="4" t="s">
        <v>32</v>
      </c>
      <c r="D96" s="4" t="s">
        <v>199</v>
      </c>
      <c r="G96" s="4" t="s">
        <v>198</v>
      </c>
      <c r="H96" s="4" t="s">
        <v>289</v>
      </c>
      <c r="I96" s="4" t="s">
        <v>199</v>
      </c>
      <c r="L96" s="4" t="s">
        <v>180</v>
      </c>
      <c r="M96" s="4" t="s">
        <v>55</v>
      </c>
      <c r="N96" s="4" t="s">
        <v>328</v>
      </c>
      <c r="Q96" s="4" t="s">
        <v>180</v>
      </c>
      <c r="R96" s="4" t="s">
        <v>293</v>
      </c>
      <c r="S96" s="4" t="s">
        <v>328</v>
      </c>
      <c r="AA96" s="4" t="s">
        <v>180</v>
      </c>
      <c r="AB96" s="4" t="s">
        <v>346</v>
      </c>
      <c r="AC96" s="4" t="s">
        <v>181</v>
      </c>
      <c r="AF96" s="4" t="s">
        <v>220</v>
      </c>
      <c r="AG96" s="4" t="s">
        <v>539</v>
      </c>
      <c r="AH96" s="4" t="s">
        <v>583</v>
      </c>
      <c r="AK96" s="4" t="s">
        <v>198</v>
      </c>
      <c r="AL96" s="4" t="s">
        <v>346</v>
      </c>
      <c r="AM96" s="4" t="s">
        <v>624</v>
      </c>
      <c r="AP96" s="4" t="s">
        <v>184</v>
      </c>
      <c r="AQ96" s="4" t="s">
        <v>441</v>
      </c>
      <c r="AR96" s="4" t="s">
        <v>683</v>
      </c>
      <c r="AZ96" s="4" t="s">
        <v>180</v>
      </c>
      <c r="BA96" s="4" t="s">
        <v>346</v>
      </c>
      <c r="BB96" s="4" t="s">
        <v>681</v>
      </c>
      <c r="BE96" s="4" t="s">
        <v>196</v>
      </c>
      <c r="BF96" s="4" t="s">
        <v>441</v>
      </c>
      <c r="BG96" s="4" t="s">
        <v>689</v>
      </c>
      <c r="BJ96" s="4" t="s">
        <v>198</v>
      </c>
      <c r="BK96" s="4" t="s">
        <v>441</v>
      </c>
      <c r="BL96" s="4" t="s">
        <v>811</v>
      </c>
      <c r="BT96" s="4" t="s">
        <v>224</v>
      </c>
      <c r="BU96" s="4" t="s">
        <v>446</v>
      </c>
      <c r="BV96" s="4" t="s">
        <v>941</v>
      </c>
      <c r="BY96" s="4" t="s">
        <v>217</v>
      </c>
      <c r="BZ96" s="4" t="s">
        <v>441</v>
      </c>
      <c r="CA96" s="4" t="s">
        <v>697</v>
      </c>
      <c r="CD96" s="4" t="s">
        <v>198</v>
      </c>
      <c r="CE96" s="4" t="s">
        <v>446</v>
      </c>
      <c r="CF96" s="4" t="s">
        <v>974</v>
      </c>
      <c r="CX96" s="4" t="s">
        <v>241</v>
      </c>
      <c r="CY96" s="4" t="s">
        <v>1258</v>
      </c>
      <c r="CZ96" s="4" t="s">
        <v>1259</v>
      </c>
      <c r="DC96" s="4" t="s">
        <v>205</v>
      </c>
      <c r="DD96" s="4" t="s">
        <v>441</v>
      </c>
      <c r="DE96" s="4" t="s">
        <v>1293</v>
      </c>
      <c r="DH96" s="4" t="s">
        <v>201</v>
      </c>
      <c r="DI96" s="4" t="s">
        <v>444</v>
      </c>
      <c r="DJ96" s="4" t="s">
        <v>1366</v>
      </c>
      <c r="DM96" s="4" t="s">
        <v>203</v>
      </c>
      <c r="DN96" s="4" t="s">
        <v>441</v>
      </c>
      <c r="DO96" s="4" t="s">
        <v>692</v>
      </c>
      <c r="DR96" s="4" t="s">
        <v>220</v>
      </c>
      <c r="DS96" s="4" t="s">
        <v>539</v>
      </c>
      <c r="DT96" s="4" t="s">
        <v>1489</v>
      </c>
    </row>
    <row r="97" spans="2:124">
      <c r="B97" s="4" t="s">
        <v>200</v>
      </c>
      <c r="C97" s="4" t="s">
        <v>32</v>
      </c>
      <c r="D97" s="4" t="s">
        <v>199</v>
      </c>
      <c r="G97" s="4" t="s">
        <v>200</v>
      </c>
      <c r="H97" s="4" t="s">
        <v>289</v>
      </c>
      <c r="I97" s="4" t="s">
        <v>199</v>
      </c>
      <c r="L97" s="4" t="s">
        <v>182</v>
      </c>
      <c r="M97" s="4" t="s">
        <v>32</v>
      </c>
      <c r="N97" s="4" t="s">
        <v>183</v>
      </c>
      <c r="Q97" s="4" t="s">
        <v>182</v>
      </c>
      <c r="R97" s="4" t="s">
        <v>289</v>
      </c>
      <c r="S97" s="4" t="s">
        <v>183</v>
      </c>
      <c r="AA97" s="4" t="s">
        <v>182</v>
      </c>
      <c r="AB97" s="4" t="s">
        <v>345</v>
      </c>
      <c r="AC97" s="4" t="s">
        <v>456</v>
      </c>
      <c r="AF97" s="4" t="s">
        <v>222</v>
      </c>
      <c r="AG97" s="4" t="s">
        <v>521</v>
      </c>
      <c r="AH97" s="4" t="s">
        <v>584</v>
      </c>
      <c r="AK97" s="4" t="s">
        <v>200</v>
      </c>
      <c r="AL97" s="4" t="s">
        <v>346</v>
      </c>
      <c r="AM97" s="4" t="s">
        <v>624</v>
      </c>
      <c r="AP97" s="4" t="s">
        <v>186</v>
      </c>
      <c r="AQ97" s="4" t="s">
        <v>441</v>
      </c>
      <c r="AR97" s="4" t="s">
        <v>684</v>
      </c>
      <c r="AZ97" s="4" t="s">
        <v>182</v>
      </c>
      <c r="BA97" s="4" t="s">
        <v>345</v>
      </c>
      <c r="BB97" s="4" t="s">
        <v>682</v>
      </c>
      <c r="BE97" s="4" t="s">
        <v>198</v>
      </c>
      <c r="BF97" s="4" t="s">
        <v>441</v>
      </c>
      <c r="BG97" s="4" t="s">
        <v>690</v>
      </c>
      <c r="BJ97" s="4" t="s">
        <v>200</v>
      </c>
      <c r="BK97" s="4" t="s">
        <v>441</v>
      </c>
      <c r="BL97" s="4" t="s">
        <v>811</v>
      </c>
      <c r="BT97" s="4" t="s">
        <v>226</v>
      </c>
      <c r="BU97" s="4" t="s">
        <v>436</v>
      </c>
      <c r="BV97" s="4" t="s">
        <v>942</v>
      </c>
      <c r="BY97" s="4" t="s">
        <v>218</v>
      </c>
      <c r="BZ97" s="4" t="s">
        <v>345</v>
      </c>
      <c r="CA97" s="4" t="s">
        <v>698</v>
      </c>
      <c r="CD97" s="4" t="s">
        <v>200</v>
      </c>
      <c r="CE97" s="4" t="s">
        <v>446</v>
      </c>
      <c r="CF97" s="4" t="s">
        <v>980</v>
      </c>
      <c r="CX97" s="4" t="s">
        <v>243</v>
      </c>
      <c r="CY97" s="4" t="s">
        <v>1260</v>
      </c>
      <c r="CZ97" s="4" t="s">
        <v>1261</v>
      </c>
      <c r="DC97" s="4" t="s">
        <v>206</v>
      </c>
      <c r="DD97" s="4" t="s">
        <v>441</v>
      </c>
      <c r="DE97" s="4" t="s">
        <v>1294</v>
      </c>
      <c r="DH97" s="4" t="s">
        <v>203</v>
      </c>
      <c r="DI97" s="4" t="s">
        <v>441</v>
      </c>
      <c r="DJ97" s="4" t="s">
        <v>692</v>
      </c>
      <c r="DM97" s="4" t="s">
        <v>205</v>
      </c>
      <c r="DN97" s="4" t="s">
        <v>441</v>
      </c>
      <c r="DO97" s="4" t="s">
        <v>692</v>
      </c>
      <c r="DR97" s="4" t="s">
        <v>222</v>
      </c>
      <c r="DS97" s="4" t="s">
        <v>521</v>
      </c>
      <c r="DT97" s="4" t="s">
        <v>1490</v>
      </c>
    </row>
    <row r="98" spans="2:124">
      <c r="B98" s="4" t="s">
        <v>201</v>
      </c>
      <c r="C98" s="4" t="s">
        <v>55</v>
      </c>
      <c r="D98" s="4" t="s">
        <v>202</v>
      </c>
      <c r="G98" s="4" t="s">
        <v>201</v>
      </c>
      <c r="H98" s="4" t="s">
        <v>293</v>
      </c>
      <c r="I98" s="4" t="s">
        <v>202</v>
      </c>
      <c r="L98" s="4" t="s">
        <v>184</v>
      </c>
      <c r="M98" s="4" t="s">
        <v>32</v>
      </c>
      <c r="N98" s="4" t="s">
        <v>301</v>
      </c>
      <c r="Q98" s="4" t="s">
        <v>184</v>
      </c>
      <c r="R98" s="4" t="s">
        <v>289</v>
      </c>
      <c r="S98" s="4" t="s">
        <v>301</v>
      </c>
      <c r="AA98" s="4" t="s">
        <v>184</v>
      </c>
      <c r="AB98" s="4" t="s">
        <v>345</v>
      </c>
      <c r="AC98" s="4" t="s">
        <v>301</v>
      </c>
      <c r="AF98" s="4" t="s">
        <v>224</v>
      </c>
      <c r="AG98" s="4" t="s">
        <v>585</v>
      </c>
      <c r="AH98" s="4" t="s">
        <v>586</v>
      </c>
      <c r="AK98" s="4" t="s">
        <v>201</v>
      </c>
      <c r="AL98" s="4" t="s">
        <v>360</v>
      </c>
      <c r="AM98" s="4" t="s">
        <v>625</v>
      </c>
      <c r="AP98" s="4" t="s">
        <v>188</v>
      </c>
      <c r="AQ98" s="4" t="s">
        <v>441</v>
      </c>
      <c r="AR98" s="4" t="s">
        <v>685</v>
      </c>
      <c r="AZ98" s="4" t="s">
        <v>184</v>
      </c>
      <c r="BA98" s="4" t="s">
        <v>345</v>
      </c>
      <c r="BB98" s="4" t="s">
        <v>683</v>
      </c>
      <c r="BE98" s="4" t="s">
        <v>200</v>
      </c>
      <c r="BF98" s="4" t="s">
        <v>441</v>
      </c>
      <c r="BG98" s="4" t="s">
        <v>690</v>
      </c>
      <c r="BJ98" s="4" t="s">
        <v>201</v>
      </c>
      <c r="BK98" s="4" t="s">
        <v>441</v>
      </c>
      <c r="BL98" s="4" t="s">
        <v>812</v>
      </c>
      <c r="BT98" s="4" t="s">
        <v>227</v>
      </c>
      <c r="BU98" s="4" t="s">
        <v>393</v>
      </c>
      <c r="BV98" s="4" t="s">
        <v>943</v>
      </c>
      <c r="BY98" s="4" t="s">
        <v>220</v>
      </c>
      <c r="BZ98" s="4" t="s">
        <v>441</v>
      </c>
      <c r="CA98" s="4" t="s">
        <v>699</v>
      </c>
      <c r="CD98" s="4" t="s">
        <v>201</v>
      </c>
      <c r="CE98" s="4" t="s">
        <v>446</v>
      </c>
      <c r="CF98" s="4" t="s">
        <v>1003</v>
      </c>
      <c r="CX98" s="4" t="s">
        <v>245</v>
      </c>
      <c r="CY98" s="4" t="s">
        <v>1262</v>
      </c>
      <c r="CZ98" s="4" t="s">
        <v>1263</v>
      </c>
      <c r="DC98" s="4" t="s">
        <v>208</v>
      </c>
      <c r="DD98" s="4" t="s">
        <v>441</v>
      </c>
      <c r="DE98" s="4" t="s">
        <v>1295</v>
      </c>
      <c r="DH98" s="4" t="s">
        <v>205</v>
      </c>
      <c r="DI98" s="4" t="s">
        <v>360</v>
      </c>
      <c r="DJ98" s="4" t="s">
        <v>1367</v>
      </c>
      <c r="DM98" s="4" t="s">
        <v>206</v>
      </c>
      <c r="DN98" s="4" t="s">
        <v>441</v>
      </c>
      <c r="DO98" s="4" t="s">
        <v>693</v>
      </c>
      <c r="DR98" s="4" t="s">
        <v>224</v>
      </c>
      <c r="DS98" s="4" t="s">
        <v>585</v>
      </c>
      <c r="DT98" s="4" t="s">
        <v>1491</v>
      </c>
    </row>
    <row r="99" spans="2:124">
      <c r="B99" s="4" t="s">
        <v>203</v>
      </c>
      <c r="C99" s="4" t="s">
        <v>32</v>
      </c>
      <c r="D99" s="4" t="s">
        <v>204</v>
      </c>
      <c r="G99" s="4" t="s">
        <v>203</v>
      </c>
      <c r="H99" s="4" t="s">
        <v>289</v>
      </c>
      <c r="I99" s="4" t="s">
        <v>204</v>
      </c>
      <c r="L99" s="4" t="s">
        <v>186</v>
      </c>
      <c r="M99" s="4" t="s">
        <v>32</v>
      </c>
      <c r="N99" s="4" t="s">
        <v>329</v>
      </c>
      <c r="Q99" s="4" t="s">
        <v>186</v>
      </c>
      <c r="R99" s="4" t="s">
        <v>289</v>
      </c>
      <c r="S99" s="4" t="s">
        <v>187</v>
      </c>
      <c r="AA99" s="4" t="s">
        <v>186</v>
      </c>
      <c r="AB99" s="4" t="s">
        <v>345</v>
      </c>
      <c r="AC99" s="4" t="s">
        <v>329</v>
      </c>
      <c r="AF99" s="4" t="s">
        <v>226</v>
      </c>
      <c r="AG99" s="4" t="s">
        <v>356</v>
      </c>
      <c r="AH99" s="4" t="s">
        <v>587</v>
      </c>
      <c r="AK99" s="4" t="s">
        <v>203</v>
      </c>
      <c r="AL99" s="4" t="s">
        <v>346</v>
      </c>
      <c r="AM99" s="4" t="s">
        <v>626</v>
      </c>
      <c r="AP99" s="4" t="s">
        <v>190</v>
      </c>
      <c r="AQ99" s="4" t="s">
        <v>441</v>
      </c>
      <c r="AR99" s="4" t="s">
        <v>686</v>
      </c>
      <c r="AZ99" s="4" t="s">
        <v>186</v>
      </c>
      <c r="BA99" s="4" t="s">
        <v>345</v>
      </c>
      <c r="BB99" s="4" t="s">
        <v>684</v>
      </c>
      <c r="BE99" s="4" t="s">
        <v>201</v>
      </c>
      <c r="BF99" s="4" t="s">
        <v>346</v>
      </c>
      <c r="BG99" s="4" t="s">
        <v>789</v>
      </c>
      <c r="BJ99" s="4" t="s">
        <v>203</v>
      </c>
      <c r="BK99" s="4" t="s">
        <v>441</v>
      </c>
      <c r="BL99" s="4" t="s">
        <v>813</v>
      </c>
      <c r="BT99" s="4" t="s">
        <v>228</v>
      </c>
      <c r="BU99" s="4" t="s">
        <v>944</v>
      </c>
      <c r="BV99" s="4" t="s">
        <v>945</v>
      </c>
      <c r="BY99" s="4" t="s">
        <v>222</v>
      </c>
      <c r="BZ99" s="4" t="s">
        <v>441</v>
      </c>
      <c r="CA99" s="4" t="s">
        <v>700</v>
      </c>
      <c r="CD99" s="4" t="s">
        <v>203</v>
      </c>
      <c r="CE99" s="4" t="s">
        <v>346</v>
      </c>
      <c r="CF99" s="4" t="s">
        <v>204</v>
      </c>
      <c r="CX99" s="4" t="s">
        <v>247</v>
      </c>
      <c r="CY99" s="4" t="s">
        <v>1264</v>
      </c>
      <c r="CZ99" s="4" t="s">
        <v>1250</v>
      </c>
      <c r="DC99" s="4" t="s">
        <v>210</v>
      </c>
      <c r="DD99" s="4" t="s">
        <v>441</v>
      </c>
      <c r="DE99" s="4" t="s">
        <v>1296</v>
      </c>
      <c r="DH99" s="4" t="s">
        <v>206</v>
      </c>
      <c r="DI99" s="4" t="s">
        <v>441</v>
      </c>
      <c r="DJ99" s="4" t="s">
        <v>693</v>
      </c>
      <c r="DM99" s="4" t="s">
        <v>208</v>
      </c>
      <c r="DN99" s="4" t="s">
        <v>441</v>
      </c>
      <c r="DO99" s="4" t="s">
        <v>694</v>
      </c>
      <c r="DR99" s="4" t="s">
        <v>226</v>
      </c>
      <c r="DS99" s="4" t="s">
        <v>356</v>
      </c>
      <c r="DT99" s="4" t="s">
        <v>1492</v>
      </c>
    </row>
    <row r="100" spans="2:124">
      <c r="B100" s="4" t="s">
        <v>205</v>
      </c>
      <c r="C100" s="4" t="s">
        <v>32</v>
      </c>
      <c r="D100" s="4" t="s">
        <v>204</v>
      </c>
      <c r="G100" s="4" t="s">
        <v>205</v>
      </c>
      <c r="H100" s="4" t="s">
        <v>289</v>
      </c>
      <c r="I100" s="4" t="s">
        <v>204</v>
      </c>
      <c r="L100" s="4" t="s">
        <v>188</v>
      </c>
      <c r="M100" s="4" t="s">
        <v>32</v>
      </c>
      <c r="N100" s="4" t="s">
        <v>302</v>
      </c>
      <c r="Q100" s="4" t="s">
        <v>188</v>
      </c>
      <c r="R100" s="4" t="s">
        <v>289</v>
      </c>
      <c r="S100" s="4" t="s">
        <v>302</v>
      </c>
      <c r="AA100" s="4" t="s">
        <v>188</v>
      </c>
      <c r="AB100" s="4" t="s">
        <v>345</v>
      </c>
      <c r="AC100" s="4" t="s">
        <v>302</v>
      </c>
      <c r="AF100" s="4" t="s">
        <v>227</v>
      </c>
      <c r="AG100" s="4" t="s">
        <v>376</v>
      </c>
      <c r="AH100" s="4" t="s">
        <v>588</v>
      </c>
      <c r="AK100" s="4" t="s">
        <v>205</v>
      </c>
      <c r="AL100" s="4" t="s">
        <v>346</v>
      </c>
      <c r="AM100" s="4" t="s">
        <v>626</v>
      </c>
      <c r="AP100" s="4" t="s">
        <v>192</v>
      </c>
      <c r="AQ100" s="4" t="s">
        <v>441</v>
      </c>
      <c r="AR100" s="4" t="s">
        <v>687</v>
      </c>
      <c r="AZ100" s="4" t="s">
        <v>188</v>
      </c>
      <c r="BA100" s="4" t="s">
        <v>345</v>
      </c>
      <c r="BB100" s="4" t="s">
        <v>685</v>
      </c>
      <c r="BE100" s="4" t="s">
        <v>203</v>
      </c>
      <c r="BF100" s="4" t="s">
        <v>441</v>
      </c>
      <c r="BG100" s="4" t="s">
        <v>692</v>
      </c>
      <c r="BJ100" s="4" t="s">
        <v>205</v>
      </c>
      <c r="BK100" s="4" t="s">
        <v>441</v>
      </c>
      <c r="BL100" s="4" t="s">
        <v>813</v>
      </c>
      <c r="BT100" s="4" t="s">
        <v>232</v>
      </c>
      <c r="BU100" s="4" t="s">
        <v>345</v>
      </c>
      <c r="BV100" s="4" t="s">
        <v>946</v>
      </c>
      <c r="BY100" s="4" t="s">
        <v>224</v>
      </c>
      <c r="BZ100" s="4" t="s">
        <v>441</v>
      </c>
      <c r="CA100" s="4" t="s">
        <v>701</v>
      </c>
      <c r="CD100" s="4" t="s">
        <v>205</v>
      </c>
      <c r="CE100" s="4" t="s">
        <v>444</v>
      </c>
      <c r="CF100" s="4" t="s">
        <v>204</v>
      </c>
      <c r="CX100" s="4" t="s">
        <v>249</v>
      </c>
      <c r="CY100" s="4" t="s">
        <v>1265</v>
      </c>
      <c r="CZ100" s="4" t="s">
        <v>1266</v>
      </c>
      <c r="DC100" s="4" t="s">
        <v>212</v>
      </c>
      <c r="DD100" s="4" t="s">
        <v>441</v>
      </c>
      <c r="DE100" s="4" t="s">
        <v>1296</v>
      </c>
      <c r="DH100" s="4" t="s">
        <v>208</v>
      </c>
      <c r="DI100" s="4" t="s">
        <v>441</v>
      </c>
      <c r="DJ100" s="4" t="s">
        <v>694</v>
      </c>
      <c r="DM100" s="4" t="s">
        <v>210</v>
      </c>
      <c r="DN100" s="4" t="s">
        <v>441</v>
      </c>
      <c r="DO100" s="4" t="s">
        <v>695</v>
      </c>
      <c r="DR100" s="4" t="s">
        <v>227</v>
      </c>
      <c r="DS100" s="4" t="s">
        <v>376</v>
      </c>
      <c r="DT100" s="4" t="s">
        <v>1493</v>
      </c>
    </row>
    <row r="101" spans="2:124">
      <c r="B101" s="4" t="s">
        <v>206</v>
      </c>
      <c r="C101" s="4" t="s">
        <v>32</v>
      </c>
      <c r="D101" s="4" t="s">
        <v>207</v>
      </c>
      <c r="G101" s="4" t="s">
        <v>206</v>
      </c>
      <c r="H101" s="4" t="s">
        <v>289</v>
      </c>
      <c r="I101" s="4" t="s">
        <v>207</v>
      </c>
      <c r="L101" s="4" t="s">
        <v>190</v>
      </c>
      <c r="M101" s="4" t="s">
        <v>32</v>
      </c>
      <c r="N101" s="4" t="s">
        <v>303</v>
      </c>
      <c r="Q101" s="4" t="s">
        <v>190</v>
      </c>
      <c r="R101" s="4" t="s">
        <v>289</v>
      </c>
      <c r="S101" s="4" t="s">
        <v>191</v>
      </c>
      <c r="AA101" s="4" t="s">
        <v>190</v>
      </c>
      <c r="AB101" s="4" t="s">
        <v>345</v>
      </c>
      <c r="AC101" s="4" t="s">
        <v>191</v>
      </c>
      <c r="AF101" s="4" t="s">
        <v>228</v>
      </c>
      <c r="AG101" s="4" t="s">
        <v>341</v>
      </c>
      <c r="AH101" s="4" t="s">
        <v>589</v>
      </c>
      <c r="AK101" s="4" t="s">
        <v>206</v>
      </c>
      <c r="AL101" s="4" t="s">
        <v>346</v>
      </c>
      <c r="AM101" s="4" t="s">
        <v>207</v>
      </c>
      <c r="AP101" s="4" t="s">
        <v>194</v>
      </c>
      <c r="AQ101" s="4" t="s">
        <v>441</v>
      </c>
      <c r="AR101" s="4" t="s">
        <v>688</v>
      </c>
      <c r="AZ101" s="4" t="s">
        <v>190</v>
      </c>
      <c r="BA101" s="4" t="s">
        <v>345</v>
      </c>
      <c r="BB101" s="4" t="s">
        <v>686</v>
      </c>
      <c r="BE101" s="4" t="s">
        <v>205</v>
      </c>
      <c r="BF101" s="4" t="s">
        <v>441</v>
      </c>
      <c r="BG101" s="4" t="s">
        <v>692</v>
      </c>
      <c r="BJ101" s="4" t="s">
        <v>206</v>
      </c>
      <c r="BK101" s="4" t="s">
        <v>441</v>
      </c>
      <c r="BL101" s="4" t="s">
        <v>814</v>
      </c>
      <c r="BT101" s="4" t="s">
        <v>235</v>
      </c>
      <c r="BU101" s="4" t="s">
        <v>360</v>
      </c>
      <c r="BV101" s="4" t="s">
        <v>947</v>
      </c>
      <c r="BY101" s="4" t="s">
        <v>226</v>
      </c>
      <c r="BZ101" s="4" t="s">
        <v>441</v>
      </c>
      <c r="CA101" s="4" t="s">
        <v>701</v>
      </c>
      <c r="CD101" s="4" t="s">
        <v>206</v>
      </c>
      <c r="CE101" s="4" t="s">
        <v>346</v>
      </c>
      <c r="CF101" s="4" t="s">
        <v>343</v>
      </c>
      <c r="CX101" s="4" t="s">
        <v>253</v>
      </c>
      <c r="CY101" s="4" t="s">
        <v>1267</v>
      </c>
      <c r="CZ101" s="4" t="s">
        <v>1268</v>
      </c>
      <c r="DC101" s="4" t="s">
        <v>213</v>
      </c>
      <c r="DD101" s="4" t="s">
        <v>441</v>
      </c>
      <c r="DE101" s="4" t="s">
        <v>1297</v>
      </c>
      <c r="DH101" s="4" t="s">
        <v>210</v>
      </c>
      <c r="DI101" s="4" t="s">
        <v>441</v>
      </c>
      <c r="DJ101" s="4" t="s">
        <v>695</v>
      </c>
      <c r="DM101" s="4" t="s">
        <v>212</v>
      </c>
      <c r="DN101" s="4" t="s">
        <v>441</v>
      </c>
      <c r="DO101" s="4" t="s">
        <v>695</v>
      </c>
      <c r="DR101" s="4" t="s">
        <v>228</v>
      </c>
      <c r="DS101" s="4" t="s">
        <v>341</v>
      </c>
      <c r="DT101" s="4" t="s">
        <v>1494</v>
      </c>
    </row>
    <row r="102" spans="2:124">
      <c r="B102" s="4" t="s">
        <v>208</v>
      </c>
      <c r="C102" s="4" t="s">
        <v>32</v>
      </c>
      <c r="D102" s="4" t="s">
        <v>209</v>
      </c>
      <c r="G102" s="4" t="s">
        <v>208</v>
      </c>
      <c r="H102" s="4" t="s">
        <v>289</v>
      </c>
      <c r="I102" s="4" t="s">
        <v>209</v>
      </c>
      <c r="L102" s="4" t="s">
        <v>192</v>
      </c>
      <c r="M102" s="4" t="s">
        <v>32</v>
      </c>
      <c r="N102" s="4" t="s">
        <v>330</v>
      </c>
      <c r="Q102" s="4" t="s">
        <v>192</v>
      </c>
      <c r="R102" s="4" t="s">
        <v>289</v>
      </c>
      <c r="S102" s="4" t="s">
        <v>193</v>
      </c>
      <c r="AA102" s="4" t="s">
        <v>192</v>
      </c>
      <c r="AB102" s="4" t="s">
        <v>345</v>
      </c>
      <c r="AC102" s="4" t="s">
        <v>193</v>
      </c>
      <c r="AF102" s="4" t="s">
        <v>232</v>
      </c>
      <c r="AG102" s="4" t="s">
        <v>346</v>
      </c>
      <c r="AH102" s="4" t="s">
        <v>590</v>
      </c>
      <c r="AK102" s="4" t="s">
        <v>208</v>
      </c>
      <c r="AL102" s="4" t="s">
        <v>346</v>
      </c>
      <c r="AM102" s="4" t="s">
        <v>209</v>
      </c>
      <c r="AP102" s="4" t="s">
        <v>196</v>
      </c>
      <c r="AQ102" s="4" t="s">
        <v>441</v>
      </c>
      <c r="AR102" s="4" t="s">
        <v>689</v>
      </c>
      <c r="AZ102" s="4" t="s">
        <v>192</v>
      </c>
      <c r="BA102" s="4" t="s">
        <v>345</v>
      </c>
      <c r="BB102" s="4" t="s">
        <v>687</v>
      </c>
      <c r="BE102" s="4" t="s">
        <v>206</v>
      </c>
      <c r="BF102" s="4" t="s">
        <v>441</v>
      </c>
      <c r="BG102" s="4" t="s">
        <v>693</v>
      </c>
      <c r="BJ102" s="4" t="s">
        <v>208</v>
      </c>
      <c r="BK102" s="4" t="s">
        <v>441</v>
      </c>
      <c r="BL102" s="4" t="s">
        <v>815</v>
      </c>
      <c r="BT102" s="4" t="s">
        <v>237</v>
      </c>
      <c r="BU102" s="4" t="s">
        <v>441</v>
      </c>
      <c r="BV102" s="4" t="s">
        <v>948</v>
      </c>
      <c r="BY102" s="4" t="s">
        <v>227</v>
      </c>
      <c r="BZ102" s="4" t="s">
        <v>441</v>
      </c>
      <c r="CA102" s="4" t="s">
        <v>701</v>
      </c>
      <c r="CD102" s="4" t="s">
        <v>208</v>
      </c>
      <c r="CE102" s="4" t="s">
        <v>434</v>
      </c>
      <c r="CF102" s="4" t="s">
        <v>1004</v>
      </c>
      <c r="CX102" s="4" t="s">
        <v>255</v>
      </c>
      <c r="CY102" s="4" t="s">
        <v>1269</v>
      </c>
      <c r="CZ102" s="4" t="s">
        <v>1270</v>
      </c>
      <c r="DC102" s="4" t="s">
        <v>215</v>
      </c>
      <c r="DD102" s="4" t="s">
        <v>441</v>
      </c>
      <c r="DE102" s="4" t="s">
        <v>1298</v>
      </c>
      <c r="DH102" s="4" t="s">
        <v>212</v>
      </c>
      <c r="DI102" s="4" t="s">
        <v>441</v>
      </c>
      <c r="DJ102" s="4" t="s">
        <v>695</v>
      </c>
      <c r="DM102" s="4" t="s">
        <v>213</v>
      </c>
      <c r="DN102" s="4" t="s">
        <v>441</v>
      </c>
      <c r="DO102" s="4" t="s">
        <v>696</v>
      </c>
      <c r="DR102" s="4" t="s">
        <v>232</v>
      </c>
      <c r="DS102" s="4" t="s">
        <v>346</v>
      </c>
      <c r="DT102" s="4" t="s">
        <v>1495</v>
      </c>
    </row>
    <row r="103" spans="2:124">
      <c r="B103" s="4" t="s">
        <v>210</v>
      </c>
      <c r="C103" s="4" t="s">
        <v>32</v>
      </c>
      <c r="D103" s="4" t="s">
        <v>211</v>
      </c>
      <c r="G103" s="4" t="s">
        <v>210</v>
      </c>
      <c r="H103" s="4" t="s">
        <v>289</v>
      </c>
      <c r="I103" s="4" t="s">
        <v>305</v>
      </c>
      <c r="L103" s="4" t="s">
        <v>194</v>
      </c>
      <c r="M103" s="4" t="s">
        <v>32</v>
      </c>
      <c r="N103" s="4" t="s">
        <v>195</v>
      </c>
      <c r="Q103" s="4" t="s">
        <v>194</v>
      </c>
      <c r="R103" s="4" t="s">
        <v>289</v>
      </c>
      <c r="S103" s="4" t="s">
        <v>195</v>
      </c>
      <c r="AA103" s="4" t="s">
        <v>194</v>
      </c>
      <c r="AB103" s="4" t="s">
        <v>345</v>
      </c>
      <c r="AC103" s="4" t="s">
        <v>195</v>
      </c>
      <c r="AF103" s="4" t="s">
        <v>235</v>
      </c>
      <c r="AG103" s="4" t="s">
        <v>555</v>
      </c>
      <c r="AH103" s="4" t="s">
        <v>591</v>
      </c>
      <c r="AK103" s="4" t="s">
        <v>210</v>
      </c>
      <c r="AL103" s="4" t="s">
        <v>346</v>
      </c>
      <c r="AM103" s="4" t="s">
        <v>211</v>
      </c>
      <c r="AP103" s="4" t="s">
        <v>198</v>
      </c>
      <c r="AQ103" s="4" t="s">
        <v>441</v>
      </c>
      <c r="AR103" s="4" t="s">
        <v>690</v>
      </c>
      <c r="AZ103" s="4" t="s">
        <v>194</v>
      </c>
      <c r="BA103" s="4" t="s">
        <v>345</v>
      </c>
      <c r="BB103" s="4" t="s">
        <v>688</v>
      </c>
      <c r="BE103" s="4" t="s">
        <v>208</v>
      </c>
      <c r="BF103" s="4" t="s">
        <v>441</v>
      </c>
      <c r="BG103" s="4" t="s">
        <v>694</v>
      </c>
      <c r="BJ103" s="4" t="s">
        <v>210</v>
      </c>
      <c r="BK103" s="4" t="s">
        <v>441</v>
      </c>
      <c r="BL103" s="4" t="s">
        <v>816</v>
      </c>
      <c r="BT103" s="4" t="s">
        <v>239</v>
      </c>
      <c r="BU103" s="4" t="s">
        <v>298</v>
      </c>
      <c r="BV103" s="4" t="s">
        <v>949</v>
      </c>
      <c r="BY103" s="4" t="s">
        <v>228</v>
      </c>
      <c r="BZ103" s="4" t="s">
        <v>441</v>
      </c>
      <c r="CA103" s="4" t="s">
        <v>701</v>
      </c>
      <c r="CD103" s="4" t="s">
        <v>210</v>
      </c>
      <c r="CE103" s="4" t="s">
        <v>360</v>
      </c>
      <c r="CF103" s="4" t="s">
        <v>305</v>
      </c>
      <c r="CX103" s="4" t="s">
        <v>257</v>
      </c>
      <c r="CY103" s="4" t="s">
        <v>1271</v>
      </c>
      <c r="CZ103" s="4" t="s">
        <v>1272</v>
      </c>
      <c r="DC103" s="4" t="s">
        <v>217</v>
      </c>
      <c r="DD103" s="4" t="s">
        <v>441</v>
      </c>
      <c r="DE103" s="4" t="s">
        <v>1298</v>
      </c>
      <c r="DH103" s="4" t="s">
        <v>213</v>
      </c>
      <c r="DI103" s="4" t="s">
        <v>441</v>
      </c>
      <c r="DJ103" s="4" t="s">
        <v>696</v>
      </c>
      <c r="DM103" s="4" t="s">
        <v>217</v>
      </c>
      <c r="DN103" s="4" t="s">
        <v>441</v>
      </c>
      <c r="DO103" s="4" t="s">
        <v>697</v>
      </c>
      <c r="DR103" s="4" t="s">
        <v>235</v>
      </c>
      <c r="DS103" s="4" t="s">
        <v>555</v>
      </c>
      <c r="DT103" s="4" t="s">
        <v>1496</v>
      </c>
    </row>
    <row r="104" spans="2:124">
      <c r="B104" s="4" t="s">
        <v>212</v>
      </c>
      <c r="C104" s="4" t="s">
        <v>32</v>
      </c>
      <c r="D104" s="4" t="s">
        <v>211</v>
      </c>
      <c r="G104" s="4" t="s">
        <v>212</v>
      </c>
      <c r="H104" s="4" t="s">
        <v>289</v>
      </c>
      <c r="I104" s="4" t="s">
        <v>305</v>
      </c>
      <c r="L104" s="4" t="s">
        <v>196</v>
      </c>
      <c r="M104" s="4" t="s">
        <v>32</v>
      </c>
      <c r="N104" s="4" t="s">
        <v>197</v>
      </c>
      <c r="Q104" s="4" t="s">
        <v>196</v>
      </c>
      <c r="R104" s="4" t="s">
        <v>289</v>
      </c>
      <c r="S104" s="4" t="s">
        <v>342</v>
      </c>
      <c r="AA104" s="4" t="s">
        <v>196</v>
      </c>
      <c r="AB104" s="4" t="s">
        <v>345</v>
      </c>
      <c r="AC104" s="4" t="s">
        <v>197</v>
      </c>
      <c r="AF104" s="4" t="s">
        <v>237</v>
      </c>
      <c r="AG104" s="4" t="s">
        <v>346</v>
      </c>
      <c r="AH104" s="4" t="s">
        <v>592</v>
      </c>
      <c r="AK104" s="4" t="s">
        <v>212</v>
      </c>
      <c r="AL104" s="4" t="s">
        <v>346</v>
      </c>
      <c r="AM104" s="4" t="s">
        <v>211</v>
      </c>
      <c r="AP104" s="4" t="s">
        <v>200</v>
      </c>
      <c r="AQ104" s="4" t="s">
        <v>441</v>
      </c>
      <c r="AR104" s="4" t="s">
        <v>690</v>
      </c>
      <c r="AZ104" s="4" t="s">
        <v>196</v>
      </c>
      <c r="BA104" s="4" t="s">
        <v>345</v>
      </c>
      <c r="BB104" s="4" t="s">
        <v>689</v>
      </c>
      <c r="BE104" s="4" t="s">
        <v>210</v>
      </c>
      <c r="BF104" s="4" t="s">
        <v>441</v>
      </c>
      <c r="BG104" s="4" t="s">
        <v>695</v>
      </c>
      <c r="BJ104" s="4" t="s">
        <v>212</v>
      </c>
      <c r="BK104" s="4" t="s">
        <v>441</v>
      </c>
      <c r="BL104" s="4" t="s">
        <v>816</v>
      </c>
      <c r="BT104" s="4" t="s">
        <v>241</v>
      </c>
      <c r="BU104" s="4" t="s">
        <v>445</v>
      </c>
      <c r="BV104" s="4" t="s">
        <v>950</v>
      </c>
      <c r="BY104" s="4" t="s">
        <v>231</v>
      </c>
      <c r="BZ104" s="4" t="s">
        <v>441</v>
      </c>
      <c r="CA104" s="4" t="s">
        <v>702</v>
      </c>
      <c r="CD104" s="4" t="s">
        <v>212</v>
      </c>
      <c r="CE104" s="4" t="s">
        <v>346</v>
      </c>
      <c r="CF104" s="4" t="s">
        <v>305</v>
      </c>
      <c r="CX104" s="4" t="s">
        <v>259</v>
      </c>
      <c r="CY104" s="4" t="s">
        <v>295</v>
      </c>
      <c r="CZ104" s="4" t="s">
        <v>1273</v>
      </c>
      <c r="DC104" s="4" t="s">
        <v>218</v>
      </c>
      <c r="DD104" s="4" t="s">
        <v>441</v>
      </c>
      <c r="DE104" s="4" t="s">
        <v>1299</v>
      </c>
      <c r="DH104" s="4" t="s">
        <v>217</v>
      </c>
      <c r="DI104" s="4" t="s">
        <v>360</v>
      </c>
      <c r="DJ104" s="4" t="s">
        <v>1368</v>
      </c>
      <c r="DM104" s="4" t="s">
        <v>218</v>
      </c>
      <c r="DN104" s="4" t="s">
        <v>345</v>
      </c>
      <c r="DO104" s="4" t="s">
        <v>698</v>
      </c>
      <c r="DR104" s="4" t="s">
        <v>237</v>
      </c>
      <c r="DS104" s="4" t="s">
        <v>346</v>
      </c>
      <c r="DT104" s="4" t="s">
        <v>1497</v>
      </c>
    </row>
    <row r="105" spans="2:124">
      <c r="B105" s="4" t="s">
        <v>213</v>
      </c>
      <c r="C105" s="4" t="s">
        <v>32</v>
      </c>
      <c r="D105" s="4" t="s">
        <v>214</v>
      </c>
      <c r="G105" s="4" t="s">
        <v>213</v>
      </c>
      <c r="H105" s="4" t="s">
        <v>289</v>
      </c>
      <c r="I105" s="4" t="s">
        <v>214</v>
      </c>
      <c r="L105" s="4" t="s">
        <v>198</v>
      </c>
      <c r="M105" s="4" t="s">
        <v>32</v>
      </c>
      <c r="N105" s="4" t="s">
        <v>199</v>
      </c>
      <c r="Q105" s="4" t="s">
        <v>198</v>
      </c>
      <c r="R105" s="4" t="s">
        <v>289</v>
      </c>
      <c r="S105" s="4" t="s">
        <v>199</v>
      </c>
      <c r="AA105" s="4" t="s">
        <v>198</v>
      </c>
      <c r="AB105" s="4" t="s">
        <v>345</v>
      </c>
      <c r="AC105" s="4" t="s">
        <v>199</v>
      </c>
      <c r="AF105" s="4" t="s">
        <v>239</v>
      </c>
      <c r="AG105" s="4" t="s">
        <v>593</v>
      </c>
      <c r="AH105" s="4" t="s">
        <v>594</v>
      </c>
      <c r="AK105" s="4" t="s">
        <v>213</v>
      </c>
      <c r="AL105" s="4" t="s">
        <v>346</v>
      </c>
      <c r="AM105" s="4" t="s">
        <v>214</v>
      </c>
      <c r="AP105" s="4" t="s">
        <v>201</v>
      </c>
      <c r="AQ105" s="4" t="s">
        <v>346</v>
      </c>
      <c r="AR105" s="4" t="s">
        <v>691</v>
      </c>
      <c r="AZ105" s="4" t="s">
        <v>198</v>
      </c>
      <c r="BA105" s="4" t="s">
        <v>345</v>
      </c>
      <c r="BB105" s="4" t="s">
        <v>690</v>
      </c>
      <c r="BE105" s="4" t="s">
        <v>212</v>
      </c>
      <c r="BF105" s="4" t="s">
        <v>441</v>
      </c>
      <c r="BG105" s="4" t="s">
        <v>695</v>
      </c>
      <c r="BJ105" s="4" t="s">
        <v>213</v>
      </c>
      <c r="BK105" s="4" t="s">
        <v>441</v>
      </c>
      <c r="BL105" s="4" t="s">
        <v>817</v>
      </c>
      <c r="BT105" s="4" t="s">
        <v>243</v>
      </c>
      <c r="BU105" s="4" t="s">
        <v>555</v>
      </c>
      <c r="BV105" s="4" t="s">
        <v>951</v>
      </c>
      <c r="BY105" s="4" t="s">
        <v>232</v>
      </c>
      <c r="BZ105" s="4" t="s">
        <v>441</v>
      </c>
      <c r="CA105" s="4" t="s">
        <v>703</v>
      </c>
      <c r="CD105" s="4" t="s">
        <v>213</v>
      </c>
      <c r="CE105" s="4" t="s">
        <v>345</v>
      </c>
      <c r="CF105" s="4" t="s">
        <v>1002</v>
      </c>
      <c r="CX105" s="4" t="s">
        <v>261</v>
      </c>
      <c r="CY105" s="4" t="s">
        <v>1274</v>
      </c>
      <c r="CZ105" s="4" t="s">
        <v>1275</v>
      </c>
      <c r="DC105" s="4" t="s">
        <v>220</v>
      </c>
      <c r="DD105" s="4" t="s">
        <v>441</v>
      </c>
      <c r="DE105" s="4" t="s">
        <v>1300</v>
      </c>
      <c r="DH105" s="4" t="s">
        <v>218</v>
      </c>
      <c r="DI105" s="4" t="s">
        <v>345</v>
      </c>
      <c r="DJ105" s="4" t="s">
        <v>698</v>
      </c>
      <c r="DM105" s="4" t="s">
        <v>220</v>
      </c>
      <c r="DN105" s="4" t="s">
        <v>441</v>
      </c>
      <c r="DO105" s="4" t="s">
        <v>699</v>
      </c>
      <c r="DR105" s="4" t="s">
        <v>239</v>
      </c>
      <c r="DS105" s="4" t="s">
        <v>593</v>
      </c>
      <c r="DT105" s="4" t="s">
        <v>1498</v>
      </c>
    </row>
    <row r="106" spans="2:124">
      <c r="B106" s="4" t="s">
        <v>215</v>
      </c>
      <c r="C106" s="4" t="s">
        <v>104</v>
      </c>
      <c r="D106" s="4" t="s">
        <v>216</v>
      </c>
      <c r="G106" s="4" t="s">
        <v>215</v>
      </c>
      <c r="H106" s="4" t="s">
        <v>298</v>
      </c>
      <c r="I106" s="4" t="s">
        <v>216</v>
      </c>
      <c r="L106" s="4" t="s">
        <v>200</v>
      </c>
      <c r="M106" s="4" t="s">
        <v>32</v>
      </c>
      <c r="N106" s="4" t="s">
        <v>199</v>
      </c>
      <c r="Q106" s="4" t="s">
        <v>200</v>
      </c>
      <c r="R106" s="4" t="s">
        <v>289</v>
      </c>
      <c r="S106" s="4" t="s">
        <v>199</v>
      </c>
      <c r="AA106" s="4" t="s">
        <v>200</v>
      </c>
      <c r="AB106" s="4" t="s">
        <v>345</v>
      </c>
      <c r="AC106" s="4" t="s">
        <v>199</v>
      </c>
      <c r="AF106" s="4" t="s">
        <v>241</v>
      </c>
      <c r="AG106" s="4" t="s">
        <v>361</v>
      </c>
      <c r="AH106" s="4" t="s">
        <v>595</v>
      </c>
      <c r="AK106" s="4" t="s">
        <v>215</v>
      </c>
      <c r="AL106" s="4" t="s">
        <v>345</v>
      </c>
      <c r="AM106" s="4" t="s">
        <v>216</v>
      </c>
      <c r="AP106" s="4" t="s">
        <v>203</v>
      </c>
      <c r="AQ106" s="4" t="s">
        <v>441</v>
      </c>
      <c r="AR106" s="4" t="s">
        <v>692</v>
      </c>
      <c r="AZ106" s="4" t="s">
        <v>200</v>
      </c>
      <c r="BA106" s="4" t="s">
        <v>345</v>
      </c>
      <c r="BB106" s="4" t="s">
        <v>690</v>
      </c>
      <c r="BE106" s="4" t="s">
        <v>213</v>
      </c>
      <c r="BF106" s="4" t="s">
        <v>441</v>
      </c>
      <c r="BG106" s="4" t="s">
        <v>696</v>
      </c>
      <c r="BJ106" s="4" t="s">
        <v>215</v>
      </c>
      <c r="BK106" s="4" t="s">
        <v>441</v>
      </c>
      <c r="BL106" s="4" t="s">
        <v>766</v>
      </c>
      <c r="BT106" s="4" t="s">
        <v>245</v>
      </c>
      <c r="BU106" s="4" t="s">
        <v>298</v>
      </c>
      <c r="BV106" s="4" t="s">
        <v>863</v>
      </c>
      <c r="BY106" s="4" t="s">
        <v>234</v>
      </c>
      <c r="BZ106" s="4" t="s">
        <v>441</v>
      </c>
      <c r="CA106" s="4" t="s">
        <v>703</v>
      </c>
      <c r="CD106" s="4" t="s">
        <v>215</v>
      </c>
      <c r="CE106" s="4" t="s">
        <v>441</v>
      </c>
      <c r="CF106" s="4" t="s">
        <v>1005</v>
      </c>
      <c r="CX106" s="4" t="s">
        <v>263</v>
      </c>
      <c r="CY106" s="4" t="s">
        <v>32</v>
      </c>
      <c r="CZ106" s="4" t="s">
        <v>1276</v>
      </c>
      <c r="DC106" s="4" t="s">
        <v>222</v>
      </c>
      <c r="DD106" s="4" t="s">
        <v>441</v>
      </c>
      <c r="DE106" s="4" t="s">
        <v>1301</v>
      </c>
      <c r="DH106" s="4" t="s">
        <v>220</v>
      </c>
      <c r="DI106" s="4" t="s">
        <v>441</v>
      </c>
      <c r="DJ106" s="4" t="s">
        <v>699</v>
      </c>
      <c r="DM106" s="4" t="s">
        <v>222</v>
      </c>
      <c r="DN106" s="4" t="s">
        <v>441</v>
      </c>
      <c r="DO106" s="4" t="s">
        <v>700</v>
      </c>
      <c r="DR106" s="4" t="s">
        <v>241</v>
      </c>
      <c r="DS106" s="4" t="s">
        <v>361</v>
      </c>
      <c r="DT106" s="4" t="s">
        <v>1499</v>
      </c>
    </row>
    <row r="107" spans="2:124">
      <c r="B107" s="4" t="s">
        <v>217</v>
      </c>
      <c r="C107" s="4" t="s">
        <v>32</v>
      </c>
      <c r="D107" s="4" t="s">
        <v>216</v>
      </c>
      <c r="G107" s="4" t="s">
        <v>217</v>
      </c>
      <c r="H107" s="4" t="s">
        <v>289</v>
      </c>
      <c r="I107" s="4" t="s">
        <v>216</v>
      </c>
      <c r="L107" s="4" t="s">
        <v>201</v>
      </c>
      <c r="M107" s="4" t="s">
        <v>35</v>
      </c>
      <c r="N107" s="4" t="s">
        <v>331</v>
      </c>
      <c r="Q107" s="4" t="s">
        <v>201</v>
      </c>
      <c r="R107" s="4" t="s">
        <v>290</v>
      </c>
      <c r="S107" s="4" t="s">
        <v>331</v>
      </c>
      <c r="AA107" s="4" t="s">
        <v>201</v>
      </c>
      <c r="AB107" s="4" t="s">
        <v>346</v>
      </c>
      <c r="AC107" s="4" t="s">
        <v>202</v>
      </c>
      <c r="AF107" s="4" t="s">
        <v>243</v>
      </c>
      <c r="AG107" s="4" t="s">
        <v>478</v>
      </c>
      <c r="AH107" s="4" t="s">
        <v>596</v>
      </c>
      <c r="AK107" s="4" t="s">
        <v>217</v>
      </c>
      <c r="AL107" s="4" t="s">
        <v>346</v>
      </c>
      <c r="AM107" s="4" t="s">
        <v>216</v>
      </c>
      <c r="AP107" s="4" t="s">
        <v>205</v>
      </c>
      <c r="AQ107" s="4" t="s">
        <v>441</v>
      </c>
      <c r="AR107" s="4" t="s">
        <v>692</v>
      </c>
      <c r="AZ107" s="4" t="s">
        <v>201</v>
      </c>
      <c r="BA107" s="4" t="s">
        <v>346</v>
      </c>
      <c r="BB107" s="4" t="s">
        <v>702</v>
      </c>
      <c r="BE107" s="4" t="s">
        <v>217</v>
      </c>
      <c r="BF107" s="4" t="s">
        <v>441</v>
      </c>
      <c r="BG107" s="4" t="s">
        <v>697</v>
      </c>
      <c r="BJ107" s="4" t="s">
        <v>217</v>
      </c>
      <c r="BK107" s="4" t="s">
        <v>441</v>
      </c>
      <c r="BL107" s="4" t="s">
        <v>766</v>
      </c>
      <c r="BT107" s="4" t="s">
        <v>247</v>
      </c>
      <c r="BU107" s="4" t="s">
        <v>298</v>
      </c>
      <c r="BV107" s="4" t="s">
        <v>952</v>
      </c>
      <c r="BY107" s="4" t="s">
        <v>235</v>
      </c>
      <c r="BZ107" s="4" t="s">
        <v>441</v>
      </c>
      <c r="CA107" s="4" t="s">
        <v>704</v>
      </c>
      <c r="CD107" s="4" t="s">
        <v>217</v>
      </c>
      <c r="CE107" s="4" t="s">
        <v>346</v>
      </c>
      <c r="CF107" s="4" t="s">
        <v>1005</v>
      </c>
      <c r="CX107" s="4" t="s">
        <v>268</v>
      </c>
      <c r="CY107" s="4" t="s">
        <v>32</v>
      </c>
      <c r="CZ107" s="4" t="s">
        <v>1277</v>
      </c>
      <c r="DC107" s="4" t="s">
        <v>224</v>
      </c>
      <c r="DD107" s="4" t="s">
        <v>441</v>
      </c>
      <c r="DE107" s="4" t="s">
        <v>1302</v>
      </c>
      <c r="DH107" s="4" t="s">
        <v>222</v>
      </c>
      <c r="DI107" s="4" t="s">
        <v>441</v>
      </c>
      <c r="DJ107" s="4" t="s">
        <v>700</v>
      </c>
      <c r="DM107" s="4" t="s">
        <v>224</v>
      </c>
      <c r="DN107" s="4" t="s">
        <v>441</v>
      </c>
      <c r="DO107" s="4" t="s">
        <v>701</v>
      </c>
      <c r="DR107" s="4" t="s">
        <v>243</v>
      </c>
      <c r="DS107" s="4" t="s">
        <v>478</v>
      </c>
      <c r="DT107" s="4" t="s">
        <v>1500</v>
      </c>
    </row>
    <row r="108" spans="2:124">
      <c r="B108" s="4" t="s">
        <v>218</v>
      </c>
      <c r="C108" s="4" t="s">
        <v>55</v>
      </c>
      <c r="D108" s="4" t="s">
        <v>219</v>
      </c>
      <c r="G108" s="4" t="s">
        <v>218</v>
      </c>
      <c r="H108" s="4" t="s">
        <v>293</v>
      </c>
      <c r="I108" s="4" t="s">
        <v>219</v>
      </c>
      <c r="L108" s="4" t="s">
        <v>203</v>
      </c>
      <c r="M108" s="4" t="s">
        <v>32</v>
      </c>
      <c r="N108" s="4" t="s">
        <v>204</v>
      </c>
      <c r="Q108" s="4" t="s">
        <v>203</v>
      </c>
      <c r="R108" s="4" t="s">
        <v>289</v>
      </c>
      <c r="S108" s="4" t="s">
        <v>204</v>
      </c>
      <c r="AA108" s="4" t="s">
        <v>203</v>
      </c>
      <c r="AB108" s="4" t="s">
        <v>345</v>
      </c>
      <c r="AC108" s="4" t="s">
        <v>204</v>
      </c>
      <c r="AF108" s="4" t="s">
        <v>245</v>
      </c>
      <c r="AG108" s="4" t="s">
        <v>298</v>
      </c>
      <c r="AH108" s="4" t="s">
        <v>597</v>
      </c>
      <c r="AK108" s="4" t="s">
        <v>218</v>
      </c>
      <c r="AL108" s="4" t="s">
        <v>360</v>
      </c>
      <c r="AM108" s="4" t="s">
        <v>627</v>
      </c>
      <c r="AP108" s="4" t="s">
        <v>206</v>
      </c>
      <c r="AQ108" s="4" t="s">
        <v>441</v>
      </c>
      <c r="AR108" s="4" t="s">
        <v>693</v>
      </c>
      <c r="AZ108" s="4" t="s">
        <v>203</v>
      </c>
      <c r="BA108" s="4" t="s">
        <v>345</v>
      </c>
      <c r="BB108" s="4" t="s">
        <v>692</v>
      </c>
      <c r="BE108" s="4" t="s">
        <v>218</v>
      </c>
      <c r="BF108" s="4" t="s">
        <v>345</v>
      </c>
      <c r="BG108" s="4" t="s">
        <v>698</v>
      </c>
      <c r="BJ108" s="4" t="s">
        <v>218</v>
      </c>
      <c r="BK108" s="4" t="s">
        <v>441</v>
      </c>
      <c r="BL108" s="4" t="s">
        <v>818</v>
      </c>
      <c r="BT108" s="4" t="s">
        <v>249</v>
      </c>
      <c r="BU108" s="4" t="s">
        <v>603</v>
      </c>
      <c r="BV108" s="4" t="s">
        <v>953</v>
      </c>
      <c r="BY108" s="4" t="s">
        <v>237</v>
      </c>
      <c r="BZ108" s="4" t="s">
        <v>441</v>
      </c>
      <c r="CA108" s="4" t="s">
        <v>768</v>
      </c>
      <c r="CD108" s="4" t="s">
        <v>218</v>
      </c>
      <c r="CE108" s="4" t="s">
        <v>446</v>
      </c>
      <c r="CF108" s="4" t="s">
        <v>1006</v>
      </c>
      <c r="CX108" s="4" t="s">
        <v>270</v>
      </c>
      <c r="CY108" s="4" t="s">
        <v>290</v>
      </c>
      <c r="CZ108" s="4" t="s">
        <v>1278</v>
      </c>
      <c r="DC108" s="4" t="s">
        <v>226</v>
      </c>
      <c r="DD108" s="4" t="s">
        <v>441</v>
      </c>
      <c r="DE108" s="4" t="s">
        <v>1302</v>
      </c>
      <c r="DH108" s="4" t="s">
        <v>224</v>
      </c>
      <c r="DI108" s="4" t="s">
        <v>346</v>
      </c>
      <c r="DJ108" s="4" t="s">
        <v>1369</v>
      </c>
      <c r="DM108" s="4" t="s">
        <v>226</v>
      </c>
      <c r="DN108" s="4" t="s">
        <v>441</v>
      </c>
      <c r="DO108" s="4" t="s">
        <v>701</v>
      </c>
      <c r="DR108" s="4" t="s">
        <v>245</v>
      </c>
      <c r="DS108" s="4" t="s">
        <v>298</v>
      </c>
      <c r="DT108" s="4" t="s">
        <v>1501</v>
      </c>
    </row>
    <row r="109" spans="2:124">
      <c r="B109" s="4" t="s">
        <v>220</v>
      </c>
      <c r="C109" s="4" t="s">
        <v>32</v>
      </c>
      <c r="D109" s="4" t="s">
        <v>221</v>
      </c>
      <c r="G109" s="4" t="s">
        <v>220</v>
      </c>
      <c r="H109" s="4" t="s">
        <v>289</v>
      </c>
      <c r="I109" s="4" t="s">
        <v>306</v>
      </c>
      <c r="L109" s="4" t="s">
        <v>205</v>
      </c>
      <c r="M109" s="4" t="s">
        <v>32</v>
      </c>
      <c r="N109" s="4" t="s">
        <v>204</v>
      </c>
      <c r="Q109" s="4" t="s">
        <v>205</v>
      </c>
      <c r="R109" s="4" t="s">
        <v>289</v>
      </c>
      <c r="S109" s="4" t="s">
        <v>204</v>
      </c>
      <c r="AA109" s="4" t="s">
        <v>205</v>
      </c>
      <c r="AB109" s="4" t="s">
        <v>345</v>
      </c>
      <c r="AC109" s="4" t="s">
        <v>204</v>
      </c>
      <c r="AF109" s="4" t="s">
        <v>247</v>
      </c>
      <c r="AG109" s="4" t="s">
        <v>402</v>
      </c>
      <c r="AH109" s="4" t="s">
        <v>598</v>
      </c>
      <c r="AK109" s="4" t="s">
        <v>220</v>
      </c>
      <c r="AL109" s="4" t="s">
        <v>346</v>
      </c>
      <c r="AM109" s="4" t="s">
        <v>221</v>
      </c>
      <c r="AP109" s="4" t="s">
        <v>208</v>
      </c>
      <c r="AQ109" s="4" t="s">
        <v>441</v>
      </c>
      <c r="AR109" s="4" t="s">
        <v>694</v>
      </c>
      <c r="AZ109" s="4" t="s">
        <v>205</v>
      </c>
      <c r="BA109" s="4" t="s">
        <v>345</v>
      </c>
      <c r="BB109" s="4" t="s">
        <v>692</v>
      </c>
      <c r="BE109" s="4" t="s">
        <v>220</v>
      </c>
      <c r="BF109" s="4" t="s">
        <v>441</v>
      </c>
      <c r="BG109" s="4" t="s">
        <v>699</v>
      </c>
      <c r="BJ109" s="4" t="s">
        <v>220</v>
      </c>
      <c r="BK109" s="4" t="s">
        <v>441</v>
      </c>
      <c r="BL109" s="4" t="s">
        <v>819</v>
      </c>
      <c r="BT109" s="4" t="s">
        <v>253</v>
      </c>
      <c r="BU109" s="4" t="s">
        <v>445</v>
      </c>
      <c r="BV109" s="4" t="s">
        <v>954</v>
      </c>
      <c r="BY109" s="4" t="s">
        <v>239</v>
      </c>
      <c r="BZ109" s="4" t="s">
        <v>441</v>
      </c>
      <c r="CA109" s="4" t="s">
        <v>706</v>
      </c>
      <c r="CD109" s="4" t="s">
        <v>220</v>
      </c>
      <c r="CE109" s="4" t="s">
        <v>346</v>
      </c>
      <c r="CF109" s="4" t="s">
        <v>306</v>
      </c>
      <c r="CX109" s="4" t="s">
        <v>272</v>
      </c>
      <c r="CY109" s="4" t="s">
        <v>515</v>
      </c>
      <c r="CZ109" s="4" t="s">
        <v>1279</v>
      </c>
      <c r="DC109" s="4" t="s">
        <v>227</v>
      </c>
      <c r="DD109" s="4" t="s">
        <v>441</v>
      </c>
      <c r="DE109" s="4" t="s">
        <v>1302</v>
      </c>
      <c r="DH109" s="4" t="s">
        <v>226</v>
      </c>
      <c r="DI109" s="4" t="s">
        <v>360</v>
      </c>
      <c r="DJ109" s="4" t="s">
        <v>1370</v>
      </c>
      <c r="DM109" s="4" t="s">
        <v>227</v>
      </c>
      <c r="DN109" s="4" t="s">
        <v>441</v>
      </c>
      <c r="DO109" s="4" t="s">
        <v>701</v>
      </c>
      <c r="DR109" s="4" t="s">
        <v>247</v>
      </c>
      <c r="DS109" s="4" t="s">
        <v>402</v>
      </c>
      <c r="DT109" s="4" t="s">
        <v>1502</v>
      </c>
    </row>
    <row r="110" spans="2:124">
      <c r="B110" s="4" t="s">
        <v>222</v>
      </c>
      <c r="C110" s="4" t="s">
        <v>32</v>
      </c>
      <c r="D110" s="4" t="s">
        <v>223</v>
      </c>
      <c r="G110" s="4" t="s">
        <v>222</v>
      </c>
      <c r="H110" s="4" t="s">
        <v>289</v>
      </c>
      <c r="I110" s="4" t="s">
        <v>223</v>
      </c>
      <c r="L110" s="4" t="s">
        <v>206</v>
      </c>
      <c r="M110" s="4" t="s">
        <v>32</v>
      </c>
      <c r="N110" s="4" t="s">
        <v>207</v>
      </c>
      <c r="Q110" s="4" t="s">
        <v>206</v>
      </c>
      <c r="R110" s="4" t="s">
        <v>289</v>
      </c>
      <c r="S110" s="4" t="s">
        <v>343</v>
      </c>
      <c r="AA110" s="4" t="s">
        <v>206</v>
      </c>
      <c r="AB110" s="4" t="s">
        <v>345</v>
      </c>
      <c r="AC110" s="4" t="s">
        <v>207</v>
      </c>
      <c r="AF110" s="4" t="s">
        <v>249</v>
      </c>
      <c r="AG110" s="4" t="s">
        <v>293</v>
      </c>
      <c r="AH110" s="4" t="s">
        <v>599</v>
      </c>
      <c r="AK110" s="4" t="s">
        <v>222</v>
      </c>
      <c r="AL110" s="4" t="s">
        <v>346</v>
      </c>
      <c r="AM110" s="4" t="s">
        <v>628</v>
      </c>
      <c r="AP110" s="4" t="s">
        <v>210</v>
      </c>
      <c r="AQ110" s="4" t="s">
        <v>441</v>
      </c>
      <c r="AR110" s="4" t="s">
        <v>695</v>
      </c>
      <c r="AZ110" s="4" t="s">
        <v>206</v>
      </c>
      <c r="BA110" s="4" t="s">
        <v>345</v>
      </c>
      <c r="BB110" s="4" t="s">
        <v>693</v>
      </c>
      <c r="BE110" s="4" t="s">
        <v>222</v>
      </c>
      <c r="BF110" s="4" t="s">
        <v>441</v>
      </c>
      <c r="BG110" s="4" t="s">
        <v>700</v>
      </c>
      <c r="BJ110" s="4" t="s">
        <v>222</v>
      </c>
      <c r="BK110" s="4" t="s">
        <v>441</v>
      </c>
      <c r="BL110" s="4" t="s">
        <v>820</v>
      </c>
      <c r="BT110" s="4" t="s">
        <v>255</v>
      </c>
      <c r="BU110" s="4" t="s">
        <v>436</v>
      </c>
      <c r="BV110" s="4" t="s">
        <v>955</v>
      </c>
      <c r="BY110" s="4" t="s">
        <v>241</v>
      </c>
      <c r="BZ110" s="4" t="s">
        <v>441</v>
      </c>
      <c r="CA110" s="4" t="s">
        <v>707</v>
      </c>
      <c r="CD110" s="4" t="s">
        <v>222</v>
      </c>
      <c r="CE110" s="4" t="s">
        <v>346</v>
      </c>
      <c r="CF110" s="4" t="s">
        <v>1007</v>
      </c>
      <c r="DC110" s="4" t="s">
        <v>228</v>
      </c>
      <c r="DD110" s="4" t="s">
        <v>441</v>
      </c>
      <c r="DE110" s="4" t="s">
        <v>1302</v>
      </c>
      <c r="DH110" s="4" t="s">
        <v>227</v>
      </c>
      <c r="DI110" s="4" t="s">
        <v>360</v>
      </c>
      <c r="DJ110" s="4" t="s">
        <v>1371</v>
      </c>
      <c r="DM110" s="4" t="s">
        <v>228</v>
      </c>
      <c r="DN110" s="4" t="s">
        <v>441</v>
      </c>
      <c r="DO110" s="4" t="s">
        <v>701</v>
      </c>
      <c r="DR110" s="4" t="s">
        <v>249</v>
      </c>
      <c r="DS110" s="4" t="s">
        <v>293</v>
      </c>
      <c r="DT110" s="4" t="s">
        <v>1503</v>
      </c>
    </row>
    <row r="111" spans="2:124">
      <c r="B111" s="4" t="s">
        <v>224</v>
      </c>
      <c r="C111" s="4" t="s">
        <v>32</v>
      </c>
      <c r="D111" s="4" t="s">
        <v>225</v>
      </c>
      <c r="G111" s="4" t="s">
        <v>224</v>
      </c>
      <c r="H111" s="4" t="s">
        <v>289</v>
      </c>
      <c r="I111" s="4" t="s">
        <v>225</v>
      </c>
      <c r="L111" s="4" t="s">
        <v>208</v>
      </c>
      <c r="M111" s="4" t="s">
        <v>32</v>
      </c>
      <c r="N111" s="4" t="s">
        <v>209</v>
      </c>
      <c r="Q111" s="4" t="s">
        <v>208</v>
      </c>
      <c r="R111" s="4" t="s">
        <v>289</v>
      </c>
      <c r="S111" s="4" t="s">
        <v>344</v>
      </c>
      <c r="AA111" s="4" t="s">
        <v>208</v>
      </c>
      <c r="AB111" s="4" t="s">
        <v>345</v>
      </c>
      <c r="AC111" s="4" t="s">
        <v>209</v>
      </c>
      <c r="AF111" s="4" t="s">
        <v>253</v>
      </c>
      <c r="AG111" s="4" t="s">
        <v>521</v>
      </c>
      <c r="AH111" s="4" t="s">
        <v>600</v>
      </c>
      <c r="AK111" s="4" t="s">
        <v>224</v>
      </c>
      <c r="AL111" s="4" t="s">
        <v>346</v>
      </c>
      <c r="AM111" s="4" t="s">
        <v>225</v>
      </c>
      <c r="AP111" s="4" t="s">
        <v>212</v>
      </c>
      <c r="AQ111" s="4" t="s">
        <v>441</v>
      </c>
      <c r="AR111" s="4" t="s">
        <v>695</v>
      </c>
      <c r="AZ111" s="4" t="s">
        <v>208</v>
      </c>
      <c r="BA111" s="4" t="s">
        <v>345</v>
      </c>
      <c r="BB111" s="4" t="s">
        <v>694</v>
      </c>
      <c r="BE111" s="4" t="s">
        <v>224</v>
      </c>
      <c r="BF111" s="4" t="s">
        <v>441</v>
      </c>
      <c r="BG111" s="4" t="s">
        <v>701</v>
      </c>
      <c r="BJ111" s="4" t="s">
        <v>224</v>
      </c>
      <c r="BK111" s="4" t="s">
        <v>441</v>
      </c>
      <c r="BL111" s="4" t="s">
        <v>821</v>
      </c>
      <c r="BT111" s="4" t="s">
        <v>257</v>
      </c>
      <c r="BU111" s="4" t="s">
        <v>603</v>
      </c>
      <c r="BV111" s="4" t="s">
        <v>956</v>
      </c>
      <c r="BY111" s="4" t="s">
        <v>243</v>
      </c>
      <c r="BZ111" s="4" t="s">
        <v>441</v>
      </c>
      <c r="CA111" s="4" t="s">
        <v>708</v>
      </c>
      <c r="CD111" s="4" t="s">
        <v>224</v>
      </c>
      <c r="CE111" s="4" t="s">
        <v>346</v>
      </c>
      <c r="CF111" s="4" t="s">
        <v>1008</v>
      </c>
      <c r="DC111" s="4" t="s">
        <v>229</v>
      </c>
      <c r="DD111" s="4" t="s">
        <v>441</v>
      </c>
      <c r="DE111" s="4" t="s">
        <v>1303</v>
      </c>
      <c r="DH111" s="4" t="s">
        <v>228</v>
      </c>
      <c r="DI111" s="4" t="s">
        <v>360</v>
      </c>
      <c r="DJ111" s="4" t="s">
        <v>1372</v>
      </c>
      <c r="DM111" s="4" t="s">
        <v>231</v>
      </c>
      <c r="DN111" s="4" t="s">
        <v>441</v>
      </c>
      <c r="DO111" s="4" t="s">
        <v>702</v>
      </c>
      <c r="DR111" s="4" t="s">
        <v>253</v>
      </c>
      <c r="DS111" s="4" t="s">
        <v>521</v>
      </c>
      <c r="DT111" s="4" t="s">
        <v>1504</v>
      </c>
    </row>
    <row r="112" spans="2:124">
      <c r="B112" s="4" t="s">
        <v>226</v>
      </c>
      <c r="C112" s="4" t="s">
        <v>32</v>
      </c>
      <c r="D112" s="4" t="s">
        <v>225</v>
      </c>
      <c r="G112" s="4" t="s">
        <v>226</v>
      </c>
      <c r="H112" s="4" t="s">
        <v>289</v>
      </c>
      <c r="I112" s="4" t="s">
        <v>225</v>
      </c>
      <c r="L112" s="4" t="s">
        <v>210</v>
      </c>
      <c r="M112" s="4" t="s">
        <v>32</v>
      </c>
      <c r="N112" s="4" t="s">
        <v>305</v>
      </c>
      <c r="Q112" s="4" t="s">
        <v>210</v>
      </c>
      <c r="R112" s="4" t="s">
        <v>289</v>
      </c>
      <c r="S112" s="4" t="s">
        <v>305</v>
      </c>
      <c r="AA112" s="4" t="s">
        <v>210</v>
      </c>
      <c r="AB112" s="4" t="s">
        <v>345</v>
      </c>
      <c r="AC112" s="4" t="s">
        <v>305</v>
      </c>
      <c r="AF112" s="4" t="s">
        <v>255</v>
      </c>
      <c r="AG112" s="4" t="s">
        <v>440</v>
      </c>
      <c r="AH112" s="4" t="s">
        <v>601</v>
      </c>
      <c r="AK112" s="4" t="s">
        <v>226</v>
      </c>
      <c r="AL112" s="4" t="s">
        <v>346</v>
      </c>
      <c r="AM112" s="4" t="s">
        <v>225</v>
      </c>
      <c r="AP112" s="4" t="s">
        <v>213</v>
      </c>
      <c r="AQ112" s="4" t="s">
        <v>441</v>
      </c>
      <c r="AR112" s="4" t="s">
        <v>696</v>
      </c>
      <c r="AZ112" s="4" t="s">
        <v>210</v>
      </c>
      <c r="BA112" s="4" t="s">
        <v>345</v>
      </c>
      <c r="BB112" s="4" t="s">
        <v>695</v>
      </c>
      <c r="BE112" s="4" t="s">
        <v>226</v>
      </c>
      <c r="BF112" s="4" t="s">
        <v>441</v>
      </c>
      <c r="BG112" s="4" t="s">
        <v>701</v>
      </c>
      <c r="BJ112" s="4" t="s">
        <v>226</v>
      </c>
      <c r="BK112" s="4" t="s">
        <v>441</v>
      </c>
      <c r="BL112" s="4" t="s">
        <v>821</v>
      </c>
      <c r="BT112" s="4" t="s">
        <v>259</v>
      </c>
      <c r="BU112" s="4" t="s">
        <v>444</v>
      </c>
      <c r="BV112" s="4" t="s">
        <v>871</v>
      </c>
      <c r="BY112" s="4" t="s">
        <v>245</v>
      </c>
      <c r="BZ112" s="4" t="s">
        <v>345</v>
      </c>
      <c r="CA112" s="4" t="s">
        <v>965</v>
      </c>
      <c r="CD112" s="4" t="s">
        <v>226</v>
      </c>
      <c r="CE112" s="4" t="s">
        <v>446</v>
      </c>
      <c r="CF112" s="4" t="s">
        <v>1008</v>
      </c>
      <c r="DC112" s="4" t="s">
        <v>231</v>
      </c>
      <c r="DD112" s="4" t="s">
        <v>441</v>
      </c>
      <c r="DE112" s="4" t="s">
        <v>1304</v>
      </c>
      <c r="DH112" s="4" t="s">
        <v>231</v>
      </c>
      <c r="DI112" s="4" t="s">
        <v>441</v>
      </c>
      <c r="DJ112" s="4" t="s">
        <v>702</v>
      </c>
      <c r="DM112" s="4" t="s">
        <v>232</v>
      </c>
      <c r="DN112" s="4" t="s">
        <v>441</v>
      </c>
      <c r="DO112" s="4" t="s">
        <v>703</v>
      </c>
      <c r="DR112" s="4" t="s">
        <v>255</v>
      </c>
      <c r="DS112" s="4" t="s">
        <v>440</v>
      </c>
      <c r="DT112" s="4" t="s">
        <v>1505</v>
      </c>
    </row>
    <row r="113" spans="2:124">
      <c r="B113" s="4" t="s">
        <v>227</v>
      </c>
      <c r="C113" s="4" t="s">
        <v>32</v>
      </c>
      <c r="D113" s="4" t="s">
        <v>225</v>
      </c>
      <c r="G113" s="4" t="s">
        <v>227</v>
      </c>
      <c r="H113" s="4" t="s">
        <v>289</v>
      </c>
      <c r="I113" s="4" t="s">
        <v>225</v>
      </c>
      <c r="L113" s="4" t="s">
        <v>212</v>
      </c>
      <c r="M113" s="4" t="s">
        <v>32</v>
      </c>
      <c r="N113" s="4" t="s">
        <v>305</v>
      </c>
      <c r="Q113" s="4" t="s">
        <v>212</v>
      </c>
      <c r="R113" s="4" t="s">
        <v>289</v>
      </c>
      <c r="S113" s="4" t="s">
        <v>305</v>
      </c>
      <c r="AA113" s="4" t="s">
        <v>212</v>
      </c>
      <c r="AB113" s="4" t="s">
        <v>345</v>
      </c>
      <c r="AC113" s="4" t="s">
        <v>305</v>
      </c>
      <c r="AF113" s="4" t="s">
        <v>257</v>
      </c>
      <c r="AG113" s="4" t="s">
        <v>434</v>
      </c>
      <c r="AH113" s="4" t="s">
        <v>602</v>
      </c>
      <c r="AK113" s="4" t="s">
        <v>227</v>
      </c>
      <c r="AL113" s="4" t="s">
        <v>346</v>
      </c>
      <c r="AM113" s="4" t="s">
        <v>225</v>
      </c>
      <c r="AP113" s="4" t="s">
        <v>217</v>
      </c>
      <c r="AQ113" s="4" t="s">
        <v>441</v>
      </c>
      <c r="AR113" s="4" t="s">
        <v>697</v>
      </c>
      <c r="AZ113" s="4" t="s">
        <v>212</v>
      </c>
      <c r="BA113" s="4" t="s">
        <v>345</v>
      </c>
      <c r="BB113" s="4" t="s">
        <v>695</v>
      </c>
      <c r="BE113" s="4" t="s">
        <v>227</v>
      </c>
      <c r="BF113" s="4" t="s">
        <v>441</v>
      </c>
      <c r="BG113" s="4" t="s">
        <v>701</v>
      </c>
      <c r="BJ113" s="4" t="s">
        <v>227</v>
      </c>
      <c r="BK113" s="4" t="s">
        <v>441</v>
      </c>
      <c r="BL113" s="4" t="s">
        <v>821</v>
      </c>
      <c r="BT113" s="4" t="s">
        <v>261</v>
      </c>
      <c r="BU113" s="4" t="s">
        <v>289</v>
      </c>
      <c r="BV113" s="4" t="s">
        <v>957</v>
      </c>
      <c r="BY113" s="4" t="s">
        <v>247</v>
      </c>
      <c r="BZ113" s="4" t="s">
        <v>441</v>
      </c>
      <c r="CA113" s="4" t="s">
        <v>710</v>
      </c>
      <c r="CD113" s="4" t="s">
        <v>227</v>
      </c>
      <c r="CE113" s="4" t="s">
        <v>446</v>
      </c>
      <c r="CF113" s="4" t="s">
        <v>1008</v>
      </c>
      <c r="DC113" s="4" t="s">
        <v>232</v>
      </c>
      <c r="DD113" s="4" t="s">
        <v>441</v>
      </c>
      <c r="DE113" s="4" t="s">
        <v>1305</v>
      </c>
      <c r="DH113" s="4" t="s">
        <v>232</v>
      </c>
      <c r="DI113" s="4" t="s">
        <v>360</v>
      </c>
      <c r="DJ113" s="4" t="s">
        <v>1373</v>
      </c>
      <c r="DM113" s="4" t="s">
        <v>234</v>
      </c>
      <c r="DN113" s="4" t="s">
        <v>441</v>
      </c>
      <c r="DO113" s="4" t="s">
        <v>703</v>
      </c>
      <c r="DR113" s="4" t="s">
        <v>257</v>
      </c>
      <c r="DS113" s="4" t="s">
        <v>434</v>
      </c>
      <c r="DT113" s="4" t="s">
        <v>1506</v>
      </c>
    </row>
    <row r="114" spans="2:124">
      <c r="B114" s="4" t="s">
        <v>228</v>
      </c>
      <c r="C114" s="4" t="s">
        <v>32</v>
      </c>
      <c r="D114" s="4" t="s">
        <v>225</v>
      </c>
      <c r="G114" s="4" t="s">
        <v>228</v>
      </c>
      <c r="H114" s="4" t="s">
        <v>289</v>
      </c>
      <c r="I114" s="4" t="s">
        <v>225</v>
      </c>
      <c r="L114" s="4" t="s">
        <v>213</v>
      </c>
      <c r="M114" s="4" t="s">
        <v>32</v>
      </c>
      <c r="N114" s="4" t="s">
        <v>332</v>
      </c>
      <c r="Q114" s="4" t="s">
        <v>213</v>
      </c>
      <c r="R114" s="4" t="s">
        <v>289</v>
      </c>
      <c r="S114" s="4" t="s">
        <v>332</v>
      </c>
      <c r="AA114" s="4" t="s">
        <v>213</v>
      </c>
      <c r="AB114" s="4" t="s">
        <v>345</v>
      </c>
      <c r="AC114" s="4" t="s">
        <v>214</v>
      </c>
      <c r="AF114" s="4" t="s">
        <v>259</v>
      </c>
      <c r="AG114" s="4" t="s">
        <v>603</v>
      </c>
      <c r="AH114" s="4" t="s">
        <v>604</v>
      </c>
      <c r="AK114" s="4" t="s">
        <v>228</v>
      </c>
      <c r="AL114" s="4" t="s">
        <v>346</v>
      </c>
      <c r="AM114" s="4" t="s">
        <v>225</v>
      </c>
      <c r="AP114" s="4" t="s">
        <v>218</v>
      </c>
      <c r="AQ114" s="4" t="s">
        <v>345</v>
      </c>
      <c r="AR114" s="4" t="s">
        <v>698</v>
      </c>
      <c r="AZ114" s="4" t="s">
        <v>213</v>
      </c>
      <c r="BA114" s="4" t="s">
        <v>345</v>
      </c>
      <c r="BB114" s="4" t="s">
        <v>696</v>
      </c>
      <c r="BE114" s="4" t="s">
        <v>228</v>
      </c>
      <c r="BF114" s="4" t="s">
        <v>441</v>
      </c>
      <c r="BG114" s="4" t="s">
        <v>701</v>
      </c>
      <c r="BJ114" s="4" t="s">
        <v>228</v>
      </c>
      <c r="BK114" s="4" t="s">
        <v>441</v>
      </c>
      <c r="BL114" s="4" t="s">
        <v>821</v>
      </c>
      <c r="BT114" s="4" t="s">
        <v>263</v>
      </c>
      <c r="BU114" s="4" t="s">
        <v>444</v>
      </c>
      <c r="BV114" s="4" t="s">
        <v>958</v>
      </c>
      <c r="BY114" s="4" t="s">
        <v>249</v>
      </c>
      <c r="BZ114" s="4" t="s">
        <v>345</v>
      </c>
      <c r="CA114" s="4" t="s">
        <v>711</v>
      </c>
      <c r="CD114" s="4" t="s">
        <v>228</v>
      </c>
      <c r="CE114" s="4" t="s">
        <v>446</v>
      </c>
      <c r="CF114" s="4" t="s">
        <v>1008</v>
      </c>
      <c r="DC114" s="4" t="s">
        <v>234</v>
      </c>
      <c r="DD114" s="4" t="s">
        <v>441</v>
      </c>
      <c r="DE114" s="4" t="s">
        <v>1305</v>
      </c>
      <c r="DH114" s="4" t="s">
        <v>234</v>
      </c>
      <c r="DI114" s="4" t="s">
        <v>441</v>
      </c>
      <c r="DJ114" s="4" t="s">
        <v>703</v>
      </c>
      <c r="DM114" s="4" t="s">
        <v>235</v>
      </c>
      <c r="DN114" s="4" t="s">
        <v>441</v>
      </c>
      <c r="DO114" s="4" t="s">
        <v>704</v>
      </c>
      <c r="DR114" s="4" t="s">
        <v>259</v>
      </c>
      <c r="DS114" s="4" t="s">
        <v>603</v>
      </c>
      <c r="DT114" s="4" t="s">
        <v>1507</v>
      </c>
    </row>
    <row r="115" spans="2:124">
      <c r="B115" s="4" t="s">
        <v>229</v>
      </c>
      <c r="C115" s="4" t="s">
        <v>104</v>
      </c>
      <c r="D115" s="4" t="s">
        <v>230</v>
      </c>
      <c r="G115" s="4" t="s">
        <v>229</v>
      </c>
      <c r="H115" s="4" t="s">
        <v>298</v>
      </c>
      <c r="I115" s="4" t="s">
        <v>230</v>
      </c>
      <c r="L115" s="4" t="s">
        <v>215</v>
      </c>
      <c r="M115" s="4" t="s">
        <v>104</v>
      </c>
      <c r="N115" s="4" t="s">
        <v>216</v>
      </c>
      <c r="Q115" s="4" t="s">
        <v>215</v>
      </c>
      <c r="R115" s="4" t="s">
        <v>298</v>
      </c>
      <c r="S115" s="4" t="s">
        <v>216</v>
      </c>
      <c r="AA115" s="4" t="s">
        <v>215</v>
      </c>
      <c r="AB115" s="4" t="s">
        <v>441</v>
      </c>
      <c r="AC115" s="4" t="s">
        <v>216</v>
      </c>
      <c r="AF115" s="4" t="s">
        <v>261</v>
      </c>
      <c r="AG115" s="4" t="s">
        <v>104</v>
      </c>
      <c r="AH115" s="4" t="s">
        <v>605</v>
      </c>
      <c r="AK115" s="4" t="s">
        <v>229</v>
      </c>
      <c r="AL115" s="4" t="s">
        <v>345</v>
      </c>
      <c r="AM115" s="4" t="s">
        <v>629</v>
      </c>
      <c r="AP115" s="4" t="s">
        <v>220</v>
      </c>
      <c r="AQ115" s="4" t="s">
        <v>441</v>
      </c>
      <c r="AR115" s="4" t="s">
        <v>699</v>
      </c>
      <c r="AZ115" s="4" t="s">
        <v>215</v>
      </c>
      <c r="BA115" s="4" t="s">
        <v>441</v>
      </c>
      <c r="BB115" s="4" t="s">
        <v>766</v>
      </c>
      <c r="BE115" s="4" t="s">
        <v>231</v>
      </c>
      <c r="BF115" s="4" t="s">
        <v>441</v>
      </c>
      <c r="BG115" s="4" t="s">
        <v>702</v>
      </c>
      <c r="BJ115" s="4" t="s">
        <v>229</v>
      </c>
      <c r="BK115" s="4" t="s">
        <v>441</v>
      </c>
      <c r="BL115" s="4" t="s">
        <v>767</v>
      </c>
      <c r="BT115" s="4" t="s">
        <v>268</v>
      </c>
      <c r="BU115" s="4" t="s">
        <v>441</v>
      </c>
      <c r="BV115" s="4" t="s">
        <v>959</v>
      </c>
      <c r="BY115" s="4" t="s">
        <v>251</v>
      </c>
      <c r="BZ115" s="4" t="s">
        <v>441</v>
      </c>
      <c r="CA115" s="4" t="s">
        <v>712</v>
      </c>
      <c r="CD115" s="4" t="s">
        <v>229</v>
      </c>
      <c r="CE115" s="4" t="s">
        <v>441</v>
      </c>
      <c r="CF115" s="4" t="s">
        <v>1009</v>
      </c>
      <c r="DC115" s="4" t="s">
        <v>235</v>
      </c>
      <c r="DD115" s="4" t="s">
        <v>441</v>
      </c>
      <c r="DE115" s="4" t="s">
        <v>1306</v>
      </c>
      <c r="DH115" s="4" t="s">
        <v>235</v>
      </c>
      <c r="DI115" s="4" t="s">
        <v>441</v>
      </c>
      <c r="DJ115" s="4" t="s">
        <v>704</v>
      </c>
      <c r="DM115" s="4" t="s">
        <v>237</v>
      </c>
      <c r="DN115" s="4" t="s">
        <v>441</v>
      </c>
      <c r="DO115" s="4" t="s">
        <v>768</v>
      </c>
      <c r="DR115" s="4" t="s">
        <v>261</v>
      </c>
      <c r="DS115" s="4" t="s">
        <v>104</v>
      </c>
      <c r="DT115" s="4" t="s">
        <v>1508</v>
      </c>
    </row>
    <row r="116" spans="2:124">
      <c r="B116" s="4" t="s">
        <v>231</v>
      </c>
      <c r="C116" s="4" t="s">
        <v>32</v>
      </c>
      <c r="D116" s="4" t="s">
        <v>202</v>
      </c>
      <c r="G116" s="4" t="s">
        <v>231</v>
      </c>
      <c r="H116" s="4" t="s">
        <v>289</v>
      </c>
      <c r="I116" s="4" t="s">
        <v>202</v>
      </c>
      <c r="L116" s="4" t="s">
        <v>217</v>
      </c>
      <c r="M116" s="4" t="s">
        <v>32</v>
      </c>
      <c r="N116" s="4" t="s">
        <v>216</v>
      </c>
      <c r="Q116" s="4" t="s">
        <v>217</v>
      </c>
      <c r="R116" s="4" t="s">
        <v>289</v>
      </c>
      <c r="S116" s="4" t="s">
        <v>216</v>
      </c>
      <c r="AA116" s="4" t="s">
        <v>217</v>
      </c>
      <c r="AB116" s="4" t="s">
        <v>345</v>
      </c>
      <c r="AC116" s="4" t="s">
        <v>216</v>
      </c>
      <c r="AF116" s="4" t="s">
        <v>263</v>
      </c>
      <c r="AG116" s="4" t="s">
        <v>104</v>
      </c>
      <c r="AH116" s="4" t="s">
        <v>606</v>
      </c>
      <c r="AK116" s="4" t="s">
        <v>231</v>
      </c>
      <c r="AL116" s="4" t="s">
        <v>346</v>
      </c>
      <c r="AM116" s="4" t="s">
        <v>202</v>
      </c>
      <c r="AP116" s="4" t="s">
        <v>222</v>
      </c>
      <c r="AQ116" s="4" t="s">
        <v>441</v>
      </c>
      <c r="AR116" s="4" t="s">
        <v>700</v>
      </c>
      <c r="AZ116" s="4" t="s">
        <v>217</v>
      </c>
      <c r="BA116" s="4" t="s">
        <v>345</v>
      </c>
      <c r="BB116" s="4" t="s">
        <v>697</v>
      </c>
      <c r="BE116" s="4" t="s">
        <v>232</v>
      </c>
      <c r="BF116" s="4" t="s">
        <v>441</v>
      </c>
      <c r="BG116" s="4" t="s">
        <v>703</v>
      </c>
      <c r="BJ116" s="4" t="s">
        <v>231</v>
      </c>
      <c r="BK116" s="4" t="s">
        <v>441</v>
      </c>
      <c r="BL116" s="4" t="s">
        <v>822</v>
      </c>
      <c r="BT116" s="4" t="s">
        <v>270</v>
      </c>
      <c r="BU116" s="4" t="s">
        <v>446</v>
      </c>
      <c r="BV116" s="4" t="s">
        <v>960</v>
      </c>
      <c r="BY116" s="4" t="s">
        <v>253</v>
      </c>
      <c r="BZ116" s="4" t="s">
        <v>441</v>
      </c>
      <c r="CA116" s="4" t="s">
        <v>713</v>
      </c>
      <c r="CD116" s="4" t="s">
        <v>231</v>
      </c>
      <c r="CE116" s="4" t="s">
        <v>346</v>
      </c>
      <c r="CF116" s="4" t="s">
        <v>1010</v>
      </c>
      <c r="DC116" s="4" t="s">
        <v>237</v>
      </c>
      <c r="DD116" s="4" t="s">
        <v>441</v>
      </c>
      <c r="DE116" s="4" t="s">
        <v>1307</v>
      </c>
      <c r="DH116" s="4" t="s">
        <v>237</v>
      </c>
      <c r="DI116" s="4" t="s">
        <v>441</v>
      </c>
      <c r="DJ116" s="4" t="s">
        <v>948</v>
      </c>
      <c r="DM116" s="4" t="s">
        <v>239</v>
      </c>
      <c r="DN116" s="4" t="s">
        <v>441</v>
      </c>
      <c r="DO116" s="4" t="s">
        <v>706</v>
      </c>
      <c r="DR116" s="4" t="s">
        <v>263</v>
      </c>
      <c r="DS116" s="4" t="s">
        <v>104</v>
      </c>
      <c r="DT116" s="4" t="s">
        <v>1509</v>
      </c>
    </row>
    <row r="117" spans="2:124">
      <c r="B117" s="4" t="s">
        <v>232</v>
      </c>
      <c r="C117" s="4" t="s">
        <v>32</v>
      </c>
      <c r="D117" s="4" t="s">
        <v>233</v>
      </c>
      <c r="G117" s="4" t="s">
        <v>232</v>
      </c>
      <c r="H117" s="4" t="s">
        <v>289</v>
      </c>
      <c r="I117" s="4" t="s">
        <v>233</v>
      </c>
      <c r="L117" s="4" t="s">
        <v>218</v>
      </c>
      <c r="M117" s="4" t="s">
        <v>55</v>
      </c>
      <c r="N117" s="4" t="s">
        <v>219</v>
      </c>
      <c r="Q117" s="4" t="s">
        <v>218</v>
      </c>
      <c r="R117" s="4" t="s">
        <v>293</v>
      </c>
      <c r="S117" s="4" t="s">
        <v>219</v>
      </c>
      <c r="AA117" s="4" t="s">
        <v>218</v>
      </c>
      <c r="AB117" s="4" t="s">
        <v>346</v>
      </c>
      <c r="AC117" s="4" t="s">
        <v>219</v>
      </c>
      <c r="AF117" s="4" t="s">
        <v>268</v>
      </c>
      <c r="AG117" s="4" t="s">
        <v>533</v>
      </c>
      <c r="AH117" s="4" t="s">
        <v>607</v>
      </c>
      <c r="AK117" s="4" t="s">
        <v>232</v>
      </c>
      <c r="AL117" s="4" t="s">
        <v>346</v>
      </c>
      <c r="AM117" s="4" t="s">
        <v>233</v>
      </c>
      <c r="AP117" s="4" t="s">
        <v>224</v>
      </c>
      <c r="AQ117" s="4" t="s">
        <v>441</v>
      </c>
      <c r="AR117" s="4" t="s">
        <v>701</v>
      </c>
      <c r="AZ117" s="4" t="s">
        <v>218</v>
      </c>
      <c r="BA117" s="4" t="s">
        <v>346</v>
      </c>
      <c r="BB117" s="4" t="s">
        <v>698</v>
      </c>
      <c r="BE117" s="4" t="s">
        <v>234</v>
      </c>
      <c r="BF117" s="4" t="s">
        <v>441</v>
      </c>
      <c r="BG117" s="4" t="s">
        <v>703</v>
      </c>
      <c r="BJ117" s="4" t="s">
        <v>232</v>
      </c>
      <c r="BK117" s="4" t="s">
        <v>441</v>
      </c>
      <c r="BL117" s="4" t="s">
        <v>823</v>
      </c>
      <c r="BT117" s="4" t="s">
        <v>272</v>
      </c>
      <c r="BU117" s="4" t="s">
        <v>438</v>
      </c>
      <c r="BV117" s="4" t="s">
        <v>961</v>
      </c>
      <c r="BY117" s="4" t="s">
        <v>255</v>
      </c>
      <c r="BZ117" s="4" t="s">
        <v>441</v>
      </c>
      <c r="CA117" s="4" t="s">
        <v>714</v>
      </c>
      <c r="CD117" s="4" t="s">
        <v>232</v>
      </c>
      <c r="CE117" s="4" t="s">
        <v>346</v>
      </c>
      <c r="CF117" s="4" t="s">
        <v>1011</v>
      </c>
      <c r="DC117" s="4" t="s">
        <v>239</v>
      </c>
      <c r="DD117" s="4" t="s">
        <v>441</v>
      </c>
      <c r="DE117" s="4" t="s">
        <v>1308</v>
      </c>
      <c r="DH117" s="4" t="s">
        <v>239</v>
      </c>
      <c r="DI117" s="4" t="s">
        <v>441</v>
      </c>
      <c r="DJ117" s="4" t="s">
        <v>706</v>
      </c>
      <c r="DM117" s="4" t="s">
        <v>241</v>
      </c>
      <c r="DN117" s="4" t="s">
        <v>345</v>
      </c>
      <c r="DO117" s="4" t="s">
        <v>1390</v>
      </c>
      <c r="DR117" s="4" t="s">
        <v>268</v>
      </c>
      <c r="DS117" s="4" t="s">
        <v>533</v>
      </c>
      <c r="DT117" s="4" t="s">
        <v>1510</v>
      </c>
    </row>
    <row r="118" spans="2:124">
      <c r="B118" s="4" t="s">
        <v>234</v>
      </c>
      <c r="C118" s="4" t="s">
        <v>32</v>
      </c>
      <c r="D118" s="4" t="s">
        <v>233</v>
      </c>
      <c r="G118" s="4" t="s">
        <v>234</v>
      </c>
      <c r="H118" s="4" t="s">
        <v>289</v>
      </c>
      <c r="I118" s="4" t="s">
        <v>233</v>
      </c>
      <c r="L118" s="4" t="s">
        <v>220</v>
      </c>
      <c r="M118" s="4" t="s">
        <v>32</v>
      </c>
      <c r="N118" s="4" t="s">
        <v>306</v>
      </c>
      <c r="Q118" s="4" t="s">
        <v>220</v>
      </c>
      <c r="R118" s="4" t="s">
        <v>289</v>
      </c>
      <c r="S118" s="4" t="s">
        <v>306</v>
      </c>
      <c r="AA118" s="4" t="s">
        <v>220</v>
      </c>
      <c r="AB118" s="4" t="s">
        <v>345</v>
      </c>
      <c r="AC118" s="4" t="s">
        <v>306</v>
      </c>
      <c r="AF118" s="4" t="s">
        <v>270</v>
      </c>
      <c r="AG118" s="4" t="s">
        <v>450</v>
      </c>
      <c r="AH118" s="4" t="s">
        <v>608</v>
      </c>
      <c r="AK118" s="4" t="s">
        <v>234</v>
      </c>
      <c r="AL118" s="4" t="s">
        <v>346</v>
      </c>
      <c r="AM118" s="4" t="s">
        <v>233</v>
      </c>
      <c r="AP118" s="4" t="s">
        <v>226</v>
      </c>
      <c r="AQ118" s="4" t="s">
        <v>441</v>
      </c>
      <c r="AR118" s="4" t="s">
        <v>701</v>
      </c>
      <c r="AZ118" s="4" t="s">
        <v>220</v>
      </c>
      <c r="BA118" s="4" t="s">
        <v>345</v>
      </c>
      <c r="BB118" s="4" t="s">
        <v>699</v>
      </c>
      <c r="BE118" s="4" t="s">
        <v>235</v>
      </c>
      <c r="BF118" s="4" t="s">
        <v>441</v>
      </c>
      <c r="BG118" s="4" t="s">
        <v>704</v>
      </c>
      <c r="BJ118" s="4" t="s">
        <v>234</v>
      </c>
      <c r="BK118" s="4" t="s">
        <v>441</v>
      </c>
      <c r="BL118" s="4" t="s">
        <v>823</v>
      </c>
      <c r="BT118" s="4" t="s">
        <v>336</v>
      </c>
      <c r="BU118" s="4" t="s">
        <v>441</v>
      </c>
      <c r="BV118" s="4" t="s">
        <v>632</v>
      </c>
      <c r="BY118" s="4" t="s">
        <v>257</v>
      </c>
      <c r="BZ118" s="4" t="s">
        <v>441</v>
      </c>
      <c r="CA118" s="4" t="s">
        <v>715</v>
      </c>
      <c r="CD118" s="4" t="s">
        <v>234</v>
      </c>
      <c r="CE118" s="4" t="s">
        <v>345</v>
      </c>
      <c r="CF118" s="4" t="s">
        <v>1011</v>
      </c>
      <c r="DC118" s="4" t="s">
        <v>241</v>
      </c>
      <c r="DD118" s="4" t="s">
        <v>441</v>
      </c>
      <c r="DE118" s="4" t="s">
        <v>1309</v>
      </c>
      <c r="DH118" s="4" t="s">
        <v>241</v>
      </c>
      <c r="DI118" s="4" t="s">
        <v>345</v>
      </c>
      <c r="DJ118" s="4" t="s">
        <v>1374</v>
      </c>
      <c r="DM118" s="4" t="s">
        <v>243</v>
      </c>
      <c r="DN118" s="4" t="s">
        <v>360</v>
      </c>
      <c r="DO118" s="4" t="s">
        <v>1391</v>
      </c>
      <c r="DR118" s="4" t="s">
        <v>270</v>
      </c>
      <c r="DS118" s="4" t="s">
        <v>450</v>
      </c>
      <c r="DT118" s="4" t="s">
        <v>1511</v>
      </c>
    </row>
    <row r="119" spans="2:124">
      <c r="B119" s="4" t="s">
        <v>235</v>
      </c>
      <c r="C119" s="4" t="s">
        <v>32</v>
      </c>
      <c r="D119" s="4" t="s">
        <v>236</v>
      </c>
      <c r="G119" s="4" t="s">
        <v>235</v>
      </c>
      <c r="H119" s="4" t="s">
        <v>289</v>
      </c>
      <c r="I119" s="4" t="s">
        <v>236</v>
      </c>
      <c r="L119" s="4" t="s">
        <v>222</v>
      </c>
      <c r="M119" s="4" t="s">
        <v>32</v>
      </c>
      <c r="N119" s="4" t="s">
        <v>223</v>
      </c>
      <c r="Q119" s="4" t="s">
        <v>222</v>
      </c>
      <c r="R119" s="4" t="s">
        <v>289</v>
      </c>
      <c r="S119" s="4" t="s">
        <v>223</v>
      </c>
      <c r="AA119" s="4" t="s">
        <v>222</v>
      </c>
      <c r="AB119" s="4" t="s">
        <v>345</v>
      </c>
      <c r="AC119" s="4" t="s">
        <v>223</v>
      </c>
      <c r="AF119" s="4" t="s">
        <v>272</v>
      </c>
      <c r="AG119" s="4" t="s">
        <v>521</v>
      </c>
      <c r="AH119" s="4" t="s">
        <v>609</v>
      </c>
      <c r="AK119" s="4" t="s">
        <v>235</v>
      </c>
      <c r="AL119" s="4" t="s">
        <v>346</v>
      </c>
      <c r="AM119" s="4" t="s">
        <v>236</v>
      </c>
      <c r="AP119" s="4" t="s">
        <v>227</v>
      </c>
      <c r="AQ119" s="4" t="s">
        <v>441</v>
      </c>
      <c r="AR119" s="4" t="s">
        <v>701</v>
      </c>
      <c r="AZ119" s="4" t="s">
        <v>222</v>
      </c>
      <c r="BA119" s="4" t="s">
        <v>345</v>
      </c>
      <c r="BB119" s="4" t="s">
        <v>700</v>
      </c>
      <c r="BE119" s="4" t="s">
        <v>237</v>
      </c>
      <c r="BF119" s="4" t="s">
        <v>441</v>
      </c>
      <c r="BG119" s="4" t="s">
        <v>768</v>
      </c>
      <c r="BJ119" s="4" t="s">
        <v>235</v>
      </c>
      <c r="BK119" s="4" t="s">
        <v>441</v>
      </c>
      <c r="BL119" s="4" t="s">
        <v>824</v>
      </c>
      <c r="BT119" s="4" t="s">
        <v>337</v>
      </c>
      <c r="BU119" s="4" t="s">
        <v>441</v>
      </c>
      <c r="BV119" s="4" t="s">
        <v>632</v>
      </c>
      <c r="BY119" s="4" t="s">
        <v>259</v>
      </c>
      <c r="BZ119" s="4" t="s">
        <v>441</v>
      </c>
      <c r="CA119" s="4" t="s">
        <v>716</v>
      </c>
      <c r="CD119" s="4" t="s">
        <v>235</v>
      </c>
      <c r="CE119" s="4" t="s">
        <v>346</v>
      </c>
      <c r="CF119" s="4" t="s">
        <v>1012</v>
      </c>
      <c r="DC119" s="4" t="s">
        <v>243</v>
      </c>
      <c r="DD119" s="4" t="s">
        <v>441</v>
      </c>
      <c r="DE119" s="4" t="s">
        <v>1310</v>
      </c>
      <c r="DH119" s="4" t="s">
        <v>243</v>
      </c>
      <c r="DI119" s="4" t="s">
        <v>360</v>
      </c>
      <c r="DJ119" s="4" t="s">
        <v>1375</v>
      </c>
      <c r="DM119" s="4" t="s">
        <v>245</v>
      </c>
      <c r="DN119" s="4" t="s">
        <v>441</v>
      </c>
      <c r="DO119" s="4" t="s">
        <v>709</v>
      </c>
      <c r="DR119" s="4" t="s">
        <v>272</v>
      </c>
      <c r="DS119" s="4" t="s">
        <v>521</v>
      </c>
      <c r="DT119" s="4" t="s">
        <v>1512</v>
      </c>
    </row>
    <row r="120" spans="2:124">
      <c r="B120" s="4" t="s">
        <v>237</v>
      </c>
      <c r="C120" s="4" t="s">
        <v>32</v>
      </c>
      <c r="D120" s="4" t="s">
        <v>238</v>
      </c>
      <c r="G120" s="4" t="s">
        <v>237</v>
      </c>
      <c r="H120" s="4" t="s">
        <v>289</v>
      </c>
      <c r="I120" s="4" t="s">
        <v>238</v>
      </c>
      <c r="L120" s="4" t="s">
        <v>224</v>
      </c>
      <c r="M120" s="4" t="s">
        <v>32</v>
      </c>
      <c r="N120" s="4" t="s">
        <v>225</v>
      </c>
      <c r="Q120" s="4" t="s">
        <v>224</v>
      </c>
      <c r="R120" s="4" t="s">
        <v>289</v>
      </c>
      <c r="S120" s="4" t="s">
        <v>225</v>
      </c>
      <c r="AA120" s="4" t="s">
        <v>224</v>
      </c>
      <c r="AB120" s="4" t="s">
        <v>345</v>
      </c>
      <c r="AC120" s="4" t="s">
        <v>225</v>
      </c>
      <c r="AF120" s="4" t="s">
        <v>274</v>
      </c>
      <c r="AG120" s="4" t="s">
        <v>610</v>
      </c>
      <c r="AH120" s="4" t="s">
        <v>611</v>
      </c>
      <c r="AK120" s="4" t="s">
        <v>237</v>
      </c>
      <c r="AL120" s="4" t="s">
        <v>346</v>
      </c>
      <c r="AM120" s="4" t="s">
        <v>238</v>
      </c>
      <c r="AP120" s="4" t="s">
        <v>228</v>
      </c>
      <c r="AQ120" s="4" t="s">
        <v>441</v>
      </c>
      <c r="AR120" s="4" t="s">
        <v>701</v>
      </c>
      <c r="AZ120" s="4" t="s">
        <v>224</v>
      </c>
      <c r="BA120" s="4" t="s">
        <v>345</v>
      </c>
      <c r="BB120" s="4" t="s">
        <v>701</v>
      </c>
      <c r="BE120" s="4" t="s">
        <v>239</v>
      </c>
      <c r="BF120" s="4" t="s">
        <v>441</v>
      </c>
      <c r="BG120" s="4" t="s">
        <v>706</v>
      </c>
      <c r="BJ120" s="4" t="s">
        <v>237</v>
      </c>
      <c r="BK120" s="4" t="s">
        <v>441</v>
      </c>
      <c r="BL120" s="4" t="s">
        <v>825</v>
      </c>
      <c r="BT120" s="4" t="s">
        <v>338</v>
      </c>
      <c r="BU120" s="4" t="s">
        <v>441</v>
      </c>
      <c r="BV120" s="4" t="s">
        <v>632</v>
      </c>
      <c r="BY120" s="4" t="s">
        <v>261</v>
      </c>
      <c r="BZ120" s="4" t="s">
        <v>441</v>
      </c>
      <c r="CA120" s="4" t="s">
        <v>717</v>
      </c>
      <c r="CD120" s="4" t="s">
        <v>237</v>
      </c>
      <c r="CE120" s="4" t="s">
        <v>345</v>
      </c>
      <c r="CF120" s="4" t="s">
        <v>1013</v>
      </c>
      <c r="DC120" s="4" t="s">
        <v>245</v>
      </c>
      <c r="DD120" s="4" t="s">
        <v>441</v>
      </c>
      <c r="DE120" s="4" t="s">
        <v>1311</v>
      </c>
      <c r="DH120" s="4" t="s">
        <v>245</v>
      </c>
      <c r="DI120" s="4" t="s">
        <v>441</v>
      </c>
      <c r="DJ120" s="4" t="s">
        <v>709</v>
      </c>
      <c r="DM120" s="4" t="s">
        <v>247</v>
      </c>
      <c r="DN120" s="4" t="s">
        <v>441</v>
      </c>
      <c r="DO120" s="4" t="s">
        <v>710</v>
      </c>
      <c r="DR120" s="4" t="s">
        <v>274</v>
      </c>
      <c r="DS120" s="4" t="s">
        <v>610</v>
      </c>
      <c r="DT120" s="4" t="s">
        <v>1513</v>
      </c>
    </row>
    <row r="121" spans="2:124">
      <c r="B121" s="4" t="s">
        <v>239</v>
      </c>
      <c r="C121" s="4" t="s">
        <v>32</v>
      </c>
      <c r="D121" s="4" t="s">
        <v>240</v>
      </c>
      <c r="G121" s="4" t="s">
        <v>239</v>
      </c>
      <c r="H121" s="4" t="s">
        <v>289</v>
      </c>
      <c r="I121" s="4" t="s">
        <v>240</v>
      </c>
      <c r="L121" s="4" t="s">
        <v>226</v>
      </c>
      <c r="M121" s="4" t="s">
        <v>32</v>
      </c>
      <c r="N121" s="4" t="s">
        <v>225</v>
      </c>
      <c r="Q121" s="4" t="s">
        <v>226</v>
      </c>
      <c r="R121" s="4" t="s">
        <v>289</v>
      </c>
      <c r="S121" s="4" t="s">
        <v>225</v>
      </c>
      <c r="AA121" s="4" t="s">
        <v>226</v>
      </c>
      <c r="AB121" s="4" t="s">
        <v>345</v>
      </c>
      <c r="AC121" s="4" t="s">
        <v>225</v>
      </c>
      <c r="AF121" s="4" t="s">
        <v>276</v>
      </c>
      <c r="AG121" s="4" t="s">
        <v>441</v>
      </c>
      <c r="AH121" s="4" t="s">
        <v>612</v>
      </c>
      <c r="AK121" s="4" t="s">
        <v>239</v>
      </c>
      <c r="AL121" s="4" t="s">
        <v>346</v>
      </c>
      <c r="AM121" s="4" t="s">
        <v>240</v>
      </c>
      <c r="AP121" s="4" t="s">
        <v>231</v>
      </c>
      <c r="AQ121" s="4" t="s">
        <v>441</v>
      </c>
      <c r="AR121" s="4" t="s">
        <v>702</v>
      </c>
      <c r="AZ121" s="4" t="s">
        <v>226</v>
      </c>
      <c r="BA121" s="4" t="s">
        <v>345</v>
      </c>
      <c r="BB121" s="4" t="s">
        <v>701</v>
      </c>
      <c r="BE121" s="4" t="s">
        <v>241</v>
      </c>
      <c r="BF121" s="4" t="s">
        <v>441</v>
      </c>
      <c r="BG121" s="4" t="s">
        <v>707</v>
      </c>
      <c r="BJ121" s="4" t="s">
        <v>239</v>
      </c>
      <c r="BK121" s="4" t="s">
        <v>441</v>
      </c>
      <c r="BL121" s="4" t="s">
        <v>826</v>
      </c>
      <c r="BY121" s="4" t="s">
        <v>263</v>
      </c>
      <c r="BZ121" s="4" t="s">
        <v>441</v>
      </c>
      <c r="CA121" s="4" t="s">
        <v>718</v>
      </c>
      <c r="CD121" s="4" t="s">
        <v>239</v>
      </c>
      <c r="CE121" s="4" t="s">
        <v>346</v>
      </c>
      <c r="CF121" s="4" t="s">
        <v>1014</v>
      </c>
      <c r="DC121" s="4" t="s">
        <v>247</v>
      </c>
      <c r="DD121" s="4" t="s">
        <v>441</v>
      </c>
      <c r="DE121" s="4" t="s">
        <v>1312</v>
      </c>
      <c r="DH121" s="4" t="s">
        <v>247</v>
      </c>
      <c r="DI121" s="4" t="s">
        <v>441</v>
      </c>
      <c r="DJ121" s="4" t="s">
        <v>710</v>
      </c>
      <c r="DM121" s="4" t="s">
        <v>249</v>
      </c>
      <c r="DN121" s="4" t="s">
        <v>345</v>
      </c>
      <c r="DO121" s="4" t="s">
        <v>711</v>
      </c>
      <c r="DR121" s="4" t="s">
        <v>276</v>
      </c>
      <c r="DS121" s="4" t="s">
        <v>441</v>
      </c>
      <c r="DT121" s="4" t="s">
        <v>1514</v>
      </c>
    </row>
    <row r="122" spans="2:124">
      <c r="B122" s="4" t="s">
        <v>241</v>
      </c>
      <c r="C122" s="4" t="s">
        <v>32</v>
      </c>
      <c r="D122" s="4" t="s">
        <v>242</v>
      </c>
      <c r="G122" s="4" t="s">
        <v>241</v>
      </c>
      <c r="H122" s="4" t="s">
        <v>289</v>
      </c>
      <c r="I122" s="4" t="s">
        <v>242</v>
      </c>
      <c r="L122" s="4" t="s">
        <v>227</v>
      </c>
      <c r="M122" s="4" t="s">
        <v>32</v>
      </c>
      <c r="N122" s="4" t="s">
        <v>225</v>
      </c>
      <c r="Q122" s="4" t="s">
        <v>227</v>
      </c>
      <c r="R122" s="4" t="s">
        <v>289</v>
      </c>
      <c r="S122" s="4" t="s">
        <v>225</v>
      </c>
      <c r="AA122" s="4" t="s">
        <v>227</v>
      </c>
      <c r="AB122" s="4" t="s">
        <v>345</v>
      </c>
      <c r="AC122" s="4" t="s">
        <v>225</v>
      </c>
      <c r="AF122" s="4" t="s">
        <v>336</v>
      </c>
      <c r="AG122" s="4" t="s">
        <v>104</v>
      </c>
      <c r="AH122" s="4" t="s">
        <v>30</v>
      </c>
      <c r="AK122" s="4" t="s">
        <v>241</v>
      </c>
      <c r="AL122" s="4" t="s">
        <v>346</v>
      </c>
      <c r="AM122" s="4" t="s">
        <v>242</v>
      </c>
      <c r="AP122" s="4" t="s">
        <v>232</v>
      </c>
      <c r="AQ122" s="4" t="s">
        <v>441</v>
      </c>
      <c r="AR122" s="4" t="s">
        <v>703</v>
      </c>
      <c r="AZ122" s="4" t="s">
        <v>227</v>
      </c>
      <c r="BA122" s="4" t="s">
        <v>345</v>
      </c>
      <c r="BB122" s="4" t="s">
        <v>701</v>
      </c>
      <c r="BE122" s="4" t="s">
        <v>243</v>
      </c>
      <c r="BF122" s="4" t="s">
        <v>441</v>
      </c>
      <c r="BG122" s="4" t="s">
        <v>708</v>
      </c>
      <c r="BJ122" s="4" t="s">
        <v>241</v>
      </c>
      <c r="BK122" s="4" t="s">
        <v>441</v>
      </c>
      <c r="BL122" s="4" t="s">
        <v>827</v>
      </c>
      <c r="BY122" s="4" t="s">
        <v>265</v>
      </c>
      <c r="BZ122" s="4" t="s">
        <v>441</v>
      </c>
      <c r="CA122" s="4" t="s">
        <v>719</v>
      </c>
      <c r="CD122" s="4" t="s">
        <v>241</v>
      </c>
      <c r="CE122" s="4" t="s">
        <v>446</v>
      </c>
      <c r="CF122" s="4" t="s">
        <v>1015</v>
      </c>
      <c r="DC122" s="4" t="s">
        <v>249</v>
      </c>
      <c r="DD122" s="4" t="s">
        <v>346</v>
      </c>
      <c r="DE122" s="4" t="s">
        <v>1313</v>
      </c>
      <c r="DH122" s="4" t="s">
        <v>249</v>
      </c>
      <c r="DI122" s="4" t="s">
        <v>345</v>
      </c>
      <c r="DJ122" s="4" t="s">
        <v>711</v>
      </c>
      <c r="DM122" s="4" t="s">
        <v>251</v>
      </c>
      <c r="DN122" s="4" t="s">
        <v>441</v>
      </c>
      <c r="DO122" s="4" t="s">
        <v>712</v>
      </c>
      <c r="DR122" s="4" t="s">
        <v>336</v>
      </c>
      <c r="DS122" s="4" t="s">
        <v>104</v>
      </c>
      <c r="DT122" s="4" t="s">
        <v>632</v>
      </c>
    </row>
    <row r="123" spans="2:124">
      <c r="B123" s="4" t="s">
        <v>243</v>
      </c>
      <c r="C123" s="4" t="s">
        <v>32</v>
      </c>
      <c r="D123" s="4" t="s">
        <v>244</v>
      </c>
      <c r="G123" s="4" t="s">
        <v>243</v>
      </c>
      <c r="H123" s="4" t="s">
        <v>289</v>
      </c>
      <c r="I123" s="4" t="s">
        <v>244</v>
      </c>
      <c r="L123" s="4" t="s">
        <v>228</v>
      </c>
      <c r="M123" s="4" t="s">
        <v>32</v>
      </c>
      <c r="N123" s="4" t="s">
        <v>225</v>
      </c>
      <c r="Q123" s="4" t="s">
        <v>228</v>
      </c>
      <c r="R123" s="4" t="s">
        <v>289</v>
      </c>
      <c r="S123" s="4" t="s">
        <v>225</v>
      </c>
      <c r="AA123" s="4" t="s">
        <v>228</v>
      </c>
      <c r="AB123" s="4" t="s">
        <v>345</v>
      </c>
      <c r="AC123" s="4" t="s">
        <v>225</v>
      </c>
      <c r="AF123" s="4" t="s">
        <v>337</v>
      </c>
      <c r="AG123" s="4" t="s">
        <v>440</v>
      </c>
      <c r="AH123" s="4" t="s">
        <v>30</v>
      </c>
      <c r="AK123" s="4" t="s">
        <v>243</v>
      </c>
      <c r="AL123" s="4" t="s">
        <v>346</v>
      </c>
      <c r="AM123" s="4" t="s">
        <v>244</v>
      </c>
      <c r="AP123" s="4" t="s">
        <v>234</v>
      </c>
      <c r="AQ123" s="4" t="s">
        <v>441</v>
      </c>
      <c r="AR123" s="4" t="s">
        <v>703</v>
      </c>
      <c r="AZ123" s="4" t="s">
        <v>228</v>
      </c>
      <c r="BA123" s="4" t="s">
        <v>345</v>
      </c>
      <c r="BB123" s="4" t="s">
        <v>701</v>
      </c>
      <c r="BE123" s="4" t="s">
        <v>245</v>
      </c>
      <c r="BF123" s="4" t="s">
        <v>441</v>
      </c>
      <c r="BG123" s="4" t="s">
        <v>709</v>
      </c>
      <c r="BJ123" s="4" t="s">
        <v>243</v>
      </c>
      <c r="BK123" s="4" t="s">
        <v>441</v>
      </c>
      <c r="BL123" s="4" t="s">
        <v>828</v>
      </c>
      <c r="BY123" s="4" t="s">
        <v>267</v>
      </c>
      <c r="BZ123" s="4" t="s">
        <v>441</v>
      </c>
      <c r="CA123" s="4" t="s">
        <v>719</v>
      </c>
      <c r="CD123" s="4" t="s">
        <v>243</v>
      </c>
      <c r="CE123" s="4" t="s">
        <v>346</v>
      </c>
      <c r="CF123" s="4" t="s">
        <v>1016</v>
      </c>
      <c r="DC123" s="4" t="s">
        <v>251</v>
      </c>
      <c r="DD123" s="4" t="s">
        <v>441</v>
      </c>
      <c r="DE123" s="4" t="s">
        <v>1314</v>
      </c>
      <c r="DH123" s="4" t="s">
        <v>251</v>
      </c>
      <c r="DI123" s="4" t="s">
        <v>441</v>
      </c>
      <c r="DJ123" s="4" t="s">
        <v>712</v>
      </c>
      <c r="DM123" s="4" t="s">
        <v>253</v>
      </c>
      <c r="DN123" s="4" t="s">
        <v>441</v>
      </c>
      <c r="DO123" s="4" t="s">
        <v>713</v>
      </c>
      <c r="DR123" s="4" t="s">
        <v>337</v>
      </c>
      <c r="DS123" s="4" t="s">
        <v>440</v>
      </c>
      <c r="DT123" s="4" t="s">
        <v>632</v>
      </c>
    </row>
    <row r="124" spans="2:124">
      <c r="B124" s="4" t="s">
        <v>245</v>
      </c>
      <c r="C124" s="4" t="s">
        <v>32</v>
      </c>
      <c r="D124" s="4" t="s">
        <v>246</v>
      </c>
      <c r="G124" s="4" t="s">
        <v>245</v>
      </c>
      <c r="H124" s="4" t="s">
        <v>289</v>
      </c>
      <c r="I124" s="4" t="s">
        <v>246</v>
      </c>
      <c r="L124" s="4" t="s">
        <v>229</v>
      </c>
      <c r="M124" s="4" t="s">
        <v>104</v>
      </c>
      <c r="N124" s="4" t="s">
        <v>230</v>
      </c>
      <c r="Q124" s="4" t="s">
        <v>229</v>
      </c>
      <c r="R124" s="4" t="s">
        <v>298</v>
      </c>
      <c r="S124" s="4" t="s">
        <v>230</v>
      </c>
      <c r="AA124" s="4" t="s">
        <v>229</v>
      </c>
      <c r="AB124" s="4" t="s">
        <v>441</v>
      </c>
      <c r="AC124" s="4" t="s">
        <v>230</v>
      </c>
      <c r="AF124" s="4" t="s">
        <v>338</v>
      </c>
      <c r="AG124" s="4" t="s">
        <v>345</v>
      </c>
      <c r="AH124" s="4" t="s">
        <v>30</v>
      </c>
      <c r="AK124" s="4" t="s">
        <v>245</v>
      </c>
      <c r="AL124" s="4" t="s">
        <v>346</v>
      </c>
      <c r="AM124" s="4" t="s">
        <v>246</v>
      </c>
      <c r="AP124" s="4" t="s">
        <v>235</v>
      </c>
      <c r="AQ124" s="4" t="s">
        <v>441</v>
      </c>
      <c r="AR124" s="4" t="s">
        <v>704</v>
      </c>
      <c r="AZ124" s="4" t="s">
        <v>229</v>
      </c>
      <c r="BA124" s="4" t="s">
        <v>441</v>
      </c>
      <c r="BB124" s="4" t="s">
        <v>767</v>
      </c>
      <c r="BE124" s="4" t="s">
        <v>247</v>
      </c>
      <c r="BF124" s="4" t="s">
        <v>441</v>
      </c>
      <c r="BG124" s="4" t="s">
        <v>710</v>
      </c>
      <c r="BJ124" s="4" t="s">
        <v>245</v>
      </c>
      <c r="BK124" s="4" t="s">
        <v>441</v>
      </c>
      <c r="BL124" s="4" t="s">
        <v>829</v>
      </c>
      <c r="BY124" s="4" t="s">
        <v>268</v>
      </c>
      <c r="BZ124" s="4" t="s">
        <v>345</v>
      </c>
      <c r="CA124" s="4" t="s">
        <v>720</v>
      </c>
      <c r="CD124" s="4" t="s">
        <v>245</v>
      </c>
      <c r="CE124" s="4" t="s">
        <v>446</v>
      </c>
      <c r="CF124" s="4" t="s">
        <v>1017</v>
      </c>
      <c r="DC124" s="4" t="s">
        <v>253</v>
      </c>
      <c r="DD124" s="4" t="s">
        <v>441</v>
      </c>
      <c r="DE124" s="4" t="s">
        <v>1315</v>
      </c>
      <c r="DH124" s="4" t="s">
        <v>253</v>
      </c>
      <c r="DI124" s="4" t="s">
        <v>360</v>
      </c>
      <c r="DJ124" s="4" t="s">
        <v>1376</v>
      </c>
      <c r="DM124" s="4" t="s">
        <v>255</v>
      </c>
      <c r="DN124" s="4" t="s">
        <v>345</v>
      </c>
      <c r="DO124" s="4" t="s">
        <v>1392</v>
      </c>
      <c r="DR124" s="4" t="s">
        <v>338</v>
      </c>
      <c r="DS124" s="4" t="s">
        <v>345</v>
      </c>
      <c r="DT124" s="4" t="s">
        <v>632</v>
      </c>
    </row>
    <row r="125" spans="2:124">
      <c r="B125" s="4" t="s">
        <v>247</v>
      </c>
      <c r="C125" s="4" t="s">
        <v>32</v>
      </c>
      <c r="D125" s="4" t="s">
        <v>248</v>
      </c>
      <c r="G125" s="4" t="s">
        <v>247</v>
      </c>
      <c r="H125" s="4" t="s">
        <v>289</v>
      </c>
      <c r="I125" s="4" t="s">
        <v>248</v>
      </c>
      <c r="L125" s="4" t="s">
        <v>231</v>
      </c>
      <c r="M125" s="4" t="s">
        <v>32</v>
      </c>
      <c r="N125" s="4" t="s">
        <v>202</v>
      </c>
      <c r="Q125" s="4" t="s">
        <v>231</v>
      </c>
      <c r="R125" s="4" t="s">
        <v>289</v>
      </c>
      <c r="S125" s="4" t="s">
        <v>202</v>
      </c>
      <c r="AA125" s="4" t="s">
        <v>231</v>
      </c>
      <c r="AB125" s="4" t="s">
        <v>345</v>
      </c>
      <c r="AC125" s="4" t="s">
        <v>202</v>
      </c>
      <c r="AK125" s="4" t="s">
        <v>247</v>
      </c>
      <c r="AL125" s="4" t="s">
        <v>346</v>
      </c>
      <c r="AM125" s="4" t="s">
        <v>248</v>
      </c>
      <c r="AP125" s="4" t="s">
        <v>237</v>
      </c>
      <c r="AQ125" s="4" t="s">
        <v>345</v>
      </c>
      <c r="AR125" s="4" t="s">
        <v>705</v>
      </c>
      <c r="AZ125" s="4" t="s">
        <v>231</v>
      </c>
      <c r="BA125" s="4" t="s">
        <v>345</v>
      </c>
      <c r="BB125" s="4" t="s">
        <v>702</v>
      </c>
      <c r="BE125" s="4" t="s">
        <v>249</v>
      </c>
      <c r="BF125" s="4" t="s">
        <v>345</v>
      </c>
      <c r="BG125" s="4" t="s">
        <v>711</v>
      </c>
      <c r="BJ125" s="4" t="s">
        <v>247</v>
      </c>
      <c r="BK125" s="4" t="s">
        <v>441</v>
      </c>
      <c r="BL125" s="4" t="s">
        <v>830</v>
      </c>
      <c r="BY125" s="4" t="s">
        <v>270</v>
      </c>
      <c r="BZ125" s="4" t="s">
        <v>441</v>
      </c>
      <c r="CA125" s="4" t="s">
        <v>721</v>
      </c>
      <c r="CD125" s="4" t="s">
        <v>247</v>
      </c>
      <c r="CE125" s="4" t="s">
        <v>346</v>
      </c>
      <c r="CF125" s="4" t="s">
        <v>1018</v>
      </c>
      <c r="DC125" s="4" t="s">
        <v>255</v>
      </c>
      <c r="DD125" s="4" t="s">
        <v>441</v>
      </c>
      <c r="DE125" s="4" t="s">
        <v>1316</v>
      </c>
      <c r="DH125" s="4" t="s">
        <v>255</v>
      </c>
      <c r="DI125" s="4" t="s">
        <v>345</v>
      </c>
      <c r="DJ125" s="4" t="s">
        <v>1377</v>
      </c>
      <c r="DM125" s="4" t="s">
        <v>257</v>
      </c>
      <c r="DN125" s="4" t="s">
        <v>441</v>
      </c>
      <c r="DO125" s="4" t="s">
        <v>715</v>
      </c>
    </row>
    <row r="126" spans="2:124">
      <c r="B126" s="4" t="s">
        <v>249</v>
      </c>
      <c r="C126" s="4" t="s">
        <v>55</v>
      </c>
      <c r="D126" s="4" t="s">
        <v>250</v>
      </c>
      <c r="G126" s="4" t="s">
        <v>249</v>
      </c>
      <c r="H126" s="4" t="s">
        <v>293</v>
      </c>
      <c r="I126" s="4" t="s">
        <v>250</v>
      </c>
      <c r="L126" s="4" t="s">
        <v>232</v>
      </c>
      <c r="M126" s="4" t="s">
        <v>32</v>
      </c>
      <c r="N126" s="4" t="s">
        <v>233</v>
      </c>
      <c r="Q126" s="4" t="s">
        <v>232</v>
      </c>
      <c r="R126" s="4" t="s">
        <v>289</v>
      </c>
      <c r="S126" s="4" t="s">
        <v>233</v>
      </c>
      <c r="AA126" s="4" t="s">
        <v>232</v>
      </c>
      <c r="AB126" s="4" t="s">
        <v>345</v>
      </c>
      <c r="AC126" s="4" t="s">
        <v>233</v>
      </c>
      <c r="AK126" s="4" t="s">
        <v>249</v>
      </c>
      <c r="AL126" s="4" t="s">
        <v>360</v>
      </c>
      <c r="AM126" s="4" t="s">
        <v>250</v>
      </c>
      <c r="AP126" s="4" t="s">
        <v>239</v>
      </c>
      <c r="AQ126" s="4" t="s">
        <v>441</v>
      </c>
      <c r="AR126" s="4" t="s">
        <v>706</v>
      </c>
      <c r="AZ126" s="4" t="s">
        <v>232</v>
      </c>
      <c r="BA126" s="4" t="s">
        <v>345</v>
      </c>
      <c r="BB126" s="4" t="s">
        <v>703</v>
      </c>
      <c r="BE126" s="4" t="s">
        <v>251</v>
      </c>
      <c r="BF126" s="4" t="s">
        <v>441</v>
      </c>
      <c r="BG126" s="4" t="s">
        <v>712</v>
      </c>
      <c r="BJ126" s="4" t="s">
        <v>249</v>
      </c>
      <c r="BK126" s="4" t="s">
        <v>441</v>
      </c>
      <c r="BL126" s="4" t="s">
        <v>831</v>
      </c>
      <c r="BY126" s="4" t="s">
        <v>272</v>
      </c>
      <c r="BZ126" s="4" t="s">
        <v>441</v>
      </c>
      <c r="CA126" s="4" t="s">
        <v>722</v>
      </c>
      <c r="CD126" s="4" t="s">
        <v>249</v>
      </c>
      <c r="CE126" s="4" t="s">
        <v>434</v>
      </c>
      <c r="CF126" s="4" t="s">
        <v>1019</v>
      </c>
      <c r="DC126" s="4" t="s">
        <v>257</v>
      </c>
      <c r="DD126" s="4" t="s">
        <v>441</v>
      </c>
      <c r="DE126" s="4" t="s">
        <v>1317</v>
      </c>
      <c r="DH126" s="4" t="s">
        <v>257</v>
      </c>
      <c r="DI126" s="4" t="s">
        <v>441</v>
      </c>
      <c r="DJ126" s="4" t="s">
        <v>715</v>
      </c>
      <c r="DM126" s="4" t="s">
        <v>259</v>
      </c>
      <c r="DN126" s="4" t="s">
        <v>441</v>
      </c>
      <c r="DO126" s="4" t="s">
        <v>716</v>
      </c>
    </row>
    <row r="127" spans="2:124">
      <c r="B127" s="4" t="s">
        <v>251</v>
      </c>
      <c r="C127" s="4" t="s">
        <v>32</v>
      </c>
      <c r="D127" s="4" t="s">
        <v>252</v>
      </c>
      <c r="G127" s="4" t="s">
        <v>251</v>
      </c>
      <c r="H127" s="4" t="s">
        <v>289</v>
      </c>
      <c r="I127" s="4" t="s">
        <v>252</v>
      </c>
      <c r="L127" s="4" t="s">
        <v>234</v>
      </c>
      <c r="M127" s="4" t="s">
        <v>32</v>
      </c>
      <c r="N127" s="4" t="s">
        <v>233</v>
      </c>
      <c r="Q127" s="4" t="s">
        <v>234</v>
      </c>
      <c r="R127" s="4" t="s">
        <v>289</v>
      </c>
      <c r="S127" s="4" t="s">
        <v>233</v>
      </c>
      <c r="AA127" s="4" t="s">
        <v>234</v>
      </c>
      <c r="AB127" s="4" t="s">
        <v>345</v>
      </c>
      <c r="AC127" s="4" t="s">
        <v>233</v>
      </c>
      <c r="AK127" s="4" t="s">
        <v>251</v>
      </c>
      <c r="AL127" s="4" t="s">
        <v>346</v>
      </c>
      <c r="AM127" s="4" t="s">
        <v>252</v>
      </c>
      <c r="AP127" s="4" t="s">
        <v>241</v>
      </c>
      <c r="AQ127" s="4" t="s">
        <v>441</v>
      </c>
      <c r="AR127" s="4" t="s">
        <v>707</v>
      </c>
      <c r="AZ127" s="4" t="s">
        <v>234</v>
      </c>
      <c r="BA127" s="4" t="s">
        <v>345</v>
      </c>
      <c r="BB127" s="4" t="s">
        <v>703</v>
      </c>
      <c r="BE127" s="4" t="s">
        <v>253</v>
      </c>
      <c r="BF127" s="4" t="s">
        <v>441</v>
      </c>
      <c r="BG127" s="4" t="s">
        <v>713</v>
      </c>
      <c r="BJ127" s="4" t="s">
        <v>251</v>
      </c>
      <c r="BK127" s="4" t="s">
        <v>441</v>
      </c>
      <c r="BL127" s="4" t="s">
        <v>832</v>
      </c>
      <c r="BY127" s="4" t="s">
        <v>274</v>
      </c>
      <c r="BZ127" s="4" t="s">
        <v>441</v>
      </c>
      <c r="CA127" s="4" t="s">
        <v>723</v>
      </c>
      <c r="CD127" s="4" t="s">
        <v>251</v>
      </c>
      <c r="CE127" s="4" t="s">
        <v>446</v>
      </c>
      <c r="CF127" s="4" t="s">
        <v>1020</v>
      </c>
      <c r="DC127" s="4" t="s">
        <v>259</v>
      </c>
      <c r="DD127" s="4" t="s">
        <v>441</v>
      </c>
      <c r="DE127" s="4" t="s">
        <v>1318</v>
      </c>
      <c r="DH127" s="4" t="s">
        <v>259</v>
      </c>
      <c r="DI127" s="4" t="s">
        <v>360</v>
      </c>
      <c r="DJ127" s="4" t="s">
        <v>1378</v>
      </c>
      <c r="DM127" s="4" t="s">
        <v>261</v>
      </c>
      <c r="DN127" s="4" t="s">
        <v>441</v>
      </c>
      <c r="DO127" s="4" t="s">
        <v>717</v>
      </c>
    </row>
    <row r="128" spans="2:124">
      <c r="B128" s="4" t="s">
        <v>253</v>
      </c>
      <c r="C128" s="4" t="s">
        <v>32</v>
      </c>
      <c r="D128" s="4" t="s">
        <v>254</v>
      </c>
      <c r="G128" s="4" t="s">
        <v>253</v>
      </c>
      <c r="H128" s="4" t="s">
        <v>289</v>
      </c>
      <c r="I128" s="4" t="s">
        <v>254</v>
      </c>
      <c r="L128" s="4" t="s">
        <v>235</v>
      </c>
      <c r="M128" s="4" t="s">
        <v>32</v>
      </c>
      <c r="N128" s="4" t="s">
        <v>236</v>
      </c>
      <c r="Q128" s="4" t="s">
        <v>235</v>
      </c>
      <c r="R128" s="4" t="s">
        <v>289</v>
      </c>
      <c r="S128" s="4" t="s">
        <v>236</v>
      </c>
      <c r="AA128" s="4" t="s">
        <v>235</v>
      </c>
      <c r="AB128" s="4" t="s">
        <v>345</v>
      </c>
      <c r="AC128" s="4" t="s">
        <v>236</v>
      </c>
      <c r="AK128" s="4" t="s">
        <v>253</v>
      </c>
      <c r="AL128" s="4" t="s">
        <v>346</v>
      </c>
      <c r="AM128" s="4" t="s">
        <v>254</v>
      </c>
      <c r="AP128" s="4" t="s">
        <v>243</v>
      </c>
      <c r="AQ128" s="4" t="s">
        <v>441</v>
      </c>
      <c r="AR128" s="4" t="s">
        <v>708</v>
      </c>
      <c r="AZ128" s="4" t="s">
        <v>235</v>
      </c>
      <c r="BA128" s="4" t="s">
        <v>345</v>
      </c>
      <c r="BB128" s="4" t="s">
        <v>704</v>
      </c>
      <c r="BE128" s="4" t="s">
        <v>255</v>
      </c>
      <c r="BF128" s="4" t="s">
        <v>441</v>
      </c>
      <c r="BG128" s="4" t="s">
        <v>714</v>
      </c>
      <c r="BJ128" s="4" t="s">
        <v>253</v>
      </c>
      <c r="BK128" s="4" t="s">
        <v>441</v>
      </c>
      <c r="BL128" s="4" t="s">
        <v>833</v>
      </c>
      <c r="BY128" s="4" t="s">
        <v>276</v>
      </c>
      <c r="BZ128" s="4" t="s">
        <v>441</v>
      </c>
      <c r="CA128" s="4" t="s">
        <v>724</v>
      </c>
      <c r="CD128" s="4" t="s">
        <v>253</v>
      </c>
      <c r="CE128" s="4" t="s">
        <v>346</v>
      </c>
      <c r="CF128" s="4" t="s">
        <v>1021</v>
      </c>
      <c r="DC128" s="4" t="s">
        <v>261</v>
      </c>
      <c r="DD128" s="4" t="s">
        <v>441</v>
      </c>
      <c r="DE128" s="4" t="s">
        <v>1319</v>
      </c>
      <c r="DH128" s="4" t="s">
        <v>261</v>
      </c>
      <c r="DI128" s="4" t="s">
        <v>603</v>
      </c>
      <c r="DJ128" s="4" t="s">
        <v>1379</v>
      </c>
      <c r="DM128" s="4" t="s">
        <v>263</v>
      </c>
      <c r="DN128" s="4" t="s">
        <v>441</v>
      </c>
      <c r="DO128" s="4" t="s">
        <v>718</v>
      </c>
    </row>
    <row r="129" spans="2:119">
      <c r="B129" s="4" t="s">
        <v>255</v>
      </c>
      <c r="C129" s="4" t="s">
        <v>32</v>
      </c>
      <c r="D129" s="4" t="s">
        <v>256</v>
      </c>
      <c r="G129" s="4" t="s">
        <v>255</v>
      </c>
      <c r="H129" s="4" t="s">
        <v>289</v>
      </c>
      <c r="I129" s="4" t="s">
        <v>256</v>
      </c>
      <c r="L129" s="4" t="s">
        <v>237</v>
      </c>
      <c r="M129" s="4" t="s">
        <v>32</v>
      </c>
      <c r="N129" s="4" t="s">
        <v>238</v>
      </c>
      <c r="Q129" s="4" t="s">
        <v>237</v>
      </c>
      <c r="R129" s="4" t="s">
        <v>289</v>
      </c>
      <c r="S129" s="4" t="s">
        <v>238</v>
      </c>
      <c r="AA129" s="4" t="s">
        <v>237</v>
      </c>
      <c r="AB129" s="4" t="s">
        <v>345</v>
      </c>
      <c r="AC129" s="4" t="s">
        <v>238</v>
      </c>
      <c r="AK129" s="4" t="s">
        <v>255</v>
      </c>
      <c r="AL129" s="4" t="s">
        <v>346</v>
      </c>
      <c r="AM129" s="4" t="s">
        <v>335</v>
      </c>
      <c r="AP129" s="4" t="s">
        <v>245</v>
      </c>
      <c r="AQ129" s="4" t="s">
        <v>441</v>
      </c>
      <c r="AR129" s="4" t="s">
        <v>709</v>
      </c>
      <c r="AZ129" s="4" t="s">
        <v>237</v>
      </c>
      <c r="BA129" s="4" t="s">
        <v>345</v>
      </c>
      <c r="BB129" s="4" t="s">
        <v>768</v>
      </c>
      <c r="BE129" s="4" t="s">
        <v>257</v>
      </c>
      <c r="BF129" s="4" t="s">
        <v>441</v>
      </c>
      <c r="BG129" s="4" t="s">
        <v>715</v>
      </c>
      <c r="BJ129" s="4" t="s">
        <v>255</v>
      </c>
      <c r="BK129" s="4" t="s">
        <v>441</v>
      </c>
      <c r="BL129" s="4" t="s">
        <v>834</v>
      </c>
      <c r="BY129" s="4" t="s">
        <v>280</v>
      </c>
      <c r="BZ129" s="4" t="s">
        <v>441</v>
      </c>
      <c r="CA129" s="4" t="s">
        <v>725</v>
      </c>
      <c r="CD129" s="4" t="s">
        <v>255</v>
      </c>
      <c r="CE129" s="4" t="s">
        <v>360</v>
      </c>
      <c r="CF129" s="4" t="s">
        <v>256</v>
      </c>
      <c r="DC129" s="4" t="s">
        <v>263</v>
      </c>
      <c r="DD129" s="4" t="s">
        <v>441</v>
      </c>
      <c r="DE129" s="4" t="s">
        <v>1320</v>
      </c>
      <c r="DH129" s="4" t="s">
        <v>263</v>
      </c>
      <c r="DI129" s="4" t="s">
        <v>441</v>
      </c>
      <c r="DJ129" s="4" t="s">
        <v>718</v>
      </c>
      <c r="DM129" s="4" t="s">
        <v>265</v>
      </c>
      <c r="DN129" s="4" t="s">
        <v>441</v>
      </c>
      <c r="DO129" s="4" t="s">
        <v>719</v>
      </c>
    </row>
    <row r="130" spans="2:119">
      <c r="B130" s="4" t="s">
        <v>257</v>
      </c>
      <c r="C130" s="4" t="s">
        <v>32</v>
      </c>
      <c r="D130" s="4" t="s">
        <v>258</v>
      </c>
      <c r="G130" s="4" t="s">
        <v>257</v>
      </c>
      <c r="H130" s="4" t="s">
        <v>289</v>
      </c>
      <c r="I130" s="4" t="s">
        <v>258</v>
      </c>
      <c r="L130" s="4" t="s">
        <v>239</v>
      </c>
      <c r="M130" s="4" t="s">
        <v>55</v>
      </c>
      <c r="N130" s="4" t="s">
        <v>333</v>
      </c>
      <c r="Q130" s="4" t="s">
        <v>239</v>
      </c>
      <c r="R130" s="4" t="s">
        <v>293</v>
      </c>
      <c r="S130" s="4" t="s">
        <v>333</v>
      </c>
      <c r="AA130" s="4" t="s">
        <v>239</v>
      </c>
      <c r="AB130" s="4" t="s">
        <v>345</v>
      </c>
      <c r="AC130" s="4" t="s">
        <v>240</v>
      </c>
      <c r="AK130" s="4" t="s">
        <v>257</v>
      </c>
      <c r="AL130" s="4" t="s">
        <v>346</v>
      </c>
      <c r="AM130" s="4" t="s">
        <v>630</v>
      </c>
      <c r="AP130" s="4" t="s">
        <v>247</v>
      </c>
      <c r="AQ130" s="4" t="s">
        <v>441</v>
      </c>
      <c r="AR130" s="4" t="s">
        <v>710</v>
      </c>
      <c r="AZ130" s="4" t="s">
        <v>239</v>
      </c>
      <c r="BA130" s="4" t="s">
        <v>345</v>
      </c>
      <c r="BB130" s="4" t="s">
        <v>706</v>
      </c>
      <c r="BE130" s="4" t="s">
        <v>259</v>
      </c>
      <c r="BF130" s="4" t="s">
        <v>441</v>
      </c>
      <c r="BG130" s="4" t="s">
        <v>716</v>
      </c>
      <c r="BJ130" s="4" t="s">
        <v>257</v>
      </c>
      <c r="BK130" s="4" t="s">
        <v>441</v>
      </c>
      <c r="BL130" s="4" t="s">
        <v>835</v>
      </c>
      <c r="BY130" s="4" t="s">
        <v>282</v>
      </c>
      <c r="BZ130" s="4" t="s">
        <v>441</v>
      </c>
      <c r="CA130" s="4" t="s">
        <v>726</v>
      </c>
      <c r="CD130" s="4" t="s">
        <v>257</v>
      </c>
      <c r="CE130" s="4" t="s">
        <v>446</v>
      </c>
      <c r="CF130" s="4" t="s">
        <v>258</v>
      </c>
      <c r="DC130" s="4" t="s">
        <v>265</v>
      </c>
      <c r="DD130" s="4" t="s">
        <v>441</v>
      </c>
      <c r="DE130" s="4" t="s">
        <v>1321</v>
      </c>
      <c r="DH130" s="4" t="s">
        <v>265</v>
      </c>
      <c r="DI130" s="4" t="s">
        <v>441</v>
      </c>
      <c r="DJ130" s="4" t="s">
        <v>719</v>
      </c>
      <c r="DM130" s="4" t="s">
        <v>267</v>
      </c>
      <c r="DN130" s="4" t="s">
        <v>441</v>
      </c>
      <c r="DO130" s="4" t="s">
        <v>719</v>
      </c>
    </row>
    <row r="131" spans="2:119">
      <c r="B131" s="4" t="s">
        <v>259</v>
      </c>
      <c r="C131" s="4" t="s">
        <v>32</v>
      </c>
      <c r="D131" s="4" t="s">
        <v>260</v>
      </c>
      <c r="G131" s="4" t="s">
        <v>259</v>
      </c>
      <c r="H131" s="4" t="s">
        <v>289</v>
      </c>
      <c r="I131" s="4" t="s">
        <v>260</v>
      </c>
      <c r="L131" s="4" t="s">
        <v>241</v>
      </c>
      <c r="M131" s="4" t="s">
        <v>32</v>
      </c>
      <c r="N131" s="4" t="s">
        <v>242</v>
      </c>
      <c r="Q131" s="4" t="s">
        <v>241</v>
      </c>
      <c r="R131" s="4" t="s">
        <v>289</v>
      </c>
      <c r="S131" s="4" t="s">
        <v>242</v>
      </c>
      <c r="AA131" s="4" t="s">
        <v>241</v>
      </c>
      <c r="AB131" s="4" t="s">
        <v>345</v>
      </c>
      <c r="AC131" s="4" t="s">
        <v>242</v>
      </c>
      <c r="AK131" s="4" t="s">
        <v>259</v>
      </c>
      <c r="AL131" s="4" t="s">
        <v>346</v>
      </c>
      <c r="AM131" s="4" t="s">
        <v>260</v>
      </c>
      <c r="AP131" s="4" t="s">
        <v>249</v>
      </c>
      <c r="AQ131" s="4" t="s">
        <v>345</v>
      </c>
      <c r="AR131" s="4" t="s">
        <v>711</v>
      </c>
      <c r="AZ131" s="4" t="s">
        <v>241</v>
      </c>
      <c r="BA131" s="4" t="s">
        <v>345</v>
      </c>
      <c r="BB131" s="4" t="s">
        <v>707</v>
      </c>
      <c r="BE131" s="4" t="s">
        <v>261</v>
      </c>
      <c r="BF131" s="4" t="s">
        <v>441</v>
      </c>
      <c r="BG131" s="4" t="s">
        <v>717</v>
      </c>
      <c r="BJ131" s="4" t="s">
        <v>259</v>
      </c>
      <c r="BK131" s="4" t="s">
        <v>441</v>
      </c>
      <c r="BL131" s="4" t="s">
        <v>836</v>
      </c>
      <c r="BY131" s="4" t="s">
        <v>336</v>
      </c>
      <c r="BZ131" s="4" t="s">
        <v>104</v>
      </c>
      <c r="CA131" s="4" t="s">
        <v>632</v>
      </c>
      <c r="CD131" s="4" t="s">
        <v>259</v>
      </c>
      <c r="CE131" s="4" t="s">
        <v>360</v>
      </c>
      <c r="CF131" s="4" t="s">
        <v>1022</v>
      </c>
      <c r="DC131" s="4" t="s">
        <v>267</v>
      </c>
      <c r="DD131" s="4" t="s">
        <v>441</v>
      </c>
      <c r="DE131" s="4" t="s">
        <v>1321</v>
      </c>
      <c r="DH131" s="4" t="s">
        <v>267</v>
      </c>
      <c r="DI131" s="4" t="s">
        <v>441</v>
      </c>
      <c r="DJ131" s="4" t="s">
        <v>719</v>
      </c>
      <c r="DM131" s="4" t="s">
        <v>268</v>
      </c>
      <c r="DN131" s="4" t="s">
        <v>446</v>
      </c>
      <c r="DO131" s="4" t="s">
        <v>1393</v>
      </c>
    </row>
    <row r="132" spans="2:119">
      <c r="B132" s="4" t="s">
        <v>261</v>
      </c>
      <c r="C132" s="4" t="s">
        <v>32</v>
      </c>
      <c r="D132" s="4" t="s">
        <v>262</v>
      </c>
      <c r="G132" s="4" t="s">
        <v>261</v>
      </c>
      <c r="H132" s="4" t="s">
        <v>289</v>
      </c>
      <c r="I132" s="4" t="s">
        <v>262</v>
      </c>
      <c r="L132" s="4" t="s">
        <v>243</v>
      </c>
      <c r="M132" s="4" t="s">
        <v>29</v>
      </c>
      <c r="N132" s="4" t="s">
        <v>334</v>
      </c>
      <c r="Q132" s="4" t="s">
        <v>243</v>
      </c>
      <c r="R132" s="4" t="s">
        <v>288</v>
      </c>
      <c r="S132" s="4" t="s">
        <v>334</v>
      </c>
      <c r="AA132" s="4" t="s">
        <v>243</v>
      </c>
      <c r="AB132" s="4" t="s">
        <v>345</v>
      </c>
      <c r="AC132" s="4" t="s">
        <v>244</v>
      </c>
      <c r="AK132" s="4" t="s">
        <v>261</v>
      </c>
      <c r="AL132" s="4" t="s">
        <v>346</v>
      </c>
      <c r="AM132" s="4" t="s">
        <v>262</v>
      </c>
      <c r="AP132" s="4" t="s">
        <v>251</v>
      </c>
      <c r="AQ132" s="4" t="s">
        <v>441</v>
      </c>
      <c r="AR132" s="4" t="s">
        <v>712</v>
      </c>
      <c r="AZ132" s="4" t="s">
        <v>243</v>
      </c>
      <c r="BA132" s="4" t="s">
        <v>345</v>
      </c>
      <c r="BB132" s="4" t="s">
        <v>708</v>
      </c>
      <c r="BE132" s="4" t="s">
        <v>263</v>
      </c>
      <c r="BF132" s="4" t="s">
        <v>441</v>
      </c>
      <c r="BG132" s="4" t="s">
        <v>718</v>
      </c>
      <c r="BJ132" s="4" t="s">
        <v>261</v>
      </c>
      <c r="BK132" s="4" t="s">
        <v>441</v>
      </c>
      <c r="BL132" s="4" t="s">
        <v>769</v>
      </c>
      <c r="BY132" s="4" t="s">
        <v>337</v>
      </c>
      <c r="BZ132" s="4" t="s">
        <v>345</v>
      </c>
      <c r="CA132" s="4" t="s">
        <v>632</v>
      </c>
      <c r="CD132" s="4" t="s">
        <v>261</v>
      </c>
      <c r="CE132" s="4" t="s">
        <v>346</v>
      </c>
      <c r="CF132" s="4" t="s">
        <v>1023</v>
      </c>
      <c r="DC132" s="4" t="s">
        <v>268</v>
      </c>
      <c r="DD132" s="4" t="s">
        <v>441</v>
      </c>
      <c r="DE132" s="4" t="s">
        <v>1322</v>
      </c>
      <c r="DH132" s="4" t="s">
        <v>268</v>
      </c>
      <c r="DI132" s="4" t="s">
        <v>446</v>
      </c>
      <c r="DJ132" s="4" t="s">
        <v>1380</v>
      </c>
      <c r="DM132" s="4" t="s">
        <v>270</v>
      </c>
      <c r="DN132" s="4" t="s">
        <v>441</v>
      </c>
      <c r="DO132" s="4" t="s">
        <v>721</v>
      </c>
    </row>
    <row r="133" spans="2:119">
      <c r="B133" s="4" t="s">
        <v>263</v>
      </c>
      <c r="C133" s="4" t="s">
        <v>32</v>
      </c>
      <c r="D133" s="4" t="s">
        <v>264</v>
      </c>
      <c r="G133" s="4" t="s">
        <v>263</v>
      </c>
      <c r="H133" s="4" t="s">
        <v>289</v>
      </c>
      <c r="I133" s="4" t="s">
        <v>264</v>
      </c>
      <c r="L133" s="4" t="s">
        <v>245</v>
      </c>
      <c r="M133" s="4" t="s">
        <v>32</v>
      </c>
      <c r="N133" s="4" t="s">
        <v>246</v>
      </c>
      <c r="Q133" s="4" t="s">
        <v>245</v>
      </c>
      <c r="R133" s="4" t="s">
        <v>289</v>
      </c>
      <c r="S133" s="4" t="s">
        <v>246</v>
      </c>
      <c r="AA133" s="4" t="s">
        <v>245</v>
      </c>
      <c r="AB133" s="4" t="s">
        <v>345</v>
      </c>
      <c r="AC133" s="4" t="s">
        <v>246</v>
      </c>
      <c r="AK133" s="4" t="s">
        <v>263</v>
      </c>
      <c r="AL133" s="4" t="s">
        <v>346</v>
      </c>
      <c r="AM133" s="4" t="s">
        <v>264</v>
      </c>
      <c r="AP133" s="4" t="s">
        <v>253</v>
      </c>
      <c r="AQ133" s="4" t="s">
        <v>441</v>
      </c>
      <c r="AR133" s="4" t="s">
        <v>713</v>
      </c>
      <c r="AZ133" s="4" t="s">
        <v>245</v>
      </c>
      <c r="BA133" s="4" t="s">
        <v>345</v>
      </c>
      <c r="BB133" s="4" t="s">
        <v>709</v>
      </c>
      <c r="BE133" s="4" t="s">
        <v>265</v>
      </c>
      <c r="BF133" s="4" t="s">
        <v>441</v>
      </c>
      <c r="BG133" s="4" t="s">
        <v>719</v>
      </c>
      <c r="BJ133" s="4" t="s">
        <v>263</v>
      </c>
      <c r="BK133" s="4" t="s">
        <v>441</v>
      </c>
      <c r="BL133" s="4" t="s">
        <v>770</v>
      </c>
      <c r="BY133" s="4" t="s">
        <v>338</v>
      </c>
      <c r="BZ133" s="4" t="s">
        <v>298</v>
      </c>
      <c r="CA133" s="4" t="s">
        <v>632</v>
      </c>
      <c r="CD133" s="4" t="s">
        <v>263</v>
      </c>
      <c r="CE133" s="4" t="s">
        <v>346</v>
      </c>
      <c r="CF133" s="4" t="s">
        <v>1024</v>
      </c>
      <c r="DC133" s="4" t="s">
        <v>270</v>
      </c>
      <c r="DD133" s="4" t="s">
        <v>441</v>
      </c>
      <c r="DE133" s="4" t="s">
        <v>1283</v>
      </c>
      <c r="DH133" s="4" t="s">
        <v>270</v>
      </c>
      <c r="DI133" s="4" t="s">
        <v>360</v>
      </c>
      <c r="DJ133" s="4" t="s">
        <v>1381</v>
      </c>
      <c r="DM133" s="4" t="s">
        <v>272</v>
      </c>
      <c r="DN133" s="4" t="s">
        <v>441</v>
      </c>
      <c r="DO133" s="4" t="s">
        <v>722</v>
      </c>
    </row>
    <row r="134" spans="2:119">
      <c r="B134" s="4" t="s">
        <v>265</v>
      </c>
      <c r="C134" s="4" t="s">
        <v>32</v>
      </c>
      <c r="D134" s="4" t="s">
        <v>266</v>
      </c>
      <c r="G134" s="4" t="s">
        <v>265</v>
      </c>
      <c r="H134" s="4" t="s">
        <v>289</v>
      </c>
      <c r="I134" s="4" t="s">
        <v>266</v>
      </c>
      <c r="L134" s="4" t="s">
        <v>247</v>
      </c>
      <c r="M134" s="4" t="s">
        <v>32</v>
      </c>
      <c r="N134" s="4" t="s">
        <v>248</v>
      </c>
      <c r="Q134" s="4" t="s">
        <v>247</v>
      </c>
      <c r="R134" s="4" t="s">
        <v>289</v>
      </c>
      <c r="S134" s="4" t="s">
        <v>248</v>
      </c>
      <c r="AA134" s="4" t="s">
        <v>247</v>
      </c>
      <c r="AB134" s="4" t="s">
        <v>345</v>
      </c>
      <c r="AC134" s="4" t="s">
        <v>248</v>
      </c>
      <c r="AK134" s="4" t="s">
        <v>265</v>
      </c>
      <c r="AL134" s="4" t="s">
        <v>346</v>
      </c>
      <c r="AM134" s="4" t="s">
        <v>266</v>
      </c>
      <c r="AP134" s="4" t="s">
        <v>255</v>
      </c>
      <c r="AQ134" s="4" t="s">
        <v>441</v>
      </c>
      <c r="AR134" s="4" t="s">
        <v>714</v>
      </c>
      <c r="AZ134" s="4" t="s">
        <v>247</v>
      </c>
      <c r="BA134" s="4" t="s">
        <v>345</v>
      </c>
      <c r="BB134" s="4" t="s">
        <v>710</v>
      </c>
      <c r="BE134" s="4" t="s">
        <v>267</v>
      </c>
      <c r="BF134" s="4" t="s">
        <v>441</v>
      </c>
      <c r="BG134" s="4" t="s">
        <v>719</v>
      </c>
      <c r="BJ134" s="4" t="s">
        <v>265</v>
      </c>
      <c r="BK134" s="4" t="s">
        <v>441</v>
      </c>
      <c r="BL134" s="4" t="s">
        <v>771</v>
      </c>
      <c r="CD134" s="4" t="s">
        <v>265</v>
      </c>
      <c r="CE134" s="4" t="s">
        <v>441</v>
      </c>
      <c r="CF134" s="4" t="s">
        <v>457</v>
      </c>
      <c r="DC134" s="4" t="s">
        <v>272</v>
      </c>
      <c r="DD134" s="4" t="s">
        <v>345</v>
      </c>
      <c r="DE134" s="4" t="s">
        <v>1323</v>
      </c>
      <c r="DH134" s="4" t="s">
        <v>272</v>
      </c>
      <c r="DI134" s="4" t="s">
        <v>441</v>
      </c>
      <c r="DJ134" s="4" t="s">
        <v>722</v>
      </c>
      <c r="DM134" s="4" t="s">
        <v>274</v>
      </c>
      <c r="DN134" s="4" t="s">
        <v>346</v>
      </c>
      <c r="DO134" s="4" t="s">
        <v>1394</v>
      </c>
    </row>
    <row r="135" spans="2:119">
      <c r="B135" s="4" t="s">
        <v>267</v>
      </c>
      <c r="C135" s="4" t="s">
        <v>32</v>
      </c>
      <c r="D135" s="4" t="s">
        <v>266</v>
      </c>
      <c r="G135" s="4" t="s">
        <v>267</v>
      </c>
      <c r="H135" s="4" t="s">
        <v>289</v>
      </c>
      <c r="I135" s="4" t="s">
        <v>266</v>
      </c>
      <c r="L135" s="4" t="s">
        <v>249</v>
      </c>
      <c r="M135" s="4" t="s">
        <v>55</v>
      </c>
      <c r="N135" s="4" t="s">
        <v>250</v>
      </c>
      <c r="Q135" s="4" t="s">
        <v>249</v>
      </c>
      <c r="R135" s="4" t="s">
        <v>293</v>
      </c>
      <c r="S135" s="4" t="s">
        <v>250</v>
      </c>
      <c r="AA135" s="4" t="s">
        <v>249</v>
      </c>
      <c r="AB135" s="4" t="s">
        <v>346</v>
      </c>
      <c r="AC135" s="4" t="s">
        <v>250</v>
      </c>
      <c r="AK135" s="4" t="s">
        <v>267</v>
      </c>
      <c r="AL135" s="4" t="s">
        <v>346</v>
      </c>
      <c r="AM135" s="4" t="s">
        <v>266</v>
      </c>
      <c r="AP135" s="4" t="s">
        <v>257</v>
      </c>
      <c r="AQ135" s="4" t="s">
        <v>441</v>
      </c>
      <c r="AR135" s="4" t="s">
        <v>715</v>
      </c>
      <c r="AZ135" s="4" t="s">
        <v>249</v>
      </c>
      <c r="BA135" s="4" t="s">
        <v>346</v>
      </c>
      <c r="BB135" s="4" t="s">
        <v>711</v>
      </c>
      <c r="BE135" s="4" t="s">
        <v>268</v>
      </c>
      <c r="BF135" s="4" t="s">
        <v>345</v>
      </c>
      <c r="BG135" s="4" t="s">
        <v>720</v>
      </c>
      <c r="BJ135" s="4" t="s">
        <v>267</v>
      </c>
      <c r="BK135" s="4" t="s">
        <v>441</v>
      </c>
      <c r="BL135" s="4" t="s">
        <v>771</v>
      </c>
      <c r="CD135" s="4" t="s">
        <v>267</v>
      </c>
      <c r="CE135" s="4" t="s">
        <v>441</v>
      </c>
      <c r="CF135" s="4" t="s">
        <v>457</v>
      </c>
      <c r="DC135" s="4" t="s">
        <v>274</v>
      </c>
      <c r="DD135" s="4" t="s">
        <v>441</v>
      </c>
      <c r="DE135" s="4" t="s">
        <v>1324</v>
      </c>
      <c r="DH135" s="4" t="s">
        <v>274</v>
      </c>
      <c r="DI135" s="4" t="s">
        <v>346</v>
      </c>
      <c r="DJ135" s="4" t="s">
        <v>1382</v>
      </c>
      <c r="DM135" s="4" t="s">
        <v>276</v>
      </c>
      <c r="DN135" s="4" t="s">
        <v>345</v>
      </c>
      <c r="DO135" s="4" t="s">
        <v>1395</v>
      </c>
    </row>
    <row r="136" spans="2:119">
      <c r="B136" s="4" t="s">
        <v>268</v>
      </c>
      <c r="C136" s="4" t="s">
        <v>55</v>
      </c>
      <c r="D136" s="4" t="s">
        <v>269</v>
      </c>
      <c r="G136" s="4" t="s">
        <v>268</v>
      </c>
      <c r="H136" s="4" t="s">
        <v>293</v>
      </c>
      <c r="I136" s="4" t="s">
        <v>307</v>
      </c>
      <c r="L136" s="4" t="s">
        <v>251</v>
      </c>
      <c r="M136" s="4" t="s">
        <v>32</v>
      </c>
      <c r="N136" s="4" t="s">
        <v>252</v>
      </c>
      <c r="Q136" s="4" t="s">
        <v>251</v>
      </c>
      <c r="R136" s="4" t="s">
        <v>289</v>
      </c>
      <c r="S136" s="4" t="s">
        <v>252</v>
      </c>
      <c r="AA136" s="4" t="s">
        <v>251</v>
      </c>
      <c r="AB136" s="4" t="s">
        <v>345</v>
      </c>
      <c r="AC136" s="4" t="s">
        <v>252</v>
      </c>
      <c r="AK136" s="4" t="s">
        <v>268</v>
      </c>
      <c r="AL136" s="4" t="s">
        <v>360</v>
      </c>
      <c r="AM136" s="4" t="s">
        <v>307</v>
      </c>
      <c r="AP136" s="4" t="s">
        <v>259</v>
      </c>
      <c r="AQ136" s="4" t="s">
        <v>441</v>
      </c>
      <c r="AR136" s="4" t="s">
        <v>716</v>
      </c>
      <c r="AZ136" s="4" t="s">
        <v>251</v>
      </c>
      <c r="BA136" s="4" t="s">
        <v>345</v>
      </c>
      <c r="BB136" s="4" t="s">
        <v>712</v>
      </c>
      <c r="BE136" s="4" t="s">
        <v>270</v>
      </c>
      <c r="BF136" s="4" t="s">
        <v>441</v>
      </c>
      <c r="BG136" s="4" t="s">
        <v>721</v>
      </c>
      <c r="BJ136" s="4" t="s">
        <v>268</v>
      </c>
      <c r="BK136" s="4" t="s">
        <v>441</v>
      </c>
      <c r="BL136" s="4" t="s">
        <v>772</v>
      </c>
      <c r="CD136" s="4" t="s">
        <v>268</v>
      </c>
      <c r="CE136" s="4" t="s">
        <v>446</v>
      </c>
      <c r="CF136" s="4" t="s">
        <v>269</v>
      </c>
      <c r="DC136" s="4" t="s">
        <v>276</v>
      </c>
      <c r="DD136" s="4" t="s">
        <v>441</v>
      </c>
      <c r="DE136" s="4" t="s">
        <v>1325</v>
      </c>
      <c r="DH136" s="4" t="s">
        <v>276</v>
      </c>
      <c r="DI136" s="4" t="s">
        <v>441</v>
      </c>
      <c r="DJ136" s="4" t="s">
        <v>724</v>
      </c>
      <c r="DM136" s="4" t="s">
        <v>280</v>
      </c>
      <c r="DN136" s="4" t="s">
        <v>441</v>
      </c>
      <c r="DO136" s="4" t="s">
        <v>725</v>
      </c>
    </row>
    <row r="137" spans="2:119">
      <c r="B137" s="4" t="s">
        <v>270</v>
      </c>
      <c r="C137" s="4" t="s">
        <v>32</v>
      </c>
      <c r="D137" s="4" t="s">
        <v>271</v>
      </c>
      <c r="G137" s="4" t="s">
        <v>270</v>
      </c>
      <c r="H137" s="4" t="s">
        <v>289</v>
      </c>
      <c r="I137" s="4" t="s">
        <v>271</v>
      </c>
      <c r="L137" s="4" t="s">
        <v>253</v>
      </c>
      <c r="M137" s="4" t="s">
        <v>32</v>
      </c>
      <c r="N137" s="4" t="s">
        <v>254</v>
      </c>
      <c r="Q137" s="4" t="s">
        <v>253</v>
      </c>
      <c r="R137" s="4" t="s">
        <v>289</v>
      </c>
      <c r="S137" s="4" t="s">
        <v>254</v>
      </c>
      <c r="AA137" s="4" t="s">
        <v>253</v>
      </c>
      <c r="AB137" s="4" t="s">
        <v>345</v>
      </c>
      <c r="AC137" s="4" t="s">
        <v>254</v>
      </c>
      <c r="AK137" s="4" t="s">
        <v>270</v>
      </c>
      <c r="AL137" s="4" t="s">
        <v>346</v>
      </c>
      <c r="AM137" s="4" t="s">
        <v>271</v>
      </c>
      <c r="AP137" s="4" t="s">
        <v>261</v>
      </c>
      <c r="AQ137" s="4" t="s">
        <v>441</v>
      </c>
      <c r="AR137" s="4" t="s">
        <v>717</v>
      </c>
      <c r="AZ137" s="4" t="s">
        <v>253</v>
      </c>
      <c r="BA137" s="4" t="s">
        <v>345</v>
      </c>
      <c r="BB137" s="4" t="s">
        <v>713</v>
      </c>
      <c r="BE137" s="4" t="s">
        <v>272</v>
      </c>
      <c r="BF137" s="4" t="s">
        <v>441</v>
      </c>
      <c r="BG137" s="4" t="s">
        <v>722</v>
      </c>
      <c r="BJ137" s="4" t="s">
        <v>270</v>
      </c>
      <c r="BK137" s="4" t="s">
        <v>441</v>
      </c>
      <c r="BL137" s="4" t="s">
        <v>773</v>
      </c>
      <c r="CD137" s="4" t="s">
        <v>270</v>
      </c>
      <c r="CE137" s="4" t="s">
        <v>360</v>
      </c>
      <c r="CF137" s="4" t="s">
        <v>1025</v>
      </c>
      <c r="DC137" s="4" t="s">
        <v>278</v>
      </c>
      <c r="DD137" s="4" t="s">
        <v>345</v>
      </c>
      <c r="DE137" s="4" t="s">
        <v>1326</v>
      </c>
      <c r="DH137" s="4" t="s">
        <v>280</v>
      </c>
      <c r="DI137" s="4" t="s">
        <v>441</v>
      </c>
      <c r="DJ137" s="4" t="s">
        <v>725</v>
      </c>
      <c r="DM137" s="4" t="s">
        <v>282</v>
      </c>
      <c r="DN137" s="4" t="s">
        <v>441</v>
      </c>
      <c r="DO137" s="4" t="s">
        <v>726</v>
      </c>
    </row>
    <row r="138" spans="2:119">
      <c r="B138" s="4" t="s">
        <v>272</v>
      </c>
      <c r="C138" s="4" t="s">
        <v>32</v>
      </c>
      <c r="D138" s="4" t="s">
        <v>273</v>
      </c>
      <c r="G138" s="4" t="s">
        <v>272</v>
      </c>
      <c r="H138" s="4" t="s">
        <v>289</v>
      </c>
      <c r="I138" s="4" t="s">
        <v>273</v>
      </c>
      <c r="L138" s="4" t="s">
        <v>255</v>
      </c>
      <c r="M138" s="4" t="s">
        <v>32</v>
      </c>
      <c r="N138" s="4" t="s">
        <v>335</v>
      </c>
      <c r="Q138" s="4" t="s">
        <v>255</v>
      </c>
      <c r="R138" s="4" t="s">
        <v>289</v>
      </c>
      <c r="S138" s="4" t="s">
        <v>256</v>
      </c>
      <c r="AA138" s="4" t="s">
        <v>255</v>
      </c>
      <c r="AB138" s="4" t="s">
        <v>345</v>
      </c>
      <c r="AC138" s="4" t="s">
        <v>256</v>
      </c>
      <c r="AK138" s="4" t="s">
        <v>272</v>
      </c>
      <c r="AL138" s="4" t="s">
        <v>346</v>
      </c>
      <c r="AM138" s="4" t="s">
        <v>273</v>
      </c>
      <c r="AP138" s="4" t="s">
        <v>263</v>
      </c>
      <c r="AQ138" s="4" t="s">
        <v>441</v>
      </c>
      <c r="AR138" s="4" t="s">
        <v>718</v>
      </c>
      <c r="AZ138" s="4" t="s">
        <v>255</v>
      </c>
      <c r="BA138" s="4" t="s">
        <v>345</v>
      </c>
      <c r="BB138" s="4" t="s">
        <v>714</v>
      </c>
      <c r="BE138" s="4" t="s">
        <v>274</v>
      </c>
      <c r="BF138" s="4" t="s">
        <v>441</v>
      </c>
      <c r="BG138" s="4" t="s">
        <v>723</v>
      </c>
      <c r="BJ138" s="4" t="s">
        <v>272</v>
      </c>
      <c r="BK138" s="4" t="s">
        <v>441</v>
      </c>
      <c r="BL138" s="4" t="s">
        <v>774</v>
      </c>
      <c r="CD138" s="4" t="s">
        <v>272</v>
      </c>
      <c r="CE138" s="4" t="s">
        <v>346</v>
      </c>
      <c r="CF138" s="4" t="s">
        <v>1026</v>
      </c>
      <c r="DC138" s="4" t="s">
        <v>280</v>
      </c>
      <c r="DD138" s="4" t="s">
        <v>441</v>
      </c>
      <c r="DE138" s="4" t="s">
        <v>1327</v>
      </c>
      <c r="DH138" s="4" t="s">
        <v>282</v>
      </c>
      <c r="DI138" s="4" t="s">
        <v>441</v>
      </c>
      <c r="DJ138" s="4" t="s">
        <v>726</v>
      </c>
      <c r="DM138" s="4" t="s">
        <v>336</v>
      </c>
      <c r="DN138" s="4" t="s">
        <v>450</v>
      </c>
      <c r="DO138" s="4" t="s">
        <v>632</v>
      </c>
    </row>
    <row r="139" spans="2:119">
      <c r="B139" s="4" t="s">
        <v>274</v>
      </c>
      <c r="C139" s="4" t="s">
        <v>32</v>
      </c>
      <c r="D139" s="4" t="s">
        <v>275</v>
      </c>
      <c r="G139" s="4" t="s">
        <v>274</v>
      </c>
      <c r="H139" s="4" t="s">
        <v>289</v>
      </c>
      <c r="I139" s="4" t="s">
        <v>275</v>
      </c>
      <c r="L139" s="4" t="s">
        <v>257</v>
      </c>
      <c r="M139" s="4" t="s">
        <v>32</v>
      </c>
      <c r="N139" s="4" t="s">
        <v>258</v>
      </c>
      <c r="Q139" s="4" t="s">
        <v>257</v>
      </c>
      <c r="R139" s="4" t="s">
        <v>289</v>
      </c>
      <c r="S139" s="4" t="s">
        <v>258</v>
      </c>
      <c r="AA139" s="4" t="s">
        <v>257</v>
      </c>
      <c r="AB139" s="4" t="s">
        <v>345</v>
      </c>
      <c r="AC139" s="4" t="s">
        <v>258</v>
      </c>
      <c r="AK139" s="4" t="s">
        <v>274</v>
      </c>
      <c r="AL139" s="4" t="s">
        <v>346</v>
      </c>
      <c r="AM139" s="4" t="s">
        <v>275</v>
      </c>
      <c r="AP139" s="4" t="s">
        <v>265</v>
      </c>
      <c r="AQ139" s="4" t="s">
        <v>441</v>
      </c>
      <c r="AR139" s="4" t="s">
        <v>719</v>
      </c>
      <c r="AZ139" s="4" t="s">
        <v>257</v>
      </c>
      <c r="BA139" s="4" t="s">
        <v>345</v>
      </c>
      <c r="BB139" s="4" t="s">
        <v>715</v>
      </c>
      <c r="BE139" s="4" t="s">
        <v>276</v>
      </c>
      <c r="BF139" s="4" t="s">
        <v>441</v>
      </c>
      <c r="BG139" s="4" t="s">
        <v>724</v>
      </c>
      <c r="BJ139" s="4" t="s">
        <v>274</v>
      </c>
      <c r="BK139" s="4" t="s">
        <v>441</v>
      </c>
      <c r="BL139" s="4" t="s">
        <v>775</v>
      </c>
      <c r="CD139" s="4" t="s">
        <v>274</v>
      </c>
      <c r="CE139" s="4" t="s">
        <v>446</v>
      </c>
      <c r="CF139" s="4" t="s">
        <v>1027</v>
      </c>
      <c r="DC139" s="4" t="s">
        <v>282</v>
      </c>
      <c r="DD139" s="4" t="s">
        <v>345</v>
      </c>
      <c r="DE139" s="4" t="s">
        <v>1328</v>
      </c>
      <c r="DH139" s="4" t="s">
        <v>336</v>
      </c>
      <c r="DI139" s="4" t="s">
        <v>377</v>
      </c>
      <c r="DJ139" s="4" t="s">
        <v>849</v>
      </c>
      <c r="DM139" s="4" t="s">
        <v>337</v>
      </c>
      <c r="DN139" s="4" t="s">
        <v>360</v>
      </c>
      <c r="DO139" s="4" t="s">
        <v>632</v>
      </c>
    </row>
    <row r="140" spans="2:119">
      <c r="B140" s="4" t="s">
        <v>276</v>
      </c>
      <c r="C140" s="4" t="s">
        <v>32</v>
      </c>
      <c r="D140" s="4" t="s">
        <v>277</v>
      </c>
      <c r="G140" s="4" t="s">
        <v>276</v>
      </c>
      <c r="H140" s="4" t="s">
        <v>289</v>
      </c>
      <c r="I140" s="4" t="s">
        <v>277</v>
      </c>
      <c r="L140" s="4" t="s">
        <v>259</v>
      </c>
      <c r="M140" s="4" t="s">
        <v>32</v>
      </c>
      <c r="N140" s="4" t="s">
        <v>260</v>
      </c>
      <c r="Q140" s="4" t="s">
        <v>259</v>
      </c>
      <c r="R140" s="4" t="s">
        <v>289</v>
      </c>
      <c r="S140" s="4" t="s">
        <v>260</v>
      </c>
      <c r="AA140" s="4" t="s">
        <v>259</v>
      </c>
      <c r="AB140" s="4" t="s">
        <v>345</v>
      </c>
      <c r="AC140" s="4" t="s">
        <v>260</v>
      </c>
      <c r="AK140" s="4" t="s">
        <v>276</v>
      </c>
      <c r="AL140" s="4" t="s">
        <v>346</v>
      </c>
      <c r="AM140" s="4" t="s">
        <v>277</v>
      </c>
      <c r="AP140" s="4" t="s">
        <v>267</v>
      </c>
      <c r="AQ140" s="4" t="s">
        <v>441</v>
      </c>
      <c r="AR140" s="4" t="s">
        <v>719</v>
      </c>
      <c r="AZ140" s="4" t="s">
        <v>259</v>
      </c>
      <c r="BA140" s="4" t="s">
        <v>345</v>
      </c>
      <c r="BB140" s="4" t="s">
        <v>716</v>
      </c>
      <c r="BE140" s="4" t="s">
        <v>280</v>
      </c>
      <c r="BF140" s="4" t="s">
        <v>441</v>
      </c>
      <c r="BG140" s="4" t="s">
        <v>725</v>
      </c>
      <c r="BJ140" s="4" t="s">
        <v>276</v>
      </c>
      <c r="BK140" s="4" t="s">
        <v>441</v>
      </c>
      <c r="BL140" s="4" t="s">
        <v>776</v>
      </c>
      <c r="CD140" s="4" t="s">
        <v>276</v>
      </c>
      <c r="CE140" s="4" t="s">
        <v>446</v>
      </c>
      <c r="CF140" s="4" t="s">
        <v>458</v>
      </c>
      <c r="DH140" s="4" t="s">
        <v>337</v>
      </c>
      <c r="DI140" s="4" t="s">
        <v>346</v>
      </c>
      <c r="DJ140" s="4" t="s">
        <v>632</v>
      </c>
      <c r="DM140" s="4" t="s">
        <v>338</v>
      </c>
      <c r="DN140" s="4" t="s">
        <v>346</v>
      </c>
      <c r="DO140" s="4" t="s">
        <v>632</v>
      </c>
    </row>
    <row r="141" spans="2:119">
      <c r="B141" s="4" t="s">
        <v>278</v>
      </c>
      <c r="C141" s="4" t="s">
        <v>104</v>
      </c>
      <c r="D141" s="4" t="s">
        <v>279</v>
      </c>
      <c r="G141" s="4" t="s">
        <v>278</v>
      </c>
      <c r="H141" s="4" t="s">
        <v>298</v>
      </c>
      <c r="I141" s="4" t="s">
        <v>308</v>
      </c>
      <c r="L141" s="4" t="s">
        <v>261</v>
      </c>
      <c r="M141" s="4" t="s">
        <v>32</v>
      </c>
      <c r="N141" s="4" t="s">
        <v>262</v>
      </c>
      <c r="Q141" s="4" t="s">
        <v>261</v>
      </c>
      <c r="R141" s="4" t="s">
        <v>289</v>
      </c>
      <c r="S141" s="4" t="s">
        <v>262</v>
      </c>
      <c r="AA141" s="4" t="s">
        <v>261</v>
      </c>
      <c r="AB141" s="4" t="s">
        <v>345</v>
      </c>
      <c r="AC141" s="4" t="s">
        <v>262</v>
      </c>
      <c r="AK141" s="4" t="s">
        <v>278</v>
      </c>
      <c r="AL141" s="4" t="s">
        <v>345</v>
      </c>
      <c r="AM141" s="4" t="s">
        <v>308</v>
      </c>
      <c r="AP141" s="4" t="s">
        <v>268</v>
      </c>
      <c r="AQ141" s="4" t="s">
        <v>345</v>
      </c>
      <c r="AR141" s="4" t="s">
        <v>720</v>
      </c>
      <c r="AZ141" s="4" t="s">
        <v>261</v>
      </c>
      <c r="BA141" s="4" t="s">
        <v>345</v>
      </c>
      <c r="BB141" s="4" t="s">
        <v>769</v>
      </c>
      <c r="BE141" s="4" t="s">
        <v>282</v>
      </c>
      <c r="BF141" s="4" t="s">
        <v>441</v>
      </c>
      <c r="BG141" s="4" t="s">
        <v>726</v>
      </c>
      <c r="BJ141" s="4" t="s">
        <v>278</v>
      </c>
      <c r="BK141" s="4" t="s">
        <v>441</v>
      </c>
      <c r="BL141" s="4" t="s">
        <v>777</v>
      </c>
      <c r="CD141" s="4" t="s">
        <v>278</v>
      </c>
      <c r="CE141" s="4" t="s">
        <v>441</v>
      </c>
      <c r="CF141" s="4" t="s">
        <v>279</v>
      </c>
      <c r="DH141" s="4" t="s">
        <v>338</v>
      </c>
      <c r="DI141" s="4" t="s">
        <v>603</v>
      </c>
      <c r="DJ141" s="4" t="s">
        <v>849</v>
      </c>
    </row>
    <row r="142" spans="2:119">
      <c r="B142" s="4" t="s">
        <v>280</v>
      </c>
      <c r="C142" s="4" t="s">
        <v>32</v>
      </c>
      <c r="D142" s="4" t="s">
        <v>281</v>
      </c>
      <c r="G142" s="4" t="s">
        <v>280</v>
      </c>
      <c r="H142" s="4" t="s">
        <v>289</v>
      </c>
      <c r="I142" s="4" t="s">
        <v>281</v>
      </c>
      <c r="L142" s="4" t="s">
        <v>263</v>
      </c>
      <c r="M142" s="4" t="s">
        <v>32</v>
      </c>
      <c r="N142" s="4" t="s">
        <v>264</v>
      </c>
      <c r="Q142" s="4" t="s">
        <v>263</v>
      </c>
      <c r="R142" s="4" t="s">
        <v>289</v>
      </c>
      <c r="S142" s="4" t="s">
        <v>264</v>
      </c>
      <c r="AA142" s="4" t="s">
        <v>263</v>
      </c>
      <c r="AB142" s="4" t="s">
        <v>345</v>
      </c>
      <c r="AC142" s="4" t="s">
        <v>264</v>
      </c>
      <c r="AK142" s="4" t="s">
        <v>280</v>
      </c>
      <c r="AL142" s="4" t="s">
        <v>346</v>
      </c>
      <c r="AM142" s="4" t="s">
        <v>281</v>
      </c>
      <c r="AP142" s="4" t="s">
        <v>270</v>
      </c>
      <c r="AQ142" s="4" t="s">
        <v>441</v>
      </c>
      <c r="AR142" s="4" t="s">
        <v>721</v>
      </c>
      <c r="AZ142" s="4" t="s">
        <v>263</v>
      </c>
      <c r="BA142" s="4" t="s">
        <v>345</v>
      </c>
      <c r="BB142" s="4" t="s">
        <v>770</v>
      </c>
      <c r="BE142" s="4" t="s">
        <v>336</v>
      </c>
      <c r="BF142" s="4" t="s">
        <v>438</v>
      </c>
      <c r="BG142" s="4" t="s">
        <v>632</v>
      </c>
      <c r="BJ142" s="4" t="s">
        <v>280</v>
      </c>
      <c r="BK142" s="4" t="s">
        <v>441</v>
      </c>
      <c r="BL142" s="4" t="s">
        <v>778</v>
      </c>
      <c r="CD142" s="4" t="s">
        <v>280</v>
      </c>
      <c r="CE142" s="4" t="s">
        <v>441</v>
      </c>
      <c r="CF142" s="4" t="s">
        <v>1028</v>
      </c>
    </row>
    <row r="143" spans="2:119">
      <c r="B143" s="4" t="s">
        <v>282</v>
      </c>
      <c r="C143" s="4" t="s">
        <v>32</v>
      </c>
      <c r="D143" s="4" t="s">
        <v>283</v>
      </c>
      <c r="G143" s="4" t="s">
        <v>282</v>
      </c>
      <c r="H143" s="4" t="s">
        <v>289</v>
      </c>
      <c r="I143" s="4" t="s">
        <v>283</v>
      </c>
      <c r="L143" s="4" t="s">
        <v>265</v>
      </c>
      <c r="M143" s="4" t="s">
        <v>32</v>
      </c>
      <c r="N143" s="4" t="s">
        <v>266</v>
      </c>
      <c r="Q143" s="4" t="s">
        <v>265</v>
      </c>
      <c r="R143" s="4" t="s">
        <v>289</v>
      </c>
      <c r="S143" s="4" t="s">
        <v>266</v>
      </c>
      <c r="AA143" s="4" t="s">
        <v>265</v>
      </c>
      <c r="AB143" s="4" t="s">
        <v>345</v>
      </c>
      <c r="AC143" s="4" t="s">
        <v>457</v>
      </c>
      <c r="AK143" s="4" t="s">
        <v>282</v>
      </c>
      <c r="AL143" s="4" t="s">
        <v>346</v>
      </c>
      <c r="AM143" s="4" t="s">
        <v>283</v>
      </c>
      <c r="AP143" s="4" t="s">
        <v>272</v>
      </c>
      <c r="AQ143" s="4" t="s">
        <v>441</v>
      </c>
      <c r="AR143" s="4" t="s">
        <v>722</v>
      </c>
      <c r="AZ143" s="4" t="s">
        <v>265</v>
      </c>
      <c r="BA143" s="4" t="s">
        <v>345</v>
      </c>
      <c r="BB143" s="4" t="s">
        <v>771</v>
      </c>
      <c r="BE143" s="4" t="s">
        <v>337</v>
      </c>
      <c r="BF143" s="4" t="s">
        <v>345</v>
      </c>
      <c r="BG143" s="4" t="s">
        <v>632</v>
      </c>
      <c r="BJ143" s="4" t="s">
        <v>282</v>
      </c>
      <c r="BK143" s="4" t="s">
        <v>441</v>
      </c>
      <c r="BL143" s="4" t="s">
        <v>779</v>
      </c>
      <c r="CD143" s="4" t="s">
        <v>282</v>
      </c>
      <c r="CE143" s="4" t="s">
        <v>360</v>
      </c>
      <c r="CF143" s="4" t="s">
        <v>1029</v>
      </c>
    </row>
    <row r="144" spans="2:119">
      <c r="B144" s="4" t="s">
        <v>284</v>
      </c>
      <c r="C144" s="4" t="s">
        <v>104</v>
      </c>
      <c r="D144" s="4" t="s">
        <v>30</v>
      </c>
      <c r="G144" s="4" t="s">
        <v>284</v>
      </c>
      <c r="H144" s="4" t="s">
        <v>298</v>
      </c>
      <c r="I144" s="4" t="s">
        <v>30</v>
      </c>
      <c r="L144" s="4" t="s">
        <v>267</v>
      </c>
      <c r="M144" s="4" t="s">
        <v>32</v>
      </c>
      <c r="N144" s="4" t="s">
        <v>266</v>
      </c>
      <c r="Q144" s="4" t="s">
        <v>267</v>
      </c>
      <c r="R144" s="4" t="s">
        <v>289</v>
      </c>
      <c r="S144" s="4" t="s">
        <v>266</v>
      </c>
      <c r="AA144" s="4" t="s">
        <v>267</v>
      </c>
      <c r="AB144" s="4" t="s">
        <v>345</v>
      </c>
      <c r="AC144" s="4" t="s">
        <v>457</v>
      </c>
      <c r="AK144" s="4" t="s">
        <v>284</v>
      </c>
      <c r="AL144" s="4" t="s">
        <v>345</v>
      </c>
      <c r="AM144" s="4" t="s">
        <v>30</v>
      </c>
      <c r="AP144" s="4" t="s">
        <v>274</v>
      </c>
      <c r="AQ144" s="4" t="s">
        <v>441</v>
      </c>
      <c r="AR144" s="4" t="s">
        <v>723</v>
      </c>
      <c r="AZ144" s="4" t="s">
        <v>267</v>
      </c>
      <c r="BA144" s="4" t="s">
        <v>345</v>
      </c>
      <c r="BB144" s="4" t="s">
        <v>771</v>
      </c>
      <c r="BE144" s="4" t="s">
        <v>338</v>
      </c>
      <c r="BF144" s="4" t="s">
        <v>345</v>
      </c>
      <c r="BG144" s="4" t="s">
        <v>632</v>
      </c>
      <c r="BJ144" s="4" t="s">
        <v>284</v>
      </c>
      <c r="BK144" s="4" t="s">
        <v>441</v>
      </c>
      <c r="BL144" s="4" t="s">
        <v>732</v>
      </c>
      <c r="CD144" s="4" t="s">
        <v>336</v>
      </c>
      <c r="CE144" s="4" t="s">
        <v>346</v>
      </c>
      <c r="CF144" s="4" t="s">
        <v>1030</v>
      </c>
    </row>
    <row r="145" spans="12:84">
      <c r="L145" s="4" t="s">
        <v>268</v>
      </c>
      <c r="M145" s="4" t="s">
        <v>55</v>
      </c>
      <c r="N145" s="4" t="s">
        <v>269</v>
      </c>
      <c r="Q145" s="4" t="s">
        <v>268</v>
      </c>
      <c r="R145" s="4" t="s">
        <v>293</v>
      </c>
      <c r="S145" s="4" t="s">
        <v>307</v>
      </c>
      <c r="AA145" s="4" t="s">
        <v>268</v>
      </c>
      <c r="AB145" s="4" t="s">
        <v>346</v>
      </c>
      <c r="AC145" s="4" t="s">
        <v>307</v>
      </c>
      <c r="AK145" s="4" t="s">
        <v>631</v>
      </c>
      <c r="AL145" s="4" t="s">
        <v>441</v>
      </c>
      <c r="AM145" s="4" t="s">
        <v>30</v>
      </c>
      <c r="AP145" s="4" t="s">
        <v>276</v>
      </c>
      <c r="AQ145" s="4" t="s">
        <v>441</v>
      </c>
      <c r="AR145" s="4" t="s">
        <v>724</v>
      </c>
      <c r="AZ145" s="4" t="s">
        <v>268</v>
      </c>
      <c r="BA145" s="4" t="s">
        <v>346</v>
      </c>
      <c r="BB145" s="4" t="s">
        <v>772</v>
      </c>
      <c r="CD145" s="4" t="s">
        <v>337</v>
      </c>
      <c r="CE145" s="4" t="s">
        <v>345</v>
      </c>
      <c r="CF145" s="4" t="s">
        <v>1030</v>
      </c>
    </row>
    <row r="146" spans="12:84">
      <c r="L146" s="4" t="s">
        <v>270</v>
      </c>
      <c r="M146" s="4" t="s">
        <v>32</v>
      </c>
      <c r="N146" s="4" t="s">
        <v>271</v>
      </c>
      <c r="Q146" s="4" t="s">
        <v>270</v>
      </c>
      <c r="R146" s="4" t="s">
        <v>289</v>
      </c>
      <c r="S146" s="4" t="s">
        <v>271</v>
      </c>
      <c r="AA146" s="4" t="s">
        <v>270</v>
      </c>
      <c r="AB146" s="4" t="s">
        <v>345</v>
      </c>
      <c r="AC146" s="4" t="s">
        <v>271</v>
      </c>
      <c r="AP146" s="4" t="s">
        <v>280</v>
      </c>
      <c r="AQ146" s="4" t="s">
        <v>441</v>
      </c>
      <c r="AR146" s="4" t="s">
        <v>725</v>
      </c>
      <c r="AZ146" s="4" t="s">
        <v>270</v>
      </c>
      <c r="BA146" s="4" t="s">
        <v>345</v>
      </c>
      <c r="BB146" s="4" t="s">
        <v>773</v>
      </c>
      <c r="CD146" s="4" t="s">
        <v>338</v>
      </c>
      <c r="CE146" s="4" t="s">
        <v>346</v>
      </c>
      <c r="CF146" s="4" t="s">
        <v>1030</v>
      </c>
    </row>
    <row r="147" spans="12:84">
      <c r="L147" s="4" t="s">
        <v>272</v>
      </c>
      <c r="M147" s="4" t="s">
        <v>32</v>
      </c>
      <c r="N147" s="4" t="s">
        <v>273</v>
      </c>
      <c r="Q147" s="4" t="s">
        <v>272</v>
      </c>
      <c r="R147" s="4" t="s">
        <v>289</v>
      </c>
      <c r="S147" s="4" t="s">
        <v>273</v>
      </c>
      <c r="AA147" s="4" t="s">
        <v>272</v>
      </c>
      <c r="AB147" s="4" t="s">
        <v>345</v>
      </c>
      <c r="AC147" s="4" t="s">
        <v>273</v>
      </c>
      <c r="AP147" s="4" t="s">
        <v>282</v>
      </c>
      <c r="AQ147" s="4" t="s">
        <v>441</v>
      </c>
      <c r="AR147" s="4" t="s">
        <v>726</v>
      </c>
      <c r="AZ147" s="4" t="s">
        <v>272</v>
      </c>
      <c r="BA147" s="4" t="s">
        <v>345</v>
      </c>
      <c r="BB147" s="4" t="s">
        <v>774</v>
      </c>
      <c r="CD147" s="4" t="s">
        <v>284</v>
      </c>
      <c r="CE147" s="4" t="s">
        <v>1031</v>
      </c>
      <c r="CF147" s="4" t="s">
        <v>1032</v>
      </c>
    </row>
    <row r="148" spans="12:84">
      <c r="L148" s="4" t="s">
        <v>274</v>
      </c>
      <c r="M148" s="4" t="s">
        <v>32</v>
      </c>
      <c r="N148" s="4" t="s">
        <v>275</v>
      </c>
      <c r="Q148" s="4" t="s">
        <v>274</v>
      </c>
      <c r="R148" s="4" t="s">
        <v>289</v>
      </c>
      <c r="S148" s="4" t="s">
        <v>275</v>
      </c>
      <c r="AA148" s="4" t="s">
        <v>274</v>
      </c>
      <c r="AB148" s="4" t="s">
        <v>345</v>
      </c>
      <c r="AC148" s="4" t="s">
        <v>275</v>
      </c>
      <c r="AP148" s="4" t="s">
        <v>336</v>
      </c>
      <c r="AQ148" s="4" t="s">
        <v>104</v>
      </c>
      <c r="AR148" s="4" t="s">
        <v>632</v>
      </c>
      <c r="AZ148" s="4" t="s">
        <v>274</v>
      </c>
      <c r="BA148" s="4" t="s">
        <v>345</v>
      </c>
      <c r="BB148" s="4" t="s">
        <v>775</v>
      </c>
    </row>
    <row r="149" spans="12:84">
      <c r="L149" s="4" t="s">
        <v>276</v>
      </c>
      <c r="M149" s="4" t="s">
        <v>32</v>
      </c>
      <c r="N149" s="4" t="s">
        <v>277</v>
      </c>
      <c r="Q149" s="4" t="s">
        <v>276</v>
      </c>
      <c r="R149" s="4" t="s">
        <v>289</v>
      </c>
      <c r="S149" s="4" t="s">
        <v>277</v>
      </c>
      <c r="AA149" s="4" t="s">
        <v>276</v>
      </c>
      <c r="AB149" s="4" t="s">
        <v>345</v>
      </c>
      <c r="AC149" s="4" t="s">
        <v>458</v>
      </c>
      <c r="AP149" s="4" t="s">
        <v>337</v>
      </c>
      <c r="AQ149" s="4" t="s">
        <v>446</v>
      </c>
      <c r="AR149" s="4" t="s">
        <v>632</v>
      </c>
      <c r="AZ149" s="4" t="s">
        <v>276</v>
      </c>
      <c r="BA149" s="4" t="s">
        <v>345</v>
      </c>
      <c r="BB149" s="4" t="s">
        <v>776</v>
      </c>
    </row>
    <row r="150" spans="12:84">
      <c r="L150" s="4" t="s">
        <v>278</v>
      </c>
      <c r="M150" s="4" t="s">
        <v>104</v>
      </c>
      <c r="N150" s="4" t="s">
        <v>308</v>
      </c>
      <c r="Q150" s="4" t="s">
        <v>278</v>
      </c>
      <c r="R150" s="4" t="s">
        <v>298</v>
      </c>
      <c r="S150" s="4" t="s">
        <v>308</v>
      </c>
      <c r="AA150" s="4" t="s">
        <v>278</v>
      </c>
      <c r="AB150" s="4" t="s">
        <v>441</v>
      </c>
      <c r="AC150" s="4" t="s">
        <v>308</v>
      </c>
      <c r="AP150" s="4" t="s">
        <v>338</v>
      </c>
      <c r="AQ150" s="4" t="s">
        <v>360</v>
      </c>
      <c r="AR150" s="4" t="s">
        <v>632</v>
      </c>
      <c r="AZ150" s="4" t="s">
        <v>278</v>
      </c>
      <c r="BA150" s="4" t="s">
        <v>441</v>
      </c>
      <c r="BB150" s="4" t="s">
        <v>777</v>
      </c>
    </row>
    <row r="151" spans="12:84">
      <c r="L151" s="4" t="s">
        <v>280</v>
      </c>
      <c r="M151" s="4" t="s">
        <v>32</v>
      </c>
      <c r="N151" s="4" t="s">
        <v>281</v>
      </c>
      <c r="Q151" s="4" t="s">
        <v>280</v>
      </c>
      <c r="R151" s="4" t="s">
        <v>289</v>
      </c>
      <c r="S151" s="4" t="s">
        <v>281</v>
      </c>
      <c r="AA151" s="4" t="s">
        <v>280</v>
      </c>
      <c r="AB151" s="4" t="s">
        <v>345</v>
      </c>
      <c r="AC151" s="4" t="s">
        <v>281</v>
      </c>
      <c r="AP151" s="4" t="s">
        <v>284</v>
      </c>
      <c r="AQ151" s="4" t="s">
        <v>441</v>
      </c>
      <c r="AR151" s="4" t="s">
        <v>632</v>
      </c>
      <c r="AZ151" s="4" t="s">
        <v>280</v>
      </c>
      <c r="BA151" s="4" t="s">
        <v>345</v>
      </c>
      <c r="BB151" s="4" t="s">
        <v>778</v>
      </c>
    </row>
    <row r="152" spans="12:84">
      <c r="L152" s="4" t="s">
        <v>282</v>
      </c>
      <c r="M152" s="4" t="s">
        <v>32</v>
      </c>
      <c r="N152" s="4" t="s">
        <v>283</v>
      </c>
      <c r="Q152" s="4" t="s">
        <v>282</v>
      </c>
      <c r="R152" s="4" t="s">
        <v>289</v>
      </c>
      <c r="S152" s="4" t="s">
        <v>283</v>
      </c>
      <c r="AA152" s="4" t="s">
        <v>282</v>
      </c>
      <c r="AB152" s="4" t="s">
        <v>345</v>
      </c>
      <c r="AC152" s="4" t="s">
        <v>283</v>
      </c>
      <c r="AZ152" s="4" t="s">
        <v>282</v>
      </c>
      <c r="BA152" s="4" t="s">
        <v>345</v>
      </c>
      <c r="BB152" s="4" t="s">
        <v>779</v>
      </c>
    </row>
    <row r="153" spans="12:84">
      <c r="L153" s="4" t="s">
        <v>336</v>
      </c>
      <c r="M153" s="4" t="s">
        <v>32</v>
      </c>
      <c r="N153" s="4" t="s">
        <v>311</v>
      </c>
      <c r="Q153" s="4" t="s">
        <v>336</v>
      </c>
      <c r="R153" s="4" t="s">
        <v>289</v>
      </c>
      <c r="S153" s="4" t="s">
        <v>311</v>
      </c>
      <c r="AA153" s="4" t="s">
        <v>336</v>
      </c>
      <c r="AB153" s="4" t="s">
        <v>345</v>
      </c>
      <c r="AC153" s="4" t="s">
        <v>442</v>
      </c>
      <c r="AZ153" s="4" t="s">
        <v>336</v>
      </c>
      <c r="BA153" s="4" t="s">
        <v>345</v>
      </c>
      <c r="BB153" s="4" t="s">
        <v>632</v>
      </c>
    </row>
    <row r="154" spans="12:84">
      <c r="L154" s="4" t="s">
        <v>337</v>
      </c>
      <c r="M154" s="4" t="s">
        <v>104</v>
      </c>
      <c r="N154" s="4" t="s">
        <v>311</v>
      </c>
      <c r="Q154" s="4" t="s">
        <v>337</v>
      </c>
      <c r="R154" s="4" t="s">
        <v>298</v>
      </c>
      <c r="S154" s="4" t="s">
        <v>311</v>
      </c>
      <c r="AA154" s="4" t="s">
        <v>337</v>
      </c>
      <c r="AB154" s="4" t="s">
        <v>441</v>
      </c>
      <c r="AC154" s="4" t="s">
        <v>442</v>
      </c>
      <c r="AZ154" s="4" t="s">
        <v>337</v>
      </c>
      <c r="BA154" s="4" t="s">
        <v>441</v>
      </c>
      <c r="BB154" s="4" t="s">
        <v>632</v>
      </c>
    </row>
    <row r="155" spans="12:84">
      <c r="L155" s="4" t="s">
        <v>338</v>
      </c>
      <c r="M155" s="4" t="s">
        <v>32</v>
      </c>
      <c r="N155" s="4" t="s">
        <v>311</v>
      </c>
      <c r="Q155" s="4" t="s">
        <v>338</v>
      </c>
      <c r="R155" s="4" t="s">
        <v>289</v>
      </c>
      <c r="S155" s="4" t="s">
        <v>311</v>
      </c>
      <c r="AA155" s="4" t="s">
        <v>338</v>
      </c>
      <c r="AB155" s="4" t="s">
        <v>345</v>
      </c>
      <c r="AC155" s="4" t="s">
        <v>442</v>
      </c>
      <c r="AZ155" s="4" t="s">
        <v>338</v>
      </c>
      <c r="BA155" s="4" t="s">
        <v>345</v>
      </c>
      <c r="BB155" s="4" t="s">
        <v>632</v>
      </c>
    </row>
    <row r="156" spans="12:84">
      <c r="L156" s="4" t="s">
        <v>284</v>
      </c>
      <c r="M156" s="4" t="s">
        <v>104</v>
      </c>
      <c r="N156" s="4" t="s">
        <v>30</v>
      </c>
      <c r="Q156" s="4" t="s">
        <v>284</v>
      </c>
      <c r="R156" s="4" t="s">
        <v>298</v>
      </c>
      <c r="S156" s="4" t="s">
        <v>30</v>
      </c>
      <c r="AA156" s="4" t="s">
        <v>284</v>
      </c>
      <c r="AB156" s="4" t="s">
        <v>441</v>
      </c>
      <c r="AC156" s="4" t="s">
        <v>30</v>
      </c>
      <c r="AZ156" s="4" t="s">
        <v>284</v>
      </c>
      <c r="BA156" s="4" t="s">
        <v>441</v>
      </c>
      <c r="BB156" s="4" t="s">
        <v>732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59E0-6F3C-4BC2-9F24-FF14815D6E02}">
  <dimension ref="B1:DT156"/>
  <sheetViews>
    <sheetView topLeftCell="DD1" zoomScale="85" zoomScaleNormal="85" workbookViewId="0">
      <selection activeCell="DR35" sqref="DR1:DR1048576"/>
    </sheetView>
  </sheetViews>
  <sheetFormatPr defaultRowHeight="18.75"/>
  <cols>
    <col min="1" max="16384" width="9" style="4"/>
  </cols>
  <sheetData>
    <row r="1" spans="2:124">
      <c r="B1" s="4" t="s">
        <v>1</v>
      </c>
    </row>
    <row r="2" spans="2:124">
      <c r="B2" s="4" t="s">
        <v>8</v>
      </c>
      <c r="G2" s="4" t="s">
        <v>7</v>
      </c>
      <c r="L2" s="4" t="s">
        <v>309</v>
      </c>
      <c r="Q2" s="4" t="s">
        <v>9</v>
      </c>
      <c r="V2" s="4" t="s">
        <v>10</v>
      </c>
      <c r="AA2" s="4" t="s">
        <v>3</v>
      </c>
      <c r="AF2" s="4" t="s">
        <v>459</v>
      </c>
      <c r="AK2" s="4" t="s">
        <v>613</v>
      </c>
      <c r="AP2" s="4" t="s">
        <v>4</v>
      </c>
      <c r="AU2" s="4" t="s">
        <v>6</v>
      </c>
      <c r="AZ2" s="4" t="s">
        <v>731</v>
      </c>
      <c r="BE2" s="4" t="s">
        <v>780</v>
      </c>
      <c r="BJ2" s="4" t="s">
        <v>791</v>
      </c>
      <c r="BO2" s="4" t="s">
        <v>837</v>
      </c>
      <c r="BT2" s="4" t="s">
        <v>13</v>
      </c>
      <c r="BY2" s="4" t="s">
        <v>14</v>
      </c>
      <c r="CD2" s="4" t="s">
        <v>966</v>
      </c>
      <c r="CI2" s="4" t="s">
        <v>1034</v>
      </c>
      <c r="CN2" s="4" t="s">
        <v>1067</v>
      </c>
      <c r="CS2" s="4" t="s">
        <v>1068</v>
      </c>
      <c r="CX2" s="4" t="s">
        <v>5</v>
      </c>
      <c r="DC2" s="4" t="s">
        <v>12</v>
      </c>
      <c r="DH2" s="4" t="s">
        <v>1329</v>
      </c>
      <c r="DM2" s="4" t="s">
        <v>11</v>
      </c>
      <c r="DR2" s="4" t="s">
        <v>1396</v>
      </c>
    </row>
    <row r="4" spans="2:124">
      <c r="B4" s="4" t="s">
        <v>20</v>
      </c>
      <c r="C4" s="4" t="s">
        <v>21</v>
      </c>
      <c r="D4" s="4" t="s">
        <v>22</v>
      </c>
      <c r="G4" s="4" t="s">
        <v>20</v>
      </c>
      <c r="H4" s="4" t="s">
        <v>285</v>
      </c>
      <c r="I4" s="4" t="s">
        <v>22</v>
      </c>
      <c r="L4" s="4" t="s">
        <v>310</v>
      </c>
      <c r="M4" s="4" t="s">
        <v>104</v>
      </c>
      <c r="N4" s="4" t="s">
        <v>311</v>
      </c>
      <c r="Q4" s="4" t="s">
        <v>310</v>
      </c>
      <c r="R4" s="4" t="s">
        <v>298</v>
      </c>
      <c r="S4" s="4" t="s">
        <v>311</v>
      </c>
      <c r="V4" s="4" t="s">
        <v>310</v>
      </c>
      <c r="W4" s="4" t="s">
        <v>345</v>
      </c>
      <c r="X4" s="4" t="s">
        <v>30</v>
      </c>
      <c r="AA4" s="4" t="s">
        <v>310</v>
      </c>
      <c r="AB4" s="4" t="s">
        <v>441</v>
      </c>
      <c r="AC4" s="4" t="s">
        <v>442</v>
      </c>
      <c r="AF4" s="4" t="s">
        <v>310</v>
      </c>
      <c r="AG4" s="4" t="s">
        <v>345</v>
      </c>
      <c r="AH4" s="4" t="s">
        <v>30</v>
      </c>
      <c r="AK4" s="4" t="s">
        <v>20</v>
      </c>
      <c r="AL4" s="4" t="s">
        <v>441</v>
      </c>
      <c r="AM4" s="4" t="s">
        <v>30</v>
      </c>
      <c r="AP4" s="4" t="s">
        <v>310</v>
      </c>
      <c r="AQ4" s="4" t="s">
        <v>346</v>
      </c>
      <c r="AR4" s="4" t="s">
        <v>632</v>
      </c>
      <c r="AU4" s="4" t="s">
        <v>310</v>
      </c>
      <c r="AV4" s="4" t="s">
        <v>346</v>
      </c>
      <c r="AW4" s="4" t="s">
        <v>632</v>
      </c>
      <c r="AZ4" s="4" t="s">
        <v>310</v>
      </c>
      <c r="BA4" s="4" t="s">
        <v>441</v>
      </c>
      <c r="BB4" s="4" t="s">
        <v>632</v>
      </c>
      <c r="BE4" s="4" t="s">
        <v>310</v>
      </c>
      <c r="BF4" s="4" t="s">
        <v>345</v>
      </c>
      <c r="BG4" s="4" t="s">
        <v>632</v>
      </c>
      <c r="BJ4" s="11" t="s">
        <v>20</v>
      </c>
      <c r="BK4" s="11" t="s">
        <v>441</v>
      </c>
      <c r="BL4" s="11" t="s">
        <v>732</v>
      </c>
      <c r="BO4" s="4" t="s">
        <v>1519</v>
      </c>
      <c r="BT4" s="4" t="s">
        <v>20</v>
      </c>
      <c r="BU4" s="4" t="s">
        <v>511</v>
      </c>
      <c r="BV4" s="4" t="s">
        <v>839</v>
      </c>
      <c r="BY4" s="4" t="s">
        <v>310</v>
      </c>
      <c r="BZ4" s="4" t="s">
        <v>345</v>
      </c>
      <c r="CA4" s="4" t="s">
        <v>632</v>
      </c>
      <c r="CD4" s="4" t="s">
        <v>20</v>
      </c>
      <c r="CE4" s="4" t="s">
        <v>438</v>
      </c>
      <c r="CF4" s="4" t="s">
        <v>967</v>
      </c>
      <c r="CI4" s="4" t="s">
        <v>310</v>
      </c>
      <c r="CJ4" s="4" t="s">
        <v>346</v>
      </c>
      <c r="CK4" s="4" t="s">
        <v>632</v>
      </c>
      <c r="CN4" s="4" t="s">
        <v>310</v>
      </c>
      <c r="CO4" s="4" t="s">
        <v>346</v>
      </c>
      <c r="CP4" s="4" t="s">
        <v>632</v>
      </c>
      <c r="CS4" s="4" t="s">
        <v>310</v>
      </c>
      <c r="CT4" s="4" t="s">
        <v>289</v>
      </c>
      <c r="CU4" s="4" t="s">
        <v>632</v>
      </c>
      <c r="CX4" s="4" t="s">
        <v>20</v>
      </c>
      <c r="CY4" s="4" t="s">
        <v>1079</v>
      </c>
      <c r="CZ4" s="4" t="s">
        <v>1080</v>
      </c>
      <c r="DC4" s="4" t="s">
        <v>20</v>
      </c>
      <c r="DD4" s="4" t="s">
        <v>346</v>
      </c>
      <c r="DE4" s="4" t="s">
        <v>1280</v>
      </c>
      <c r="DH4" s="4" t="s">
        <v>310</v>
      </c>
      <c r="DI4" s="4" t="s">
        <v>346</v>
      </c>
      <c r="DJ4" s="4" t="s">
        <v>632</v>
      </c>
      <c r="DM4" s="4" t="s">
        <v>310</v>
      </c>
      <c r="DN4" s="4" t="s">
        <v>445</v>
      </c>
      <c r="DO4" s="4" t="s">
        <v>632</v>
      </c>
      <c r="DR4" s="4" t="s">
        <v>310</v>
      </c>
      <c r="DS4" s="4" t="s">
        <v>345</v>
      </c>
      <c r="DT4" s="4" t="s">
        <v>632</v>
      </c>
    </row>
    <row r="5" spans="2:124">
      <c r="B5" s="4" t="s">
        <v>23</v>
      </c>
      <c r="C5" s="4" t="s">
        <v>24</v>
      </c>
      <c r="D5" s="4" t="s">
        <v>25</v>
      </c>
      <c r="G5" s="4" t="s">
        <v>23</v>
      </c>
      <c r="H5" s="4" t="s">
        <v>286</v>
      </c>
      <c r="I5" s="4" t="s">
        <v>25</v>
      </c>
      <c r="L5" s="4" t="s">
        <v>312</v>
      </c>
      <c r="M5" s="4" t="s">
        <v>104</v>
      </c>
      <c r="N5" s="4" t="s">
        <v>311</v>
      </c>
      <c r="Q5" s="4" t="s">
        <v>312</v>
      </c>
      <c r="R5" s="4" t="s">
        <v>298</v>
      </c>
      <c r="S5" s="4" t="s">
        <v>311</v>
      </c>
      <c r="V5" s="4" t="s">
        <v>318</v>
      </c>
      <c r="W5" s="4" t="s">
        <v>346</v>
      </c>
      <c r="X5" s="4" t="s">
        <v>30</v>
      </c>
      <c r="AA5" s="4" t="s">
        <v>312</v>
      </c>
      <c r="AB5" s="4" t="s">
        <v>441</v>
      </c>
      <c r="AC5" s="4" t="s">
        <v>442</v>
      </c>
      <c r="AF5" s="4" t="s">
        <v>318</v>
      </c>
      <c r="AG5" s="4" t="s">
        <v>346</v>
      </c>
      <c r="AH5" s="4" t="s">
        <v>30</v>
      </c>
      <c r="AK5" s="4" t="s">
        <v>23</v>
      </c>
      <c r="AL5" s="4" t="s">
        <v>441</v>
      </c>
      <c r="AM5" s="4" t="s">
        <v>30</v>
      </c>
      <c r="AP5" s="4" t="s">
        <v>312</v>
      </c>
      <c r="AQ5" s="4" t="s">
        <v>441</v>
      </c>
      <c r="AR5" s="4" t="s">
        <v>632</v>
      </c>
      <c r="AU5" s="4" t="s">
        <v>318</v>
      </c>
      <c r="AV5" s="4" t="s">
        <v>441</v>
      </c>
      <c r="AW5" s="4" t="s">
        <v>632</v>
      </c>
      <c r="AZ5" s="4" t="s">
        <v>312</v>
      </c>
      <c r="BA5" s="4" t="s">
        <v>441</v>
      </c>
      <c r="BB5" s="4" t="s">
        <v>632</v>
      </c>
      <c r="BE5" s="4" t="s">
        <v>318</v>
      </c>
      <c r="BF5" s="4" t="s">
        <v>345</v>
      </c>
      <c r="BG5" s="4" t="s">
        <v>632</v>
      </c>
      <c r="BJ5" s="11" t="s">
        <v>23</v>
      </c>
      <c r="BK5" s="11" t="s">
        <v>441</v>
      </c>
      <c r="BL5" s="11" t="s">
        <v>732</v>
      </c>
      <c r="BT5" s="4" t="s">
        <v>23</v>
      </c>
      <c r="BU5" s="4" t="s">
        <v>438</v>
      </c>
      <c r="BV5" s="4" t="s">
        <v>840</v>
      </c>
      <c r="BY5" s="4" t="s">
        <v>318</v>
      </c>
      <c r="BZ5" s="4" t="s">
        <v>345</v>
      </c>
      <c r="CA5" s="4" t="s">
        <v>632</v>
      </c>
      <c r="CD5" s="4" t="s">
        <v>23</v>
      </c>
      <c r="CE5" s="4" t="s">
        <v>397</v>
      </c>
      <c r="CF5" s="4" t="s">
        <v>968</v>
      </c>
      <c r="CI5" s="4" t="s">
        <v>318</v>
      </c>
      <c r="CJ5" s="4" t="s">
        <v>434</v>
      </c>
      <c r="CK5" s="4" t="s">
        <v>632</v>
      </c>
      <c r="CN5" s="4" t="s">
        <v>318</v>
      </c>
      <c r="CO5" s="4" t="s">
        <v>434</v>
      </c>
      <c r="CP5" s="4" t="s">
        <v>632</v>
      </c>
      <c r="CS5" s="4" t="s">
        <v>318</v>
      </c>
      <c r="CT5" s="4" t="s">
        <v>513</v>
      </c>
      <c r="CU5" s="4" t="s">
        <v>632</v>
      </c>
      <c r="CX5" s="4" t="s">
        <v>23</v>
      </c>
      <c r="CY5" s="4" t="s">
        <v>1520</v>
      </c>
      <c r="CZ5" s="4" t="s">
        <v>1082</v>
      </c>
      <c r="DC5" s="4" t="s">
        <v>23</v>
      </c>
      <c r="DD5" s="4" t="s">
        <v>441</v>
      </c>
      <c r="DE5" s="4" t="s">
        <v>1281</v>
      </c>
      <c r="DH5" s="4" t="s">
        <v>318</v>
      </c>
      <c r="DI5" s="4" t="s">
        <v>345</v>
      </c>
      <c r="DJ5" s="4" t="s">
        <v>632</v>
      </c>
      <c r="DM5" s="4" t="s">
        <v>318</v>
      </c>
      <c r="DN5" s="4" t="s">
        <v>346</v>
      </c>
      <c r="DO5" s="4" t="s">
        <v>632</v>
      </c>
      <c r="DR5" s="4" t="s">
        <v>318</v>
      </c>
      <c r="DS5" s="4" t="s">
        <v>346</v>
      </c>
      <c r="DT5" s="4" t="s">
        <v>632</v>
      </c>
    </row>
    <row r="6" spans="2:124">
      <c r="B6" s="4" t="s">
        <v>26</v>
      </c>
      <c r="C6" s="4" t="s">
        <v>27</v>
      </c>
      <c r="D6" s="4" t="s">
        <v>25</v>
      </c>
      <c r="G6" s="4" t="s">
        <v>26</v>
      </c>
      <c r="H6" s="4" t="s">
        <v>287</v>
      </c>
      <c r="I6" s="4" t="s">
        <v>25</v>
      </c>
      <c r="L6" s="4" t="s">
        <v>313</v>
      </c>
      <c r="M6" s="4" t="s">
        <v>104</v>
      </c>
      <c r="N6" s="4" t="s">
        <v>311</v>
      </c>
      <c r="Q6" s="4" t="s">
        <v>313</v>
      </c>
      <c r="R6" s="4" t="s">
        <v>298</v>
      </c>
      <c r="S6" s="4" t="s">
        <v>311</v>
      </c>
      <c r="V6" s="4" t="s">
        <v>20</v>
      </c>
      <c r="W6" s="4" t="s">
        <v>347</v>
      </c>
      <c r="X6" s="4" t="s">
        <v>22</v>
      </c>
      <c r="AA6" s="4" t="s">
        <v>313</v>
      </c>
      <c r="AB6" s="4" t="s">
        <v>441</v>
      </c>
      <c r="AC6" s="4" t="s">
        <v>442</v>
      </c>
      <c r="AF6" s="4" t="s">
        <v>20</v>
      </c>
      <c r="AG6" s="4" t="s">
        <v>460</v>
      </c>
      <c r="AH6" s="4" t="s">
        <v>461</v>
      </c>
      <c r="AK6" s="4" t="s">
        <v>26</v>
      </c>
      <c r="AL6" s="4" t="s">
        <v>441</v>
      </c>
      <c r="AM6" s="4" t="s">
        <v>30</v>
      </c>
      <c r="AP6" s="4" t="s">
        <v>313</v>
      </c>
      <c r="AQ6" s="4" t="s">
        <v>441</v>
      </c>
      <c r="AR6" s="4" t="s">
        <v>632</v>
      </c>
      <c r="AU6" s="4" t="s">
        <v>20</v>
      </c>
      <c r="AV6" s="4" t="s">
        <v>377</v>
      </c>
      <c r="AW6" s="4" t="s">
        <v>727</v>
      </c>
      <c r="AZ6" s="4" t="s">
        <v>313</v>
      </c>
      <c r="BA6" s="4" t="s">
        <v>441</v>
      </c>
      <c r="BB6" s="4" t="s">
        <v>632</v>
      </c>
      <c r="BE6" s="4" t="s">
        <v>20</v>
      </c>
      <c r="BF6" s="4" t="s">
        <v>438</v>
      </c>
      <c r="BG6" s="4" t="s">
        <v>781</v>
      </c>
      <c r="BJ6" s="11" t="s">
        <v>26</v>
      </c>
      <c r="BK6" s="11" t="s">
        <v>441</v>
      </c>
      <c r="BL6" s="11" t="s">
        <v>732</v>
      </c>
      <c r="BT6" s="4" t="s">
        <v>26</v>
      </c>
      <c r="BU6" s="4" t="s">
        <v>555</v>
      </c>
      <c r="BV6" s="4" t="s">
        <v>841</v>
      </c>
      <c r="BY6" s="4" t="s">
        <v>20</v>
      </c>
      <c r="BZ6" s="4" t="s">
        <v>104</v>
      </c>
      <c r="CA6" s="4" t="s">
        <v>962</v>
      </c>
      <c r="CD6" s="4" t="s">
        <v>26</v>
      </c>
      <c r="CE6" s="4" t="s">
        <v>969</v>
      </c>
      <c r="CF6" s="4" t="s">
        <v>970</v>
      </c>
      <c r="CI6" s="4" t="s">
        <v>20</v>
      </c>
      <c r="CJ6" s="4" t="s">
        <v>563</v>
      </c>
      <c r="CK6" s="4" t="s">
        <v>1035</v>
      </c>
      <c r="CN6" s="4" t="s">
        <v>20</v>
      </c>
      <c r="CO6" s="4" t="s">
        <v>563</v>
      </c>
      <c r="CP6" s="4" t="s">
        <v>1035</v>
      </c>
      <c r="CS6" s="4" t="s">
        <v>20</v>
      </c>
      <c r="CT6" s="4" t="s">
        <v>1069</v>
      </c>
      <c r="CU6" s="4" t="s">
        <v>1035</v>
      </c>
      <c r="CX6" s="4" t="s">
        <v>26</v>
      </c>
      <c r="CY6" s="4" t="s">
        <v>441</v>
      </c>
      <c r="CZ6" s="4" t="s">
        <v>1083</v>
      </c>
      <c r="DC6" s="4" t="s">
        <v>26</v>
      </c>
      <c r="DD6" s="4" t="s">
        <v>345</v>
      </c>
      <c r="DE6" s="4" t="s">
        <v>1281</v>
      </c>
      <c r="DH6" s="4" t="s">
        <v>20</v>
      </c>
      <c r="DI6" s="4" t="s">
        <v>289</v>
      </c>
      <c r="DJ6" s="4" t="s">
        <v>1330</v>
      </c>
      <c r="DM6" s="4" t="s">
        <v>20</v>
      </c>
      <c r="DN6" s="4" t="s">
        <v>555</v>
      </c>
      <c r="DO6" s="4" t="s">
        <v>1383</v>
      </c>
      <c r="DR6" s="4" t="s">
        <v>20</v>
      </c>
      <c r="DS6" s="4" t="s">
        <v>460</v>
      </c>
      <c r="DT6" s="4" t="s">
        <v>1397</v>
      </c>
    </row>
    <row r="7" spans="2:124">
      <c r="B7" s="4" t="s">
        <v>28</v>
      </c>
      <c r="C7" s="4" t="s">
        <v>29</v>
      </c>
      <c r="D7" s="4" t="s">
        <v>30</v>
      </c>
      <c r="G7" s="4" t="s">
        <v>28</v>
      </c>
      <c r="H7" s="4" t="s">
        <v>288</v>
      </c>
      <c r="I7" s="4" t="s">
        <v>30</v>
      </c>
      <c r="L7" s="4" t="s">
        <v>314</v>
      </c>
      <c r="M7" s="4" t="s">
        <v>104</v>
      </c>
      <c r="N7" s="4" t="s">
        <v>311</v>
      </c>
      <c r="Q7" s="4" t="s">
        <v>314</v>
      </c>
      <c r="R7" s="4" t="s">
        <v>298</v>
      </c>
      <c r="S7" s="4" t="s">
        <v>311</v>
      </c>
      <c r="V7" s="4" t="s">
        <v>23</v>
      </c>
      <c r="W7" s="4" t="s">
        <v>1515</v>
      </c>
      <c r="X7" s="4" t="s">
        <v>349</v>
      </c>
      <c r="AA7" s="4" t="s">
        <v>314</v>
      </c>
      <c r="AB7" s="4" t="s">
        <v>441</v>
      </c>
      <c r="AC7" s="4" t="s">
        <v>442</v>
      </c>
      <c r="AF7" s="4" t="s">
        <v>23</v>
      </c>
      <c r="AG7" s="4" t="s">
        <v>462</v>
      </c>
      <c r="AH7" s="4" t="s">
        <v>463</v>
      </c>
      <c r="AK7" s="4" t="s">
        <v>28</v>
      </c>
      <c r="AL7" s="4" t="s">
        <v>441</v>
      </c>
      <c r="AM7" s="4" t="s">
        <v>30</v>
      </c>
      <c r="AP7" s="4" t="s">
        <v>314</v>
      </c>
      <c r="AQ7" s="4" t="s">
        <v>441</v>
      </c>
      <c r="AR7" s="4" t="s">
        <v>632</v>
      </c>
      <c r="AU7" s="4" t="s">
        <v>99</v>
      </c>
      <c r="AV7" s="4" t="s">
        <v>728</v>
      </c>
      <c r="AW7" s="4" t="s">
        <v>729</v>
      </c>
      <c r="AZ7" s="4" t="s">
        <v>314</v>
      </c>
      <c r="BA7" s="4" t="s">
        <v>441</v>
      </c>
      <c r="BB7" s="4" t="s">
        <v>632</v>
      </c>
      <c r="BE7" s="4" t="s">
        <v>23</v>
      </c>
      <c r="BF7" s="4" t="s">
        <v>444</v>
      </c>
      <c r="BG7" s="4" t="s">
        <v>634</v>
      </c>
      <c r="BJ7" s="11" t="s">
        <v>28</v>
      </c>
      <c r="BK7" s="11" t="s">
        <v>441</v>
      </c>
      <c r="BL7" s="11" t="s">
        <v>792</v>
      </c>
      <c r="BT7" s="4" t="s">
        <v>28</v>
      </c>
      <c r="BU7" s="4" t="s">
        <v>842</v>
      </c>
      <c r="BV7" s="4" t="s">
        <v>843</v>
      </c>
      <c r="BY7" s="4" t="s">
        <v>23</v>
      </c>
      <c r="BZ7" s="4" t="s">
        <v>434</v>
      </c>
      <c r="CA7" s="4" t="s">
        <v>634</v>
      </c>
      <c r="CD7" s="4" t="s">
        <v>28</v>
      </c>
      <c r="CE7" s="4" t="s">
        <v>521</v>
      </c>
      <c r="CF7" s="4" t="s">
        <v>30</v>
      </c>
      <c r="CI7" s="4" t="s">
        <v>23</v>
      </c>
      <c r="CJ7" s="4" t="s">
        <v>298</v>
      </c>
      <c r="CK7" s="4" t="s">
        <v>1036</v>
      </c>
      <c r="CN7" s="4" t="s">
        <v>23</v>
      </c>
      <c r="CO7" s="4" t="s">
        <v>298</v>
      </c>
      <c r="CP7" s="4" t="s">
        <v>1036</v>
      </c>
      <c r="CS7" s="4" t="s">
        <v>23</v>
      </c>
      <c r="CT7" s="4" t="s">
        <v>361</v>
      </c>
      <c r="CU7" s="4" t="s">
        <v>1036</v>
      </c>
      <c r="CX7" s="4" t="s">
        <v>34</v>
      </c>
      <c r="CY7" s="4" t="s">
        <v>1521</v>
      </c>
      <c r="CZ7" s="4" t="s">
        <v>1085</v>
      </c>
      <c r="DC7" s="4" t="s">
        <v>28</v>
      </c>
      <c r="DD7" s="4" t="s">
        <v>441</v>
      </c>
      <c r="DE7" s="4" t="s">
        <v>1281</v>
      </c>
      <c r="DH7" s="4" t="s">
        <v>23</v>
      </c>
      <c r="DI7" s="4" t="s">
        <v>289</v>
      </c>
      <c r="DJ7" s="4" t="s">
        <v>1583</v>
      </c>
      <c r="DM7" s="4" t="s">
        <v>23</v>
      </c>
      <c r="DN7" s="4" t="s">
        <v>298</v>
      </c>
      <c r="DO7" s="4" t="s">
        <v>1583</v>
      </c>
      <c r="DR7" s="4" t="s">
        <v>23</v>
      </c>
      <c r="DS7" s="4" t="s">
        <v>462</v>
      </c>
      <c r="DT7" s="4" t="s">
        <v>1398</v>
      </c>
    </row>
    <row r="8" spans="2:124">
      <c r="B8" s="4" t="s">
        <v>31</v>
      </c>
      <c r="C8" s="4" t="s">
        <v>32</v>
      </c>
      <c r="D8" s="4" t="s">
        <v>33</v>
      </c>
      <c r="G8" s="4" t="s">
        <v>31</v>
      </c>
      <c r="H8" s="4" t="s">
        <v>289</v>
      </c>
      <c r="I8" s="4" t="s">
        <v>33</v>
      </c>
      <c r="L8" s="4" t="s">
        <v>315</v>
      </c>
      <c r="M8" s="4" t="s">
        <v>104</v>
      </c>
      <c r="N8" s="4" t="s">
        <v>311</v>
      </c>
      <c r="Q8" s="4" t="s">
        <v>315</v>
      </c>
      <c r="R8" s="4" t="s">
        <v>298</v>
      </c>
      <c r="S8" s="4" t="s">
        <v>311</v>
      </c>
      <c r="V8" s="4" t="s">
        <v>26</v>
      </c>
      <c r="W8" s="4" t="s">
        <v>350</v>
      </c>
      <c r="X8" s="4" t="s">
        <v>30</v>
      </c>
      <c r="AA8" s="4" t="s">
        <v>315</v>
      </c>
      <c r="AB8" s="4" t="s">
        <v>441</v>
      </c>
      <c r="AC8" s="4" t="s">
        <v>442</v>
      </c>
      <c r="AF8" s="4" t="s">
        <v>26</v>
      </c>
      <c r="AG8" s="4" t="s">
        <v>436</v>
      </c>
      <c r="AH8" s="4" t="s">
        <v>464</v>
      </c>
      <c r="AK8" s="4" t="s">
        <v>31</v>
      </c>
      <c r="AL8" s="4" t="s">
        <v>441</v>
      </c>
      <c r="AM8" s="4" t="s">
        <v>321</v>
      </c>
      <c r="AP8" s="4" t="s">
        <v>315</v>
      </c>
      <c r="AQ8" s="4" t="s">
        <v>441</v>
      </c>
      <c r="AR8" s="4" t="s">
        <v>632</v>
      </c>
      <c r="AU8" s="4" t="s">
        <v>336</v>
      </c>
      <c r="AV8" s="4" t="s">
        <v>730</v>
      </c>
      <c r="AW8" s="4" t="s">
        <v>632</v>
      </c>
      <c r="AZ8" s="4" t="s">
        <v>315</v>
      </c>
      <c r="BA8" s="4" t="s">
        <v>441</v>
      </c>
      <c r="BB8" s="4" t="s">
        <v>632</v>
      </c>
      <c r="BE8" s="4" t="s">
        <v>26</v>
      </c>
      <c r="BF8" s="4" t="s">
        <v>445</v>
      </c>
      <c r="BG8" s="4" t="s">
        <v>634</v>
      </c>
      <c r="BJ8" s="11" t="s">
        <v>31</v>
      </c>
      <c r="BK8" s="11" t="s">
        <v>441</v>
      </c>
      <c r="BL8" s="11" t="s">
        <v>793</v>
      </c>
      <c r="BT8" s="4" t="s">
        <v>31</v>
      </c>
      <c r="BU8" s="4" t="s">
        <v>346</v>
      </c>
      <c r="BV8" s="4" t="s">
        <v>844</v>
      </c>
      <c r="BY8" s="4" t="s">
        <v>26</v>
      </c>
      <c r="BZ8" s="4" t="s">
        <v>441</v>
      </c>
      <c r="CA8" s="4" t="s">
        <v>634</v>
      </c>
      <c r="CD8" s="4" t="s">
        <v>31</v>
      </c>
      <c r="CE8" s="4" t="s">
        <v>346</v>
      </c>
      <c r="CF8" s="4" t="s">
        <v>971</v>
      </c>
      <c r="CI8" s="4" t="s">
        <v>28</v>
      </c>
      <c r="CJ8" s="4" t="s">
        <v>441</v>
      </c>
      <c r="CK8" s="4" t="s">
        <v>1037</v>
      </c>
      <c r="CN8" s="4" t="s">
        <v>28</v>
      </c>
      <c r="CO8" s="4" t="s">
        <v>441</v>
      </c>
      <c r="CP8" s="4" t="s">
        <v>1037</v>
      </c>
      <c r="CS8" s="4" t="s">
        <v>28</v>
      </c>
      <c r="CT8" s="4" t="s">
        <v>360</v>
      </c>
      <c r="CU8" s="4" t="s">
        <v>1037</v>
      </c>
      <c r="CX8" s="4" t="s">
        <v>37</v>
      </c>
      <c r="CY8" s="4" t="s">
        <v>1522</v>
      </c>
      <c r="CZ8" s="4" t="s">
        <v>1087</v>
      </c>
      <c r="DC8" s="4" t="s">
        <v>31</v>
      </c>
      <c r="DD8" s="4" t="s">
        <v>345</v>
      </c>
      <c r="DE8" s="4" t="s">
        <v>1282</v>
      </c>
      <c r="DH8" s="4" t="s">
        <v>26</v>
      </c>
      <c r="DI8" s="4" t="s">
        <v>555</v>
      </c>
      <c r="DJ8" s="4" t="s">
        <v>849</v>
      </c>
      <c r="DM8" s="4" t="s">
        <v>26</v>
      </c>
      <c r="DN8" s="4" t="s">
        <v>450</v>
      </c>
      <c r="DO8" s="4" t="s">
        <v>632</v>
      </c>
      <c r="DR8" s="4" t="s">
        <v>26</v>
      </c>
      <c r="DS8" s="4" t="s">
        <v>436</v>
      </c>
      <c r="DT8" s="4" t="s">
        <v>1399</v>
      </c>
    </row>
    <row r="9" spans="2:124">
      <c r="B9" s="4" t="s">
        <v>34</v>
      </c>
      <c r="C9" s="4" t="s">
        <v>35</v>
      </c>
      <c r="D9" s="4" t="s">
        <v>36</v>
      </c>
      <c r="G9" s="4" t="s">
        <v>34</v>
      </c>
      <c r="H9" s="4" t="s">
        <v>290</v>
      </c>
      <c r="I9" s="4" t="s">
        <v>36</v>
      </c>
      <c r="L9" s="4" t="s">
        <v>316</v>
      </c>
      <c r="M9" s="4" t="s">
        <v>104</v>
      </c>
      <c r="N9" s="4" t="s">
        <v>311</v>
      </c>
      <c r="Q9" s="4" t="s">
        <v>316</v>
      </c>
      <c r="R9" s="4" t="s">
        <v>298</v>
      </c>
      <c r="S9" s="4" t="s">
        <v>311</v>
      </c>
      <c r="V9" s="4" t="s">
        <v>28</v>
      </c>
      <c r="W9" s="4" t="s">
        <v>351</v>
      </c>
      <c r="X9" s="4" t="s">
        <v>30</v>
      </c>
      <c r="AA9" s="4" t="s">
        <v>316</v>
      </c>
      <c r="AB9" s="4" t="s">
        <v>441</v>
      </c>
      <c r="AC9" s="4" t="s">
        <v>442</v>
      </c>
      <c r="AF9" s="4" t="s">
        <v>28</v>
      </c>
      <c r="AG9" s="4" t="s">
        <v>351</v>
      </c>
      <c r="AH9" s="4" t="s">
        <v>30</v>
      </c>
      <c r="AK9" s="4" t="s">
        <v>34</v>
      </c>
      <c r="AL9" s="4" t="s">
        <v>441</v>
      </c>
      <c r="AM9" s="4" t="s">
        <v>30</v>
      </c>
      <c r="AP9" s="4" t="s">
        <v>316</v>
      </c>
      <c r="AQ9" s="4" t="s">
        <v>441</v>
      </c>
      <c r="AR9" s="4" t="s">
        <v>632</v>
      </c>
      <c r="AU9" s="4" t="s">
        <v>337</v>
      </c>
      <c r="AV9" s="4" t="s">
        <v>450</v>
      </c>
      <c r="AW9" s="4" t="s">
        <v>632</v>
      </c>
      <c r="AZ9" s="4" t="s">
        <v>316</v>
      </c>
      <c r="BA9" s="4" t="s">
        <v>441</v>
      </c>
      <c r="BB9" s="4" t="s">
        <v>632</v>
      </c>
      <c r="BE9" s="4" t="s">
        <v>28</v>
      </c>
      <c r="BF9" s="4" t="s">
        <v>346</v>
      </c>
      <c r="BG9" s="4" t="s">
        <v>635</v>
      </c>
      <c r="BJ9" s="11" t="s">
        <v>34</v>
      </c>
      <c r="BK9" s="11" t="s">
        <v>441</v>
      </c>
      <c r="BL9" s="11" t="s">
        <v>732</v>
      </c>
      <c r="BT9" s="4" t="s">
        <v>34</v>
      </c>
      <c r="BU9" s="4" t="s">
        <v>845</v>
      </c>
      <c r="BV9" s="4" t="s">
        <v>846</v>
      </c>
      <c r="BY9" s="4" t="s">
        <v>28</v>
      </c>
      <c r="BZ9" s="4" t="s">
        <v>346</v>
      </c>
      <c r="CA9" s="4" t="s">
        <v>635</v>
      </c>
      <c r="CD9" s="4" t="s">
        <v>34</v>
      </c>
      <c r="CE9" s="4" t="s">
        <v>593</v>
      </c>
      <c r="CF9" s="4" t="s">
        <v>30</v>
      </c>
      <c r="CI9" s="4" t="s">
        <v>34</v>
      </c>
      <c r="CJ9" s="4" t="s">
        <v>1038</v>
      </c>
      <c r="CK9" s="4" t="s">
        <v>1039</v>
      </c>
      <c r="CN9" s="4" t="s">
        <v>34</v>
      </c>
      <c r="CO9" s="4" t="s">
        <v>1038</v>
      </c>
      <c r="CP9" s="4" t="s">
        <v>1039</v>
      </c>
      <c r="CS9" s="4" t="s">
        <v>34</v>
      </c>
      <c r="CT9" s="4" t="s">
        <v>1070</v>
      </c>
      <c r="CU9" s="4" t="s">
        <v>1039</v>
      </c>
      <c r="CX9" s="4" t="s">
        <v>42</v>
      </c>
      <c r="CY9" s="4" t="s">
        <v>1523</v>
      </c>
      <c r="CZ9" s="4" t="s">
        <v>1089</v>
      </c>
      <c r="DC9" s="4" t="s">
        <v>34</v>
      </c>
      <c r="DD9" s="4" t="s">
        <v>441</v>
      </c>
      <c r="DE9" s="4" t="s">
        <v>1281</v>
      </c>
      <c r="DH9" s="4" t="s">
        <v>28</v>
      </c>
      <c r="DI9" s="4" t="s">
        <v>346</v>
      </c>
      <c r="DJ9" s="4" t="s">
        <v>635</v>
      </c>
      <c r="DM9" s="4" t="s">
        <v>28</v>
      </c>
      <c r="DN9" s="4" t="s">
        <v>346</v>
      </c>
      <c r="DO9" s="4" t="s">
        <v>635</v>
      </c>
      <c r="DR9" s="4" t="s">
        <v>28</v>
      </c>
      <c r="DS9" s="4" t="s">
        <v>351</v>
      </c>
      <c r="DT9" s="4" t="s">
        <v>1400</v>
      </c>
    </row>
    <row r="10" spans="2:124">
      <c r="B10" s="4" t="s">
        <v>37</v>
      </c>
      <c r="C10" s="4" t="s">
        <v>38</v>
      </c>
      <c r="D10" s="4" t="s">
        <v>39</v>
      </c>
      <c r="G10" s="4" t="s">
        <v>37</v>
      </c>
      <c r="H10" s="4" t="s">
        <v>291</v>
      </c>
      <c r="I10" s="4" t="s">
        <v>39</v>
      </c>
      <c r="L10" s="4" t="s">
        <v>317</v>
      </c>
      <c r="M10" s="4" t="s">
        <v>104</v>
      </c>
      <c r="N10" s="4" t="s">
        <v>311</v>
      </c>
      <c r="Q10" s="4" t="s">
        <v>317</v>
      </c>
      <c r="R10" s="4" t="s">
        <v>298</v>
      </c>
      <c r="S10" s="4" t="s">
        <v>311</v>
      </c>
      <c r="V10" s="4" t="s">
        <v>34</v>
      </c>
      <c r="W10" s="4" t="s">
        <v>352</v>
      </c>
      <c r="X10" s="4" t="s">
        <v>36</v>
      </c>
      <c r="AA10" s="4" t="s">
        <v>317</v>
      </c>
      <c r="AB10" s="4" t="s">
        <v>441</v>
      </c>
      <c r="AC10" s="4" t="s">
        <v>442</v>
      </c>
      <c r="AF10" s="4" t="s">
        <v>31</v>
      </c>
      <c r="AG10" s="4" t="s">
        <v>296</v>
      </c>
      <c r="AH10" s="4" t="s">
        <v>465</v>
      </c>
      <c r="AK10" s="4" t="s">
        <v>37</v>
      </c>
      <c r="AL10" s="4" t="s">
        <v>441</v>
      </c>
      <c r="AM10" s="4" t="s">
        <v>30</v>
      </c>
      <c r="AP10" s="4" t="s">
        <v>317</v>
      </c>
      <c r="AQ10" s="4" t="s">
        <v>441</v>
      </c>
      <c r="AR10" s="4" t="s">
        <v>632</v>
      </c>
      <c r="AU10" s="4" t="s">
        <v>338</v>
      </c>
      <c r="AV10" s="4" t="s">
        <v>289</v>
      </c>
      <c r="AW10" s="4" t="s">
        <v>632</v>
      </c>
      <c r="AZ10" s="4" t="s">
        <v>317</v>
      </c>
      <c r="BA10" s="4" t="s">
        <v>441</v>
      </c>
      <c r="BB10" s="4" t="s">
        <v>632</v>
      </c>
      <c r="BE10" s="4" t="s">
        <v>31</v>
      </c>
      <c r="BF10" s="4" t="s">
        <v>441</v>
      </c>
      <c r="BG10" s="4" t="s">
        <v>636</v>
      </c>
      <c r="BJ10" s="11" t="s">
        <v>37</v>
      </c>
      <c r="BK10" s="11" t="s">
        <v>441</v>
      </c>
      <c r="BL10" s="11" t="s">
        <v>732</v>
      </c>
      <c r="BT10" s="4" t="s">
        <v>37</v>
      </c>
      <c r="BU10" s="4" t="s">
        <v>847</v>
      </c>
      <c r="BV10" s="4" t="s">
        <v>848</v>
      </c>
      <c r="BY10" s="4" t="s">
        <v>31</v>
      </c>
      <c r="BZ10" s="4" t="s">
        <v>441</v>
      </c>
      <c r="CA10" s="4" t="s">
        <v>636</v>
      </c>
      <c r="CD10" s="4" t="s">
        <v>37</v>
      </c>
      <c r="CE10" s="4" t="s">
        <v>434</v>
      </c>
      <c r="CF10" s="4" t="s">
        <v>30</v>
      </c>
      <c r="CI10" s="4" t="s">
        <v>50</v>
      </c>
      <c r="CJ10" s="4" t="s">
        <v>298</v>
      </c>
      <c r="CK10" s="4" t="s">
        <v>632</v>
      </c>
      <c r="CN10" s="4" t="s">
        <v>50</v>
      </c>
      <c r="CO10" s="4" t="s">
        <v>298</v>
      </c>
      <c r="CP10" s="4" t="s">
        <v>632</v>
      </c>
      <c r="CS10" s="4" t="s">
        <v>50</v>
      </c>
      <c r="CT10" s="4" t="s">
        <v>898</v>
      </c>
      <c r="CU10" s="4" t="s">
        <v>632</v>
      </c>
      <c r="CX10" s="4" t="s">
        <v>48</v>
      </c>
      <c r="CY10" s="4" t="s">
        <v>1524</v>
      </c>
      <c r="CZ10" s="4" t="s">
        <v>1091</v>
      </c>
      <c r="DC10" s="4" t="s">
        <v>37</v>
      </c>
      <c r="DD10" s="4" t="s">
        <v>441</v>
      </c>
      <c r="DE10" s="4" t="s">
        <v>1281</v>
      </c>
      <c r="DH10" s="4" t="s">
        <v>34</v>
      </c>
      <c r="DI10" s="4" t="s">
        <v>360</v>
      </c>
      <c r="DJ10" s="4" t="s">
        <v>1331</v>
      </c>
      <c r="DM10" s="4" t="s">
        <v>34</v>
      </c>
      <c r="DN10" s="4" t="s">
        <v>346</v>
      </c>
      <c r="DO10" s="4" t="s">
        <v>1384</v>
      </c>
      <c r="DR10" s="4" t="s">
        <v>31</v>
      </c>
      <c r="DS10" s="4" t="s">
        <v>296</v>
      </c>
      <c r="DT10" s="4" t="s">
        <v>1401</v>
      </c>
    </row>
    <row r="11" spans="2:124">
      <c r="B11" s="4" t="s">
        <v>40</v>
      </c>
      <c r="C11" s="4" t="s">
        <v>32</v>
      </c>
      <c r="D11" s="4" t="s">
        <v>30</v>
      </c>
      <c r="G11" s="4" t="s">
        <v>40</v>
      </c>
      <c r="H11" s="4" t="s">
        <v>289</v>
      </c>
      <c r="I11" s="4" t="s">
        <v>30</v>
      </c>
      <c r="L11" s="4" t="s">
        <v>318</v>
      </c>
      <c r="M11" s="4" t="s">
        <v>32</v>
      </c>
      <c r="N11" s="4" t="s">
        <v>311</v>
      </c>
      <c r="Q11" s="4" t="s">
        <v>318</v>
      </c>
      <c r="R11" s="4" t="s">
        <v>289</v>
      </c>
      <c r="S11" s="4" t="s">
        <v>311</v>
      </c>
      <c r="V11" s="4" t="s">
        <v>37</v>
      </c>
      <c r="W11" s="4" t="s">
        <v>353</v>
      </c>
      <c r="X11" s="4" t="s">
        <v>39</v>
      </c>
      <c r="AA11" s="4" t="s">
        <v>318</v>
      </c>
      <c r="AB11" s="4" t="s">
        <v>345</v>
      </c>
      <c r="AC11" s="4" t="s">
        <v>442</v>
      </c>
      <c r="AF11" s="4" t="s">
        <v>34</v>
      </c>
      <c r="AG11" s="4" t="s">
        <v>466</v>
      </c>
      <c r="AH11" s="4" t="s">
        <v>467</v>
      </c>
      <c r="AK11" s="4" t="s">
        <v>40</v>
      </c>
      <c r="AL11" s="4" t="s">
        <v>441</v>
      </c>
      <c r="AM11" s="4" t="s">
        <v>30</v>
      </c>
      <c r="AP11" s="4" t="s">
        <v>318</v>
      </c>
      <c r="AQ11" s="4" t="s">
        <v>346</v>
      </c>
      <c r="AR11" s="4" t="s">
        <v>632</v>
      </c>
      <c r="AZ11" s="4" t="s">
        <v>318</v>
      </c>
      <c r="BA11" s="4" t="s">
        <v>345</v>
      </c>
      <c r="BB11" s="4" t="s">
        <v>632</v>
      </c>
      <c r="BE11" s="4" t="s">
        <v>34</v>
      </c>
      <c r="BF11" s="4" t="s">
        <v>345</v>
      </c>
      <c r="BG11" s="4" t="s">
        <v>632</v>
      </c>
      <c r="BJ11" s="11" t="s">
        <v>40</v>
      </c>
      <c r="BK11" s="11" t="s">
        <v>441</v>
      </c>
      <c r="BL11" s="11" t="s">
        <v>732</v>
      </c>
      <c r="BT11" s="4" t="s">
        <v>40</v>
      </c>
      <c r="BU11" s="4" t="s">
        <v>441</v>
      </c>
      <c r="BV11" s="4" t="s">
        <v>849</v>
      </c>
      <c r="BY11" s="4" t="s">
        <v>34</v>
      </c>
      <c r="BZ11" s="4" t="s">
        <v>345</v>
      </c>
      <c r="CA11" s="4" t="s">
        <v>632</v>
      </c>
      <c r="CD11" s="4" t="s">
        <v>40</v>
      </c>
      <c r="CE11" s="4" t="s">
        <v>346</v>
      </c>
      <c r="CF11" s="4" t="s">
        <v>30</v>
      </c>
      <c r="CI11" s="4" t="s">
        <v>57</v>
      </c>
      <c r="CJ11" s="4" t="s">
        <v>341</v>
      </c>
      <c r="CK11" s="4" t="s">
        <v>1040</v>
      </c>
      <c r="CN11" s="4" t="s">
        <v>57</v>
      </c>
      <c r="CO11" s="4" t="s">
        <v>341</v>
      </c>
      <c r="CP11" s="4" t="s">
        <v>1040</v>
      </c>
      <c r="CS11" s="4" t="s">
        <v>57</v>
      </c>
      <c r="CT11" s="4" t="s">
        <v>1071</v>
      </c>
      <c r="CU11" s="4" t="s">
        <v>1040</v>
      </c>
      <c r="CX11" s="4" t="s">
        <v>50</v>
      </c>
      <c r="CY11" s="4" t="s">
        <v>1525</v>
      </c>
      <c r="CZ11" s="4" t="s">
        <v>1093</v>
      </c>
      <c r="DC11" s="4" t="s">
        <v>40</v>
      </c>
      <c r="DD11" s="4" t="s">
        <v>441</v>
      </c>
      <c r="DE11" s="4" t="s">
        <v>1281</v>
      </c>
      <c r="DH11" s="4" t="s">
        <v>37</v>
      </c>
      <c r="DI11" s="4" t="s">
        <v>345</v>
      </c>
      <c r="DJ11" s="4" t="s">
        <v>849</v>
      </c>
      <c r="DM11" s="4" t="s">
        <v>37</v>
      </c>
      <c r="DN11" s="4" t="s">
        <v>345</v>
      </c>
      <c r="DO11" s="4" t="s">
        <v>1385</v>
      </c>
      <c r="DR11" s="4" t="s">
        <v>34</v>
      </c>
      <c r="DS11" s="4" t="s">
        <v>466</v>
      </c>
      <c r="DT11" s="4" t="s">
        <v>1402</v>
      </c>
    </row>
    <row r="12" spans="2:124">
      <c r="B12" s="4" t="s">
        <v>41</v>
      </c>
      <c r="C12" s="4" t="s">
        <v>32</v>
      </c>
      <c r="D12" s="4" t="s">
        <v>30</v>
      </c>
      <c r="G12" s="4" t="s">
        <v>41</v>
      </c>
      <c r="H12" s="4" t="s">
        <v>289</v>
      </c>
      <c r="I12" s="4" t="s">
        <v>30</v>
      </c>
      <c r="L12" s="4" t="s">
        <v>20</v>
      </c>
      <c r="M12" s="4" t="s">
        <v>319</v>
      </c>
      <c r="N12" s="4" t="s">
        <v>320</v>
      </c>
      <c r="Q12" s="4" t="s">
        <v>20</v>
      </c>
      <c r="R12" s="4" t="s">
        <v>339</v>
      </c>
      <c r="S12" s="4" t="s">
        <v>320</v>
      </c>
      <c r="V12" s="4" t="s">
        <v>42</v>
      </c>
      <c r="W12" s="4" t="s">
        <v>354</v>
      </c>
      <c r="X12" s="4" t="s">
        <v>43</v>
      </c>
      <c r="AA12" s="4" t="s">
        <v>20</v>
      </c>
      <c r="AB12" s="4" t="s">
        <v>593</v>
      </c>
      <c r="AC12" s="4" t="s">
        <v>443</v>
      </c>
      <c r="AF12" s="4" t="s">
        <v>37</v>
      </c>
      <c r="AG12" s="4" t="s">
        <v>468</v>
      </c>
      <c r="AH12" s="4" t="s">
        <v>469</v>
      </c>
      <c r="AK12" s="4" t="s">
        <v>41</v>
      </c>
      <c r="AL12" s="4" t="s">
        <v>441</v>
      </c>
      <c r="AM12" s="4" t="s">
        <v>30</v>
      </c>
      <c r="AP12" s="4" t="s">
        <v>20</v>
      </c>
      <c r="AQ12" s="4" t="s">
        <v>396</v>
      </c>
      <c r="AR12" s="4" t="s">
        <v>633</v>
      </c>
      <c r="AZ12" s="4" t="s">
        <v>20</v>
      </c>
      <c r="BA12" s="4" t="s">
        <v>360</v>
      </c>
      <c r="BB12" s="4" t="s">
        <v>732</v>
      </c>
      <c r="BE12" s="4" t="s">
        <v>37</v>
      </c>
      <c r="BF12" s="4" t="s">
        <v>346</v>
      </c>
      <c r="BG12" s="4" t="s">
        <v>632</v>
      </c>
      <c r="BJ12" s="11" t="s">
        <v>41</v>
      </c>
      <c r="BK12" s="11" t="s">
        <v>441</v>
      </c>
      <c r="BL12" s="11" t="s">
        <v>732</v>
      </c>
      <c r="BT12" s="4" t="s">
        <v>42</v>
      </c>
      <c r="BU12" s="4" t="s">
        <v>850</v>
      </c>
      <c r="BV12" s="4" t="s">
        <v>851</v>
      </c>
      <c r="BY12" s="4" t="s">
        <v>37</v>
      </c>
      <c r="BZ12" s="4" t="s">
        <v>441</v>
      </c>
      <c r="CA12" s="4" t="s">
        <v>632</v>
      </c>
      <c r="CD12" s="4" t="s">
        <v>41</v>
      </c>
      <c r="CE12" s="4" t="s">
        <v>346</v>
      </c>
      <c r="CF12" s="4" t="s">
        <v>30</v>
      </c>
      <c r="CI12" s="4" t="s">
        <v>61</v>
      </c>
      <c r="CJ12" s="4" t="s">
        <v>360</v>
      </c>
      <c r="CK12" s="4" t="s">
        <v>1041</v>
      </c>
      <c r="CN12" s="4" t="s">
        <v>61</v>
      </c>
      <c r="CO12" s="4" t="s">
        <v>360</v>
      </c>
      <c r="CP12" s="4" t="s">
        <v>1041</v>
      </c>
      <c r="CS12" s="4" t="s">
        <v>61</v>
      </c>
      <c r="CT12" s="4" t="s">
        <v>614</v>
      </c>
      <c r="CU12" s="4" t="s">
        <v>1041</v>
      </c>
      <c r="CX12" s="4" t="s">
        <v>53</v>
      </c>
      <c r="CY12" s="4" t="s">
        <v>1526</v>
      </c>
      <c r="CZ12" s="4" t="s">
        <v>1095</v>
      </c>
      <c r="DC12" s="4" t="s">
        <v>41</v>
      </c>
      <c r="DD12" s="4" t="s">
        <v>441</v>
      </c>
      <c r="DE12" s="4" t="s">
        <v>1281</v>
      </c>
      <c r="DH12" s="4" t="s">
        <v>40</v>
      </c>
      <c r="DI12" s="4" t="s">
        <v>441</v>
      </c>
      <c r="DJ12" s="4" t="s">
        <v>849</v>
      </c>
      <c r="DM12" s="4" t="s">
        <v>42</v>
      </c>
      <c r="DN12" s="4" t="s">
        <v>441</v>
      </c>
      <c r="DO12" s="4" t="s">
        <v>632</v>
      </c>
      <c r="DR12" s="4" t="s">
        <v>37</v>
      </c>
      <c r="DS12" s="4" t="s">
        <v>468</v>
      </c>
      <c r="DT12" s="4" t="s">
        <v>1403</v>
      </c>
    </row>
    <row r="13" spans="2:124">
      <c r="B13" s="4" t="s">
        <v>42</v>
      </c>
      <c r="C13" s="4" t="s">
        <v>35</v>
      </c>
      <c r="D13" s="4" t="s">
        <v>43</v>
      </c>
      <c r="G13" s="4" t="s">
        <v>42</v>
      </c>
      <c r="H13" s="4" t="s">
        <v>290</v>
      </c>
      <c r="I13" s="4" t="s">
        <v>43</v>
      </c>
      <c r="L13" s="4" t="s">
        <v>23</v>
      </c>
      <c r="M13" s="4" t="s">
        <v>24</v>
      </c>
      <c r="N13" s="4" t="s">
        <v>25</v>
      </c>
      <c r="Q13" s="4" t="s">
        <v>23</v>
      </c>
      <c r="R13" s="4" t="s">
        <v>286</v>
      </c>
      <c r="S13" s="4" t="s">
        <v>25</v>
      </c>
      <c r="V13" s="4" t="s">
        <v>44</v>
      </c>
      <c r="W13" s="4" t="s">
        <v>355</v>
      </c>
      <c r="X13" s="4" t="s">
        <v>46</v>
      </c>
      <c r="AA13" s="4" t="s">
        <v>23</v>
      </c>
      <c r="AB13" s="4" t="s">
        <v>289</v>
      </c>
      <c r="AC13" s="4" t="s">
        <v>25</v>
      </c>
      <c r="AF13" s="4" t="s">
        <v>42</v>
      </c>
      <c r="AG13" s="4" t="s">
        <v>470</v>
      </c>
      <c r="AH13" s="4" t="s">
        <v>471</v>
      </c>
      <c r="AK13" s="4" t="s">
        <v>42</v>
      </c>
      <c r="AL13" s="4" t="s">
        <v>441</v>
      </c>
      <c r="AM13" s="4" t="s">
        <v>30</v>
      </c>
      <c r="AP13" s="4" t="s">
        <v>23</v>
      </c>
      <c r="AQ13" s="4" t="s">
        <v>450</v>
      </c>
      <c r="AR13" s="4" t="s">
        <v>634</v>
      </c>
      <c r="AZ13" s="4" t="s">
        <v>23</v>
      </c>
      <c r="BA13" s="4" t="s">
        <v>444</v>
      </c>
      <c r="BB13" s="4" t="s">
        <v>634</v>
      </c>
      <c r="BE13" s="4" t="s">
        <v>40</v>
      </c>
      <c r="BF13" s="4" t="s">
        <v>441</v>
      </c>
      <c r="BG13" s="4" t="s">
        <v>632</v>
      </c>
      <c r="BJ13" s="11" t="s">
        <v>42</v>
      </c>
      <c r="BK13" s="11" t="s">
        <v>441</v>
      </c>
      <c r="BL13" s="11" t="s">
        <v>732</v>
      </c>
      <c r="BT13" s="4" t="s">
        <v>44</v>
      </c>
      <c r="BU13" s="4" t="s">
        <v>350</v>
      </c>
      <c r="BV13" s="4" t="s">
        <v>852</v>
      </c>
      <c r="BY13" s="4" t="s">
        <v>42</v>
      </c>
      <c r="BZ13" s="4" t="s">
        <v>441</v>
      </c>
      <c r="CA13" s="4" t="s">
        <v>632</v>
      </c>
      <c r="CD13" s="4" t="s">
        <v>42</v>
      </c>
      <c r="CE13" s="4" t="s">
        <v>446</v>
      </c>
      <c r="CF13" s="4" t="s">
        <v>30</v>
      </c>
      <c r="CI13" s="4" t="s">
        <v>64</v>
      </c>
      <c r="CJ13" s="4" t="s">
        <v>360</v>
      </c>
      <c r="CK13" s="4" t="s">
        <v>632</v>
      </c>
      <c r="CN13" s="4" t="s">
        <v>64</v>
      </c>
      <c r="CO13" s="4" t="s">
        <v>360</v>
      </c>
      <c r="CP13" s="4" t="s">
        <v>632</v>
      </c>
      <c r="CS13" s="4" t="s">
        <v>64</v>
      </c>
      <c r="CT13" s="4" t="s">
        <v>377</v>
      </c>
      <c r="CU13" s="4" t="s">
        <v>632</v>
      </c>
      <c r="CX13" s="4" t="s">
        <v>54</v>
      </c>
      <c r="CY13" s="4" t="s">
        <v>1527</v>
      </c>
      <c r="CZ13" s="4" t="s">
        <v>1097</v>
      </c>
      <c r="DC13" s="4" t="s">
        <v>42</v>
      </c>
      <c r="DD13" s="4" t="s">
        <v>441</v>
      </c>
      <c r="DE13" s="4" t="s">
        <v>1281</v>
      </c>
      <c r="DH13" s="4" t="s">
        <v>42</v>
      </c>
      <c r="DI13" s="4" t="s">
        <v>345</v>
      </c>
      <c r="DJ13" s="4" t="s">
        <v>632</v>
      </c>
      <c r="DM13" s="4" t="s">
        <v>44</v>
      </c>
      <c r="DN13" s="4" t="s">
        <v>345</v>
      </c>
      <c r="DO13" s="4" t="s">
        <v>632</v>
      </c>
      <c r="DR13" s="4" t="s">
        <v>42</v>
      </c>
      <c r="DS13" s="4" t="s">
        <v>470</v>
      </c>
      <c r="DT13" s="4" t="s">
        <v>1404</v>
      </c>
    </row>
    <row r="14" spans="2:124">
      <c r="B14" s="4" t="s">
        <v>44</v>
      </c>
      <c r="C14" s="4" t="s">
        <v>45</v>
      </c>
      <c r="D14" s="4" t="s">
        <v>46</v>
      </c>
      <c r="G14" s="4" t="s">
        <v>44</v>
      </c>
      <c r="H14" s="4" t="s">
        <v>292</v>
      </c>
      <c r="I14" s="4" t="s">
        <v>46</v>
      </c>
      <c r="L14" s="4" t="s">
        <v>26</v>
      </c>
      <c r="M14" s="4" t="s">
        <v>27</v>
      </c>
      <c r="N14" s="4" t="s">
        <v>25</v>
      </c>
      <c r="Q14" s="4" t="s">
        <v>26</v>
      </c>
      <c r="R14" s="4" t="s">
        <v>287</v>
      </c>
      <c r="S14" s="4" t="s">
        <v>25</v>
      </c>
      <c r="V14" s="4" t="s">
        <v>47</v>
      </c>
      <c r="W14" s="4" t="s">
        <v>356</v>
      </c>
      <c r="X14" s="4" t="s">
        <v>30</v>
      </c>
      <c r="AA14" s="4" t="s">
        <v>26</v>
      </c>
      <c r="AB14" s="4" t="s">
        <v>515</v>
      </c>
      <c r="AC14" s="4" t="s">
        <v>25</v>
      </c>
      <c r="AF14" s="4" t="s">
        <v>44</v>
      </c>
      <c r="AG14" s="4" t="s">
        <v>472</v>
      </c>
      <c r="AH14" s="4" t="s">
        <v>473</v>
      </c>
      <c r="AK14" s="4" t="s">
        <v>44</v>
      </c>
      <c r="AL14" s="4" t="s">
        <v>441</v>
      </c>
      <c r="AM14" s="4" t="s">
        <v>30</v>
      </c>
      <c r="AP14" s="4" t="s">
        <v>26</v>
      </c>
      <c r="AQ14" s="4" t="s">
        <v>445</v>
      </c>
      <c r="AR14" s="4" t="s">
        <v>634</v>
      </c>
      <c r="AZ14" s="4" t="s">
        <v>26</v>
      </c>
      <c r="BA14" s="4" t="s">
        <v>445</v>
      </c>
      <c r="BB14" s="4" t="s">
        <v>634</v>
      </c>
      <c r="BE14" s="4" t="s">
        <v>41</v>
      </c>
      <c r="BF14" s="4" t="s">
        <v>441</v>
      </c>
      <c r="BG14" s="4" t="s">
        <v>632</v>
      </c>
      <c r="BJ14" s="11" t="s">
        <v>44</v>
      </c>
      <c r="BK14" s="11" t="s">
        <v>441</v>
      </c>
      <c r="BL14" s="11" t="s">
        <v>732</v>
      </c>
      <c r="BT14" s="4" t="s">
        <v>47</v>
      </c>
      <c r="BU14" s="4" t="s">
        <v>555</v>
      </c>
      <c r="BV14" s="4" t="s">
        <v>849</v>
      </c>
      <c r="BY14" s="4" t="s">
        <v>48</v>
      </c>
      <c r="BZ14" s="4" t="s">
        <v>345</v>
      </c>
      <c r="CA14" s="4" t="s">
        <v>632</v>
      </c>
      <c r="CD14" s="4" t="s">
        <v>44</v>
      </c>
      <c r="CE14" s="4" t="s">
        <v>360</v>
      </c>
      <c r="CF14" s="4" t="s">
        <v>30</v>
      </c>
      <c r="CI14" s="4" t="s">
        <v>68</v>
      </c>
      <c r="CJ14" s="4" t="s">
        <v>360</v>
      </c>
      <c r="CK14" s="4" t="s">
        <v>632</v>
      </c>
      <c r="CN14" s="4" t="s">
        <v>68</v>
      </c>
      <c r="CO14" s="4" t="s">
        <v>360</v>
      </c>
      <c r="CP14" s="4" t="s">
        <v>632</v>
      </c>
      <c r="CS14" s="4" t="s">
        <v>68</v>
      </c>
      <c r="CT14" s="4" t="s">
        <v>293</v>
      </c>
      <c r="CU14" s="4" t="s">
        <v>632</v>
      </c>
      <c r="CX14" s="4" t="s">
        <v>57</v>
      </c>
      <c r="CY14" s="4" t="s">
        <v>1098</v>
      </c>
      <c r="CZ14" s="4" t="s">
        <v>1099</v>
      </c>
      <c r="DC14" s="4" t="s">
        <v>44</v>
      </c>
      <c r="DD14" s="4" t="s">
        <v>441</v>
      </c>
      <c r="DE14" s="4" t="s">
        <v>1281</v>
      </c>
      <c r="DH14" s="4" t="s">
        <v>44</v>
      </c>
      <c r="DI14" s="4" t="s">
        <v>346</v>
      </c>
      <c r="DJ14" s="4" t="s">
        <v>1332</v>
      </c>
      <c r="DM14" s="4" t="s">
        <v>47</v>
      </c>
      <c r="DN14" s="4" t="s">
        <v>441</v>
      </c>
      <c r="DO14" s="4" t="s">
        <v>632</v>
      </c>
      <c r="DR14" s="4" t="s">
        <v>44</v>
      </c>
      <c r="DS14" s="4" t="s">
        <v>932</v>
      </c>
      <c r="DT14" s="4" t="s">
        <v>1405</v>
      </c>
    </row>
    <row r="15" spans="2:124">
      <c r="B15" s="4" t="s">
        <v>47</v>
      </c>
      <c r="C15" s="4" t="s">
        <v>32</v>
      </c>
      <c r="D15" s="4" t="s">
        <v>30</v>
      </c>
      <c r="G15" s="4" t="s">
        <v>47</v>
      </c>
      <c r="H15" s="4" t="s">
        <v>289</v>
      </c>
      <c r="I15" s="4" t="s">
        <v>30</v>
      </c>
      <c r="L15" s="4" t="s">
        <v>28</v>
      </c>
      <c r="M15" s="4" t="s">
        <v>29</v>
      </c>
      <c r="N15" s="4" t="s">
        <v>30</v>
      </c>
      <c r="Q15" s="4" t="s">
        <v>28</v>
      </c>
      <c r="R15" s="4" t="s">
        <v>288</v>
      </c>
      <c r="S15" s="4" t="s">
        <v>30</v>
      </c>
      <c r="V15" s="4" t="s">
        <v>48</v>
      </c>
      <c r="W15" s="4" t="s">
        <v>357</v>
      </c>
      <c r="X15" s="4" t="s">
        <v>358</v>
      </c>
      <c r="AA15" s="4" t="s">
        <v>28</v>
      </c>
      <c r="AB15" s="4" t="s">
        <v>444</v>
      </c>
      <c r="AC15" s="4" t="s">
        <v>30</v>
      </c>
      <c r="AF15" s="4" t="s">
        <v>47</v>
      </c>
      <c r="AG15" s="4" t="s">
        <v>356</v>
      </c>
      <c r="AH15" s="4" t="s">
        <v>30</v>
      </c>
      <c r="AK15" s="4" t="s">
        <v>47</v>
      </c>
      <c r="AL15" s="4" t="s">
        <v>441</v>
      </c>
      <c r="AM15" s="4" t="s">
        <v>30</v>
      </c>
      <c r="AP15" s="4" t="s">
        <v>28</v>
      </c>
      <c r="AQ15" s="4" t="s">
        <v>346</v>
      </c>
      <c r="AR15" s="4" t="s">
        <v>635</v>
      </c>
      <c r="AZ15" s="4" t="s">
        <v>28</v>
      </c>
      <c r="BA15" s="4" t="s">
        <v>360</v>
      </c>
      <c r="BB15" s="4" t="s">
        <v>635</v>
      </c>
      <c r="BE15" s="4" t="s">
        <v>42</v>
      </c>
      <c r="BF15" s="4" t="s">
        <v>346</v>
      </c>
      <c r="BG15" s="4" t="s">
        <v>632</v>
      </c>
      <c r="BJ15" s="11" t="s">
        <v>47</v>
      </c>
      <c r="BK15" s="11" t="s">
        <v>441</v>
      </c>
      <c r="BL15" s="11" t="s">
        <v>732</v>
      </c>
      <c r="BT15" s="4" t="s">
        <v>48</v>
      </c>
      <c r="BU15" s="4" t="s">
        <v>847</v>
      </c>
      <c r="BV15" s="4" t="s">
        <v>853</v>
      </c>
      <c r="BY15" s="4" t="s">
        <v>50</v>
      </c>
      <c r="BZ15" s="4" t="s">
        <v>441</v>
      </c>
      <c r="CA15" s="4" t="s">
        <v>632</v>
      </c>
      <c r="CD15" s="4" t="s">
        <v>47</v>
      </c>
      <c r="CE15" s="4" t="s">
        <v>446</v>
      </c>
      <c r="CF15" s="4" t="s">
        <v>30</v>
      </c>
      <c r="CI15" s="4" t="s">
        <v>72</v>
      </c>
      <c r="CJ15" s="4" t="s">
        <v>446</v>
      </c>
      <c r="CK15" s="4" t="s">
        <v>1042</v>
      </c>
      <c r="CN15" s="4" t="s">
        <v>72</v>
      </c>
      <c r="CO15" s="4" t="s">
        <v>446</v>
      </c>
      <c r="CP15" s="4" t="s">
        <v>1042</v>
      </c>
      <c r="CS15" s="4" t="s">
        <v>72</v>
      </c>
      <c r="CT15" s="4" t="s">
        <v>293</v>
      </c>
      <c r="CU15" s="4" t="s">
        <v>1042</v>
      </c>
      <c r="CX15" s="4" t="s">
        <v>59</v>
      </c>
      <c r="CY15" s="4" t="s">
        <v>1528</v>
      </c>
      <c r="CZ15" s="4" t="s">
        <v>1101</v>
      </c>
      <c r="DC15" s="4" t="s">
        <v>47</v>
      </c>
      <c r="DD15" s="4" t="s">
        <v>441</v>
      </c>
      <c r="DE15" s="4" t="s">
        <v>1281</v>
      </c>
      <c r="DH15" s="4" t="s">
        <v>47</v>
      </c>
      <c r="DI15" s="4" t="s">
        <v>345</v>
      </c>
      <c r="DJ15" s="4" t="s">
        <v>849</v>
      </c>
      <c r="DM15" s="4" t="s">
        <v>48</v>
      </c>
      <c r="DN15" s="4" t="s">
        <v>345</v>
      </c>
      <c r="DO15" s="4" t="s">
        <v>632</v>
      </c>
      <c r="DR15" s="4" t="s">
        <v>47</v>
      </c>
      <c r="DS15" s="4" t="s">
        <v>356</v>
      </c>
      <c r="DT15" s="4" t="s">
        <v>632</v>
      </c>
    </row>
    <row r="16" spans="2:124">
      <c r="B16" s="4" t="s">
        <v>48</v>
      </c>
      <c r="C16" s="4" t="s">
        <v>45</v>
      </c>
      <c r="D16" s="4" t="s">
        <v>49</v>
      </c>
      <c r="G16" s="4" t="s">
        <v>48</v>
      </c>
      <c r="H16" s="4" t="s">
        <v>292</v>
      </c>
      <c r="I16" s="4" t="s">
        <v>49</v>
      </c>
      <c r="L16" s="4" t="s">
        <v>31</v>
      </c>
      <c r="M16" s="4" t="s">
        <v>32</v>
      </c>
      <c r="N16" s="4" t="s">
        <v>321</v>
      </c>
      <c r="Q16" s="4" t="s">
        <v>31</v>
      </c>
      <c r="R16" s="4" t="s">
        <v>289</v>
      </c>
      <c r="S16" s="4" t="s">
        <v>33</v>
      </c>
      <c r="V16" s="4" t="s">
        <v>50</v>
      </c>
      <c r="W16" s="4" t="s">
        <v>359</v>
      </c>
      <c r="X16" s="4" t="s">
        <v>51</v>
      </c>
      <c r="AA16" s="4" t="s">
        <v>31</v>
      </c>
      <c r="AB16" s="4" t="s">
        <v>345</v>
      </c>
      <c r="AC16" s="4" t="s">
        <v>33</v>
      </c>
      <c r="AF16" s="4" t="s">
        <v>48</v>
      </c>
      <c r="AG16" s="4" t="s">
        <v>474</v>
      </c>
      <c r="AH16" s="4" t="s">
        <v>475</v>
      </c>
      <c r="AK16" s="4" t="s">
        <v>48</v>
      </c>
      <c r="AL16" s="4" t="s">
        <v>441</v>
      </c>
      <c r="AM16" s="4" t="s">
        <v>30</v>
      </c>
      <c r="AP16" s="4" t="s">
        <v>31</v>
      </c>
      <c r="AQ16" s="4" t="s">
        <v>441</v>
      </c>
      <c r="AR16" s="4" t="s">
        <v>636</v>
      </c>
      <c r="AZ16" s="4" t="s">
        <v>31</v>
      </c>
      <c r="BA16" s="4" t="s">
        <v>345</v>
      </c>
      <c r="BB16" s="4" t="s">
        <v>636</v>
      </c>
      <c r="BE16" s="4" t="s">
        <v>44</v>
      </c>
      <c r="BF16" s="4" t="s">
        <v>345</v>
      </c>
      <c r="BG16" s="4" t="s">
        <v>632</v>
      </c>
      <c r="BJ16" s="11" t="s">
        <v>48</v>
      </c>
      <c r="BK16" s="11" t="s">
        <v>441</v>
      </c>
      <c r="BL16" s="11" t="s">
        <v>732</v>
      </c>
      <c r="BT16" s="4" t="s">
        <v>50</v>
      </c>
      <c r="BU16" s="4" t="s">
        <v>610</v>
      </c>
      <c r="BV16" s="4" t="s">
        <v>854</v>
      </c>
      <c r="BY16" s="4" t="s">
        <v>52</v>
      </c>
      <c r="BZ16" s="4" t="s">
        <v>441</v>
      </c>
      <c r="CA16" s="4" t="s">
        <v>632</v>
      </c>
      <c r="CD16" s="4" t="s">
        <v>48</v>
      </c>
      <c r="CE16" s="4" t="s">
        <v>298</v>
      </c>
      <c r="CF16" s="4" t="s">
        <v>30</v>
      </c>
      <c r="CI16" s="4" t="s">
        <v>82</v>
      </c>
      <c r="CJ16" s="4" t="s">
        <v>345</v>
      </c>
      <c r="CK16" s="4" t="s">
        <v>632</v>
      </c>
      <c r="CN16" s="4" t="s">
        <v>82</v>
      </c>
      <c r="CO16" s="4" t="s">
        <v>345</v>
      </c>
      <c r="CP16" s="4" t="s">
        <v>632</v>
      </c>
      <c r="CS16" s="4" t="s">
        <v>82</v>
      </c>
      <c r="CT16" s="4" t="s">
        <v>450</v>
      </c>
      <c r="CU16" s="4" t="s">
        <v>632</v>
      </c>
      <c r="CX16" s="4" t="s">
        <v>61</v>
      </c>
      <c r="CY16" s="4" t="s">
        <v>1529</v>
      </c>
      <c r="CZ16" s="4" t="s">
        <v>1103</v>
      </c>
      <c r="DC16" s="4" t="s">
        <v>48</v>
      </c>
      <c r="DD16" s="4" t="s">
        <v>441</v>
      </c>
      <c r="DE16" s="4" t="s">
        <v>1281</v>
      </c>
      <c r="DH16" s="4" t="s">
        <v>48</v>
      </c>
      <c r="DI16" s="4" t="s">
        <v>346</v>
      </c>
      <c r="DJ16" s="4" t="s">
        <v>849</v>
      </c>
      <c r="DM16" s="4" t="s">
        <v>50</v>
      </c>
      <c r="DN16" s="4" t="s">
        <v>441</v>
      </c>
      <c r="DO16" s="4" t="s">
        <v>632</v>
      </c>
      <c r="DR16" s="4" t="s">
        <v>48</v>
      </c>
      <c r="DS16" s="4" t="s">
        <v>474</v>
      </c>
      <c r="DT16" s="4" t="s">
        <v>1406</v>
      </c>
    </row>
    <row r="17" spans="2:124">
      <c r="B17" s="4" t="s">
        <v>50</v>
      </c>
      <c r="C17" s="4" t="s">
        <v>29</v>
      </c>
      <c r="D17" s="4" t="s">
        <v>51</v>
      </c>
      <c r="G17" s="4" t="s">
        <v>50</v>
      </c>
      <c r="H17" s="4" t="s">
        <v>288</v>
      </c>
      <c r="I17" s="4" t="s">
        <v>51</v>
      </c>
      <c r="L17" s="4" t="s">
        <v>34</v>
      </c>
      <c r="M17" s="4" t="s">
        <v>35</v>
      </c>
      <c r="N17" s="4" t="s">
        <v>36</v>
      </c>
      <c r="Q17" s="4" t="s">
        <v>34</v>
      </c>
      <c r="R17" s="4" t="s">
        <v>290</v>
      </c>
      <c r="S17" s="4" t="s">
        <v>36</v>
      </c>
      <c r="V17" s="4" t="s">
        <v>52</v>
      </c>
      <c r="W17" s="4" t="s">
        <v>360</v>
      </c>
      <c r="X17" s="4" t="s">
        <v>30</v>
      </c>
      <c r="AA17" s="4" t="s">
        <v>34</v>
      </c>
      <c r="AB17" s="4" t="s">
        <v>434</v>
      </c>
      <c r="AC17" s="4" t="s">
        <v>30</v>
      </c>
      <c r="AF17" s="4" t="s">
        <v>50</v>
      </c>
      <c r="AG17" s="4" t="s">
        <v>476</v>
      </c>
      <c r="AH17" s="4" t="s">
        <v>477</v>
      </c>
      <c r="AK17" s="4" t="s">
        <v>50</v>
      </c>
      <c r="AL17" s="4" t="s">
        <v>441</v>
      </c>
      <c r="AM17" s="4" t="s">
        <v>30</v>
      </c>
      <c r="AP17" s="4" t="s">
        <v>34</v>
      </c>
      <c r="AQ17" s="4" t="s">
        <v>360</v>
      </c>
      <c r="AR17" s="4" t="s">
        <v>632</v>
      </c>
      <c r="AZ17" s="4" t="s">
        <v>34</v>
      </c>
      <c r="BA17" s="4" t="s">
        <v>346</v>
      </c>
      <c r="BB17" s="4" t="s">
        <v>732</v>
      </c>
      <c r="BE17" s="4" t="s">
        <v>47</v>
      </c>
      <c r="BF17" s="4" t="s">
        <v>345</v>
      </c>
      <c r="BG17" s="4" t="s">
        <v>632</v>
      </c>
      <c r="BJ17" s="11" t="s">
        <v>50</v>
      </c>
      <c r="BK17" s="11" t="s">
        <v>441</v>
      </c>
      <c r="BL17" s="11" t="s">
        <v>732</v>
      </c>
      <c r="BT17" s="4" t="s">
        <v>53</v>
      </c>
      <c r="BU17" s="4" t="s">
        <v>436</v>
      </c>
      <c r="BV17" s="4" t="s">
        <v>855</v>
      </c>
      <c r="BY17" s="4" t="s">
        <v>59</v>
      </c>
      <c r="BZ17" s="4" t="s">
        <v>441</v>
      </c>
      <c r="CA17" s="4" t="s">
        <v>632</v>
      </c>
      <c r="CD17" s="4" t="s">
        <v>50</v>
      </c>
      <c r="CE17" s="4" t="s">
        <v>298</v>
      </c>
      <c r="CF17" s="4" t="s">
        <v>972</v>
      </c>
      <c r="CI17" s="4" t="s">
        <v>109</v>
      </c>
      <c r="CJ17" s="4" t="s">
        <v>360</v>
      </c>
      <c r="CK17" s="4" t="s">
        <v>1043</v>
      </c>
      <c r="CN17" s="4" t="s">
        <v>109</v>
      </c>
      <c r="CO17" s="4" t="s">
        <v>360</v>
      </c>
      <c r="CP17" s="4" t="s">
        <v>1043</v>
      </c>
      <c r="CS17" s="4" t="s">
        <v>109</v>
      </c>
      <c r="CT17" s="4" t="s">
        <v>555</v>
      </c>
      <c r="CU17" s="4" t="s">
        <v>1043</v>
      </c>
      <c r="CX17" s="4" t="s">
        <v>64</v>
      </c>
      <c r="CY17" s="4" t="s">
        <v>1530</v>
      </c>
      <c r="CZ17" s="4" t="s">
        <v>1105</v>
      </c>
      <c r="DC17" s="4" t="s">
        <v>50</v>
      </c>
      <c r="DD17" s="4" t="s">
        <v>441</v>
      </c>
      <c r="DE17" s="4" t="s">
        <v>1281</v>
      </c>
      <c r="DH17" s="4" t="s">
        <v>50</v>
      </c>
      <c r="DI17" s="4" t="s">
        <v>360</v>
      </c>
      <c r="DJ17" s="4" t="s">
        <v>632</v>
      </c>
      <c r="DM17" s="4" t="s">
        <v>52</v>
      </c>
      <c r="DN17" s="4" t="s">
        <v>441</v>
      </c>
      <c r="DO17" s="4" t="s">
        <v>632</v>
      </c>
      <c r="DR17" s="4" t="s">
        <v>50</v>
      </c>
      <c r="DS17" s="4" t="s">
        <v>476</v>
      </c>
      <c r="DT17" s="4" t="s">
        <v>1407</v>
      </c>
    </row>
    <row r="18" spans="2:124">
      <c r="B18" s="4" t="s">
        <v>52</v>
      </c>
      <c r="C18" s="4" t="s">
        <v>32</v>
      </c>
      <c r="D18" s="4" t="s">
        <v>30</v>
      </c>
      <c r="G18" s="4" t="s">
        <v>52</v>
      </c>
      <c r="H18" s="4" t="s">
        <v>289</v>
      </c>
      <c r="I18" s="4" t="s">
        <v>30</v>
      </c>
      <c r="L18" s="4" t="s">
        <v>37</v>
      </c>
      <c r="M18" s="4" t="s">
        <v>38</v>
      </c>
      <c r="N18" s="4" t="s">
        <v>39</v>
      </c>
      <c r="Q18" s="4" t="s">
        <v>37</v>
      </c>
      <c r="R18" s="4" t="s">
        <v>291</v>
      </c>
      <c r="S18" s="4" t="s">
        <v>39</v>
      </c>
      <c r="V18" s="4" t="s">
        <v>53</v>
      </c>
      <c r="W18" s="4" t="s">
        <v>361</v>
      </c>
      <c r="X18" s="4" t="s">
        <v>30</v>
      </c>
      <c r="AA18" s="4" t="s">
        <v>37</v>
      </c>
      <c r="AB18" s="4" t="s">
        <v>434</v>
      </c>
      <c r="AC18" s="4" t="s">
        <v>30</v>
      </c>
      <c r="AF18" s="4" t="s">
        <v>52</v>
      </c>
      <c r="AG18" s="4" t="s">
        <v>360</v>
      </c>
      <c r="AH18" s="4" t="s">
        <v>30</v>
      </c>
      <c r="AK18" s="4" t="s">
        <v>52</v>
      </c>
      <c r="AL18" s="4" t="s">
        <v>441</v>
      </c>
      <c r="AM18" s="4" t="s">
        <v>30</v>
      </c>
      <c r="AP18" s="4" t="s">
        <v>37</v>
      </c>
      <c r="AQ18" s="4" t="s">
        <v>346</v>
      </c>
      <c r="AR18" s="4" t="s">
        <v>632</v>
      </c>
      <c r="AZ18" s="4" t="s">
        <v>37</v>
      </c>
      <c r="BA18" s="4" t="s">
        <v>346</v>
      </c>
      <c r="BB18" s="4" t="s">
        <v>732</v>
      </c>
      <c r="BE18" s="4" t="s">
        <v>48</v>
      </c>
      <c r="BF18" s="4" t="s">
        <v>346</v>
      </c>
      <c r="BG18" s="4" t="s">
        <v>632</v>
      </c>
      <c r="BJ18" s="11" t="s">
        <v>52</v>
      </c>
      <c r="BK18" s="11" t="s">
        <v>441</v>
      </c>
      <c r="BL18" s="11" t="s">
        <v>732</v>
      </c>
      <c r="BT18" s="4" t="s">
        <v>54</v>
      </c>
      <c r="BU18" s="4" t="s">
        <v>104</v>
      </c>
      <c r="BV18" s="4" t="s">
        <v>856</v>
      </c>
      <c r="BY18" s="4" t="s">
        <v>61</v>
      </c>
      <c r="BZ18" s="4" t="s">
        <v>346</v>
      </c>
      <c r="CA18" s="4" t="s">
        <v>632</v>
      </c>
      <c r="CD18" s="4" t="s">
        <v>52</v>
      </c>
      <c r="CE18" s="4" t="s">
        <v>446</v>
      </c>
      <c r="CF18" s="4" t="s">
        <v>30</v>
      </c>
      <c r="CI18" s="4" t="s">
        <v>111</v>
      </c>
      <c r="CJ18" s="4" t="s">
        <v>1044</v>
      </c>
      <c r="CK18" s="4" t="s">
        <v>1045</v>
      </c>
      <c r="CN18" s="4" t="s">
        <v>111</v>
      </c>
      <c r="CO18" s="4" t="s">
        <v>1044</v>
      </c>
      <c r="CP18" s="4" t="s">
        <v>1045</v>
      </c>
      <c r="CS18" s="4" t="s">
        <v>111</v>
      </c>
      <c r="CT18" s="4" t="s">
        <v>1072</v>
      </c>
      <c r="CU18" s="4" t="s">
        <v>1045</v>
      </c>
      <c r="CX18" s="4" t="s">
        <v>66</v>
      </c>
      <c r="CY18" s="4" t="s">
        <v>1531</v>
      </c>
      <c r="CZ18" s="4" t="s">
        <v>1107</v>
      </c>
      <c r="DC18" s="4" t="s">
        <v>52</v>
      </c>
      <c r="DD18" s="4" t="s">
        <v>441</v>
      </c>
      <c r="DE18" s="4" t="s">
        <v>1281</v>
      </c>
      <c r="DH18" s="4" t="s">
        <v>52</v>
      </c>
      <c r="DI18" s="4" t="s">
        <v>441</v>
      </c>
      <c r="DJ18" s="4" t="s">
        <v>632</v>
      </c>
      <c r="DM18" s="4" t="s">
        <v>53</v>
      </c>
      <c r="DN18" s="4" t="s">
        <v>441</v>
      </c>
      <c r="DO18" s="4" t="s">
        <v>632</v>
      </c>
      <c r="DR18" s="4" t="s">
        <v>52</v>
      </c>
      <c r="DS18" s="4" t="s">
        <v>360</v>
      </c>
      <c r="DT18" s="4" t="s">
        <v>632</v>
      </c>
    </row>
    <row r="19" spans="2:124">
      <c r="B19" s="4" t="s">
        <v>53</v>
      </c>
      <c r="C19" s="4" t="s">
        <v>32</v>
      </c>
      <c r="D19" s="4" t="s">
        <v>30</v>
      </c>
      <c r="G19" s="4" t="s">
        <v>53</v>
      </c>
      <c r="H19" s="4" t="s">
        <v>289</v>
      </c>
      <c r="I19" s="4" t="s">
        <v>30</v>
      </c>
      <c r="L19" s="4" t="s">
        <v>40</v>
      </c>
      <c r="M19" s="4" t="s">
        <v>32</v>
      </c>
      <c r="N19" s="4" t="s">
        <v>30</v>
      </c>
      <c r="Q19" s="4" t="s">
        <v>40</v>
      </c>
      <c r="R19" s="4" t="s">
        <v>289</v>
      </c>
      <c r="S19" s="4" t="s">
        <v>30</v>
      </c>
      <c r="V19" s="4" t="s">
        <v>54</v>
      </c>
      <c r="W19" s="4" t="s">
        <v>290</v>
      </c>
      <c r="X19" s="4" t="s">
        <v>56</v>
      </c>
      <c r="AA19" s="4" t="s">
        <v>40</v>
      </c>
      <c r="AB19" s="4" t="s">
        <v>360</v>
      </c>
      <c r="AC19" s="4" t="s">
        <v>30</v>
      </c>
      <c r="AF19" s="4" t="s">
        <v>53</v>
      </c>
      <c r="AG19" s="4" t="s">
        <v>478</v>
      </c>
      <c r="AH19" s="4" t="s">
        <v>479</v>
      </c>
      <c r="AK19" s="4" t="s">
        <v>53</v>
      </c>
      <c r="AL19" s="4" t="s">
        <v>441</v>
      </c>
      <c r="AM19" s="4" t="s">
        <v>30</v>
      </c>
      <c r="AP19" s="4" t="s">
        <v>40</v>
      </c>
      <c r="AQ19" s="4" t="s">
        <v>441</v>
      </c>
      <c r="AR19" s="4" t="s">
        <v>632</v>
      </c>
      <c r="AZ19" s="4" t="s">
        <v>40</v>
      </c>
      <c r="BA19" s="4" t="s">
        <v>345</v>
      </c>
      <c r="BB19" s="4" t="s">
        <v>732</v>
      </c>
      <c r="BE19" s="4" t="s">
        <v>50</v>
      </c>
      <c r="BF19" s="4" t="s">
        <v>345</v>
      </c>
      <c r="BG19" s="4" t="s">
        <v>632</v>
      </c>
      <c r="BJ19" s="11" t="s">
        <v>53</v>
      </c>
      <c r="BK19" s="11" t="s">
        <v>441</v>
      </c>
      <c r="BL19" s="11" t="s">
        <v>732</v>
      </c>
      <c r="BT19" s="4" t="s">
        <v>57</v>
      </c>
      <c r="BU19" s="4" t="s">
        <v>450</v>
      </c>
      <c r="BV19" s="4" t="s">
        <v>857</v>
      </c>
      <c r="BY19" s="4" t="s">
        <v>64</v>
      </c>
      <c r="BZ19" s="4" t="s">
        <v>441</v>
      </c>
      <c r="CA19" s="4" t="s">
        <v>632</v>
      </c>
      <c r="CD19" s="4" t="s">
        <v>53</v>
      </c>
      <c r="CE19" s="4" t="s">
        <v>434</v>
      </c>
      <c r="CF19" s="4" t="s">
        <v>30</v>
      </c>
      <c r="CI19" s="4" t="s">
        <v>118</v>
      </c>
      <c r="CJ19" s="4" t="s">
        <v>345</v>
      </c>
      <c r="CK19" s="4" t="s">
        <v>1046</v>
      </c>
      <c r="CN19" s="4" t="s">
        <v>118</v>
      </c>
      <c r="CO19" s="4" t="s">
        <v>345</v>
      </c>
      <c r="CP19" s="4" t="s">
        <v>1046</v>
      </c>
      <c r="CS19" s="4" t="s">
        <v>118</v>
      </c>
      <c r="CT19" s="4" t="s">
        <v>444</v>
      </c>
      <c r="CU19" s="4" t="s">
        <v>1046</v>
      </c>
      <c r="CX19" s="4" t="s">
        <v>68</v>
      </c>
      <c r="CY19" s="4" t="s">
        <v>1532</v>
      </c>
      <c r="CZ19" s="4" t="s">
        <v>1109</v>
      </c>
      <c r="DC19" s="4" t="s">
        <v>53</v>
      </c>
      <c r="DD19" s="4" t="s">
        <v>441</v>
      </c>
      <c r="DE19" s="4" t="s">
        <v>1281</v>
      </c>
      <c r="DH19" s="4" t="s">
        <v>53</v>
      </c>
      <c r="DI19" s="4" t="s">
        <v>346</v>
      </c>
      <c r="DJ19" s="4" t="s">
        <v>849</v>
      </c>
      <c r="DM19" s="4" t="s">
        <v>54</v>
      </c>
      <c r="DN19" s="4" t="s">
        <v>441</v>
      </c>
      <c r="DO19" s="4" t="s">
        <v>632</v>
      </c>
      <c r="DR19" s="4" t="s">
        <v>53</v>
      </c>
      <c r="DS19" s="4" t="s">
        <v>478</v>
      </c>
      <c r="DT19" s="4" t="s">
        <v>1408</v>
      </c>
    </row>
    <row r="20" spans="2:124">
      <c r="B20" s="4" t="s">
        <v>54</v>
      </c>
      <c r="C20" s="4" t="s">
        <v>55</v>
      </c>
      <c r="D20" s="4" t="s">
        <v>56</v>
      </c>
      <c r="G20" s="4" t="s">
        <v>54</v>
      </c>
      <c r="H20" s="4" t="s">
        <v>293</v>
      </c>
      <c r="I20" s="4" t="s">
        <v>56</v>
      </c>
      <c r="L20" s="4" t="s">
        <v>41</v>
      </c>
      <c r="M20" s="4" t="s">
        <v>32</v>
      </c>
      <c r="N20" s="4" t="s">
        <v>30</v>
      </c>
      <c r="Q20" s="4" t="s">
        <v>41</v>
      </c>
      <c r="R20" s="4" t="s">
        <v>289</v>
      </c>
      <c r="S20" s="4" t="s">
        <v>30</v>
      </c>
      <c r="V20" s="4" t="s">
        <v>57</v>
      </c>
      <c r="W20" s="4" t="s">
        <v>362</v>
      </c>
      <c r="X20" s="4" t="s">
        <v>58</v>
      </c>
      <c r="AA20" s="4" t="s">
        <v>41</v>
      </c>
      <c r="AB20" s="4" t="s">
        <v>360</v>
      </c>
      <c r="AC20" s="4" t="s">
        <v>30</v>
      </c>
      <c r="AF20" s="4" t="s">
        <v>54</v>
      </c>
      <c r="AG20" s="4" t="s">
        <v>32</v>
      </c>
      <c r="AH20" s="4" t="s">
        <v>480</v>
      </c>
      <c r="AK20" s="4" t="s">
        <v>54</v>
      </c>
      <c r="AL20" s="4" t="s">
        <v>441</v>
      </c>
      <c r="AM20" s="4" t="s">
        <v>30</v>
      </c>
      <c r="AP20" s="4" t="s">
        <v>41</v>
      </c>
      <c r="AQ20" s="4" t="s">
        <v>441</v>
      </c>
      <c r="AR20" s="4" t="s">
        <v>632</v>
      </c>
      <c r="AZ20" s="4" t="s">
        <v>41</v>
      </c>
      <c r="BA20" s="4" t="s">
        <v>345</v>
      </c>
      <c r="BB20" s="4" t="s">
        <v>732</v>
      </c>
      <c r="BE20" s="4" t="s">
        <v>52</v>
      </c>
      <c r="BF20" s="4" t="s">
        <v>345</v>
      </c>
      <c r="BG20" s="4" t="s">
        <v>632</v>
      </c>
      <c r="BJ20" s="11" t="s">
        <v>54</v>
      </c>
      <c r="BK20" s="11" t="s">
        <v>441</v>
      </c>
      <c r="BL20" s="11" t="s">
        <v>732</v>
      </c>
      <c r="BT20" s="4" t="s">
        <v>59</v>
      </c>
      <c r="BU20" s="4" t="s">
        <v>397</v>
      </c>
      <c r="BV20" s="4" t="s">
        <v>858</v>
      </c>
      <c r="BY20" s="4" t="s">
        <v>66</v>
      </c>
      <c r="BZ20" s="4" t="s">
        <v>441</v>
      </c>
      <c r="CA20" s="4" t="s">
        <v>632</v>
      </c>
      <c r="CD20" s="4" t="s">
        <v>54</v>
      </c>
      <c r="CE20" s="4" t="s">
        <v>446</v>
      </c>
      <c r="CF20" s="4" t="s">
        <v>30</v>
      </c>
      <c r="CI20" s="4" t="s">
        <v>138</v>
      </c>
      <c r="CJ20" s="4" t="s">
        <v>441</v>
      </c>
      <c r="CK20" s="4" t="s">
        <v>1047</v>
      </c>
      <c r="CN20" s="4" t="s">
        <v>138</v>
      </c>
      <c r="CO20" s="4" t="s">
        <v>441</v>
      </c>
      <c r="CP20" s="4" t="s">
        <v>1047</v>
      </c>
      <c r="CS20" s="4" t="s">
        <v>138</v>
      </c>
      <c r="CT20" s="4" t="s">
        <v>360</v>
      </c>
      <c r="CU20" s="4" t="s">
        <v>1047</v>
      </c>
      <c r="CX20" s="4" t="s">
        <v>70</v>
      </c>
      <c r="CY20" s="4" t="s">
        <v>1533</v>
      </c>
      <c r="CZ20" s="4" t="s">
        <v>1111</v>
      </c>
      <c r="DC20" s="4" t="s">
        <v>54</v>
      </c>
      <c r="DD20" s="4" t="s">
        <v>441</v>
      </c>
      <c r="DE20" s="4" t="s">
        <v>1281</v>
      </c>
      <c r="DH20" s="4" t="s">
        <v>54</v>
      </c>
      <c r="DI20" s="4" t="s">
        <v>345</v>
      </c>
      <c r="DJ20" s="4" t="s">
        <v>849</v>
      </c>
      <c r="DM20" s="4" t="s">
        <v>57</v>
      </c>
      <c r="DN20" s="4" t="s">
        <v>441</v>
      </c>
      <c r="DO20" s="4" t="s">
        <v>632</v>
      </c>
      <c r="DR20" s="4" t="s">
        <v>54</v>
      </c>
      <c r="DS20" s="4" t="s">
        <v>32</v>
      </c>
      <c r="DT20" s="4" t="s">
        <v>1409</v>
      </c>
    </row>
    <row r="21" spans="2:124">
      <c r="B21" s="4" t="s">
        <v>57</v>
      </c>
      <c r="C21" s="4" t="s">
        <v>45</v>
      </c>
      <c r="D21" s="4" t="s">
        <v>58</v>
      </c>
      <c r="G21" s="4" t="s">
        <v>57</v>
      </c>
      <c r="H21" s="4" t="s">
        <v>292</v>
      </c>
      <c r="I21" s="4" t="s">
        <v>58</v>
      </c>
      <c r="L21" s="4" t="s">
        <v>42</v>
      </c>
      <c r="M21" s="4" t="s">
        <v>35</v>
      </c>
      <c r="N21" s="4" t="s">
        <v>43</v>
      </c>
      <c r="Q21" s="4" t="s">
        <v>42</v>
      </c>
      <c r="R21" s="4" t="s">
        <v>290</v>
      </c>
      <c r="S21" s="4" t="s">
        <v>43</v>
      </c>
      <c r="V21" s="4" t="s">
        <v>59</v>
      </c>
      <c r="W21" s="4" t="s">
        <v>363</v>
      </c>
      <c r="X21" s="4" t="s">
        <v>60</v>
      </c>
      <c r="AA21" s="4" t="s">
        <v>42</v>
      </c>
      <c r="AB21" s="4" t="s">
        <v>434</v>
      </c>
      <c r="AC21" s="4" t="s">
        <v>30</v>
      </c>
      <c r="AF21" s="4" t="s">
        <v>57</v>
      </c>
      <c r="AG21" s="4" t="s">
        <v>289</v>
      </c>
      <c r="AH21" s="4" t="s">
        <v>58</v>
      </c>
      <c r="AK21" s="4" t="s">
        <v>57</v>
      </c>
      <c r="AL21" s="4" t="s">
        <v>441</v>
      </c>
      <c r="AM21" s="4" t="s">
        <v>30</v>
      </c>
      <c r="AP21" s="4" t="s">
        <v>42</v>
      </c>
      <c r="AQ21" s="4" t="s">
        <v>346</v>
      </c>
      <c r="AR21" s="4" t="s">
        <v>632</v>
      </c>
      <c r="AZ21" s="4" t="s">
        <v>42</v>
      </c>
      <c r="BA21" s="4" t="s">
        <v>346</v>
      </c>
      <c r="BB21" s="4" t="s">
        <v>732</v>
      </c>
      <c r="BE21" s="4" t="s">
        <v>53</v>
      </c>
      <c r="BF21" s="4" t="s">
        <v>345</v>
      </c>
      <c r="BG21" s="4" t="s">
        <v>632</v>
      </c>
      <c r="BJ21" s="11" t="s">
        <v>57</v>
      </c>
      <c r="BK21" s="11" t="s">
        <v>441</v>
      </c>
      <c r="BL21" s="11" t="s">
        <v>732</v>
      </c>
      <c r="BT21" s="4" t="s">
        <v>61</v>
      </c>
      <c r="BU21" s="4" t="s">
        <v>859</v>
      </c>
      <c r="BV21" s="4" t="s">
        <v>860</v>
      </c>
      <c r="BY21" s="4" t="s">
        <v>68</v>
      </c>
      <c r="BZ21" s="4" t="s">
        <v>345</v>
      </c>
      <c r="CA21" s="4" t="s">
        <v>637</v>
      </c>
      <c r="CD21" s="4" t="s">
        <v>57</v>
      </c>
      <c r="CE21" s="4" t="s">
        <v>446</v>
      </c>
      <c r="CF21" s="4" t="s">
        <v>30</v>
      </c>
      <c r="CI21" s="4" t="s">
        <v>152</v>
      </c>
      <c r="CJ21" s="4" t="s">
        <v>441</v>
      </c>
      <c r="CK21" s="4" t="s">
        <v>1048</v>
      </c>
      <c r="CN21" s="4" t="s">
        <v>152</v>
      </c>
      <c r="CO21" s="4" t="s">
        <v>441</v>
      </c>
      <c r="CP21" s="4" t="s">
        <v>1048</v>
      </c>
      <c r="CS21" s="4" t="s">
        <v>152</v>
      </c>
      <c r="CT21" s="4" t="s">
        <v>360</v>
      </c>
      <c r="CU21" s="4" t="s">
        <v>1048</v>
      </c>
      <c r="CX21" s="4" t="s">
        <v>72</v>
      </c>
      <c r="CY21" s="4" t="s">
        <v>466</v>
      </c>
      <c r="CZ21" s="4" t="s">
        <v>1112</v>
      </c>
      <c r="DC21" s="4" t="s">
        <v>57</v>
      </c>
      <c r="DD21" s="4" t="s">
        <v>441</v>
      </c>
      <c r="DE21" s="4" t="s">
        <v>1281</v>
      </c>
      <c r="DH21" s="4" t="s">
        <v>57</v>
      </c>
      <c r="DI21" s="4" t="s">
        <v>441</v>
      </c>
      <c r="DJ21" s="4" t="s">
        <v>849</v>
      </c>
      <c r="DM21" s="4" t="s">
        <v>59</v>
      </c>
      <c r="DN21" s="4" t="s">
        <v>441</v>
      </c>
      <c r="DO21" s="4" t="s">
        <v>632</v>
      </c>
      <c r="DR21" s="4" t="s">
        <v>57</v>
      </c>
      <c r="DS21" s="4" t="s">
        <v>289</v>
      </c>
      <c r="DT21" s="4" t="s">
        <v>58</v>
      </c>
    </row>
    <row r="22" spans="2:124">
      <c r="B22" s="4" t="s">
        <v>59</v>
      </c>
      <c r="C22" s="4" t="s">
        <v>45</v>
      </c>
      <c r="D22" s="4" t="s">
        <v>60</v>
      </c>
      <c r="G22" s="4" t="s">
        <v>59</v>
      </c>
      <c r="H22" s="4" t="s">
        <v>292</v>
      </c>
      <c r="I22" s="4" t="s">
        <v>60</v>
      </c>
      <c r="L22" s="4" t="s">
        <v>44</v>
      </c>
      <c r="M22" s="4" t="s">
        <v>45</v>
      </c>
      <c r="N22" s="4" t="s">
        <v>46</v>
      </c>
      <c r="Q22" s="4" t="s">
        <v>44</v>
      </c>
      <c r="R22" s="4" t="s">
        <v>292</v>
      </c>
      <c r="S22" s="4" t="s">
        <v>46</v>
      </c>
      <c r="V22" s="4" t="s">
        <v>61</v>
      </c>
      <c r="W22" s="4" t="s">
        <v>364</v>
      </c>
      <c r="X22" s="4" t="s">
        <v>63</v>
      </c>
      <c r="AA22" s="4" t="s">
        <v>44</v>
      </c>
      <c r="AB22" s="4" t="s">
        <v>360</v>
      </c>
      <c r="AC22" s="4" t="s">
        <v>30</v>
      </c>
      <c r="AF22" s="4" t="s">
        <v>59</v>
      </c>
      <c r="AG22" s="4" t="s">
        <v>481</v>
      </c>
      <c r="AH22" s="4" t="s">
        <v>482</v>
      </c>
      <c r="AK22" s="4" t="s">
        <v>59</v>
      </c>
      <c r="AL22" s="4" t="s">
        <v>441</v>
      </c>
      <c r="AM22" s="4" t="s">
        <v>30</v>
      </c>
      <c r="AP22" s="4" t="s">
        <v>44</v>
      </c>
      <c r="AQ22" s="4" t="s">
        <v>345</v>
      </c>
      <c r="AR22" s="4" t="s">
        <v>632</v>
      </c>
      <c r="AZ22" s="4" t="s">
        <v>44</v>
      </c>
      <c r="BA22" s="4" t="s">
        <v>345</v>
      </c>
      <c r="BB22" s="4" t="s">
        <v>732</v>
      </c>
      <c r="BE22" s="4" t="s">
        <v>54</v>
      </c>
      <c r="BF22" s="4" t="s">
        <v>345</v>
      </c>
      <c r="BG22" s="4" t="s">
        <v>632</v>
      </c>
      <c r="BJ22" s="11" t="s">
        <v>59</v>
      </c>
      <c r="BK22" s="11" t="s">
        <v>441</v>
      </c>
      <c r="BL22" s="11" t="s">
        <v>732</v>
      </c>
      <c r="BT22" s="4" t="s">
        <v>64</v>
      </c>
      <c r="BU22" s="4" t="s">
        <v>521</v>
      </c>
      <c r="BV22" s="4" t="s">
        <v>861</v>
      </c>
      <c r="BY22" s="4" t="s">
        <v>70</v>
      </c>
      <c r="BZ22" s="4" t="s">
        <v>441</v>
      </c>
      <c r="CA22" s="4" t="s">
        <v>632</v>
      </c>
      <c r="CD22" s="4" t="s">
        <v>59</v>
      </c>
      <c r="CE22" s="4" t="s">
        <v>298</v>
      </c>
      <c r="CF22" s="4" t="s">
        <v>972</v>
      </c>
      <c r="CI22" s="4" t="s">
        <v>160</v>
      </c>
      <c r="CJ22" s="4" t="s">
        <v>360</v>
      </c>
      <c r="CK22" s="4" t="s">
        <v>1049</v>
      </c>
      <c r="CN22" s="4" t="s">
        <v>160</v>
      </c>
      <c r="CO22" s="4" t="s">
        <v>360</v>
      </c>
      <c r="CP22" s="4" t="s">
        <v>1049</v>
      </c>
      <c r="CS22" s="4" t="s">
        <v>160</v>
      </c>
      <c r="CT22" s="4" t="s">
        <v>499</v>
      </c>
      <c r="CU22" s="4" t="s">
        <v>1049</v>
      </c>
      <c r="CX22" s="4" t="s">
        <v>73</v>
      </c>
      <c r="CY22" s="4" t="s">
        <v>1534</v>
      </c>
      <c r="CZ22" s="4" t="s">
        <v>1114</v>
      </c>
      <c r="DC22" s="4" t="s">
        <v>322</v>
      </c>
      <c r="DD22" s="4" t="s">
        <v>441</v>
      </c>
      <c r="DE22" s="4" t="s">
        <v>1281</v>
      </c>
      <c r="DH22" s="4" t="s">
        <v>59</v>
      </c>
      <c r="DI22" s="4" t="s">
        <v>360</v>
      </c>
      <c r="DJ22" s="4" t="s">
        <v>632</v>
      </c>
      <c r="DM22" s="4" t="s">
        <v>61</v>
      </c>
      <c r="DN22" s="4" t="s">
        <v>360</v>
      </c>
      <c r="DO22" s="4" t="s">
        <v>632</v>
      </c>
      <c r="DR22" s="4" t="s">
        <v>59</v>
      </c>
      <c r="DS22" s="4" t="s">
        <v>385</v>
      </c>
      <c r="DT22" s="4" t="s">
        <v>1410</v>
      </c>
    </row>
    <row r="23" spans="2:124">
      <c r="B23" s="4" t="s">
        <v>61</v>
      </c>
      <c r="C23" s="4" t="s">
        <v>62</v>
      </c>
      <c r="D23" s="4" t="s">
        <v>63</v>
      </c>
      <c r="G23" s="4" t="s">
        <v>61</v>
      </c>
      <c r="H23" s="4" t="s">
        <v>294</v>
      </c>
      <c r="I23" s="4" t="s">
        <v>63</v>
      </c>
      <c r="L23" s="4" t="s">
        <v>47</v>
      </c>
      <c r="M23" s="4" t="s">
        <v>32</v>
      </c>
      <c r="N23" s="4" t="s">
        <v>30</v>
      </c>
      <c r="Q23" s="4" t="s">
        <v>47</v>
      </c>
      <c r="R23" s="4" t="s">
        <v>289</v>
      </c>
      <c r="S23" s="4" t="s">
        <v>30</v>
      </c>
      <c r="V23" s="4" t="s">
        <v>64</v>
      </c>
      <c r="W23" s="4" t="s">
        <v>365</v>
      </c>
      <c r="X23" s="4" t="s">
        <v>65</v>
      </c>
      <c r="AA23" s="4" t="s">
        <v>47</v>
      </c>
      <c r="AB23" s="4" t="s">
        <v>360</v>
      </c>
      <c r="AC23" s="4" t="s">
        <v>30</v>
      </c>
      <c r="AF23" s="4" t="s">
        <v>61</v>
      </c>
      <c r="AG23" s="4" t="s">
        <v>348</v>
      </c>
      <c r="AH23" s="4" t="s">
        <v>483</v>
      </c>
      <c r="AK23" s="4" t="s">
        <v>61</v>
      </c>
      <c r="AL23" s="4" t="s">
        <v>441</v>
      </c>
      <c r="AM23" s="4" t="s">
        <v>30</v>
      </c>
      <c r="AP23" s="4" t="s">
        <v>47</v>
      </c>
      <c r="AQ23" s="4" t="s">
        <v>345</v>
      </c>
      <c r="AR23" s="4" t="s">
        <v>632</v>
      </c>
      <c r="AZ23" s="4" t="s">
        <v>47</v>
      </c>
      <c r="BA23" s="4" t="s">
        <v>345</v>
      </c>
      <c r="BB23" s="4" t="s">
        <v>732</v>
      </c>
      <c r="BE23" s="4" t="s">
        <v>57</v>
      </c>
      <c r="BF23" s="4" t="s">
        <v>346</v>
      </c>
      <c r="BG23" s="4" t="s">
        <v>632</v>
      </c>
      <c r="BJ23" s="11" t="s">
        <v>61</v>
      </c>
      <c r="BK23" s="11" t="s">
        <v>441</v>
      </c>
      <c r="BL23" s="11" t="s">
        <v>732</v>
      </c>
      <c r="BT23" s="4" t="s">
        <v>66</v>
      </c>
      <c r="BU23" s="4" t="s">
        <v>497</v>
      </c>
      <c r="BV23" s="4" t="s">
        <v>862</v>
      </c>
      <c r="BY23" s="4" t="s">
        <v>72</v>
      </c>
      <c r="BZ23" s="4" t="s">
        <v>441</v>
      </c>
      <c r="CA23" s="4" t="s">
        <v>632</v>
      </c>
      <c r="CD23" s="4" t="s">
        <v>61</v>
      </c>
      <c r="CE23" s="4" t="s">
        <v>377</v>
      </c>
      <c r="CF23" s="4" t="s">
        <v>973</v>
      </c>
      <c r="CI23" s="4" t="s">
        <v>164</v>
      </c>
      <c r="CJ23" s="4" t="s">
        <v>356</v>
      </c>
      <c r="CK23" s="4" t="s">
        <v>1050</v>
      </c>
      <c r="CN23" s="4" t="s">
        <v>164</v>
      </c>
      <c r="CO23" s="4" t="s">
        <v>356</v>
      </c>
      <c r="CP23" s="4" t="s">
        <v>1050</v>
      </c>
      <c r="CS23" s="4" t="s">
        <v>164</v>
      </c>
      <c r="CT23" s="4" t="s">
        <v>503</v>
      </c>
      <c r="CU23" s="4" t="s">
        <v>1050</v>
      </c>
      <c r="CX23" s="4" t="s">
        <v>76</v>
      </c>
      <c r="CY23" s="4" t="s">
        <v>1535</v>
      </c>
      <c r="CZ23" s="4" t="s">
        <v>1116</v>
      </c>
      <c r="DC23" s="4" t="s">
        <v>59</v>
      </c>
      <c r="DD23" s="4" t="s">
        <v>441</v>
      </c>
      <c r="DE23" s="4" t="s">
        <v>1281</v>
      </c>
      <c r="DH23" s="4" t="s">
        <v>61</v>
      </c>
      <c r="DI23" s="4" t="s">
        <v>444</v>
      </c>
      <c r="DJ23" s="4" t="s">
        <v>849</v>
      </c>
      <c r="DM23" s="4" t="s">
        <v>64</v>
      </c>
      <c r="DN23" s="4" t="s">
        <v>441</v>
      </c>
      <c r="DO23" s="4" t="s">
        <v>632</v>
      </c>
      <c r="DR23" s="4" t="s">
        <v>61</v>
      </c>
      <c r="DS23" s="4" t="s">
        <v>348</v>
      </c>
      <c r="DT23" s="4" t="s">
        <v>1411</v>
      </c>
    </row>
    <row r="24" spans="2:124">
      <c r="B24" s="4" t="s">
        <v>64</v>
      </c>
      <c r="C24" s="4" t="s">
        <v>29</v>
      </c>
      <c r="D24" s="4" t="s">
        <v>65</v>
      </c>
      <c r="G24" s="4" t="s">
        <v>64</v>
      </c>
      <c r="H24" s="4" t="s">
        <v>288</v>
      </c>
      <c r="I24" s="4" t="s">
        <v>65</v>
      </c>
      <c r="L24" s="4" t="s">
        <v>48</v>
      </c>
      <c r="M24" s="4" t="s">
        <v>45</v>
      </c>
      <c r="N24" s="4" t="s">
        <v>49</v>
      </c>
      <c r="Q24" s="4" t="s">
        <v>48</v>
      </c>
      <c r="R24" s="4" t="s">
        <v>292</v>
      </c>
      <c r="S24" s="4" t="s">
        <v>49</v>
      </c>
      <c r="V24" s="4" t="s">
        <v>66</v>
      </c>
      <c r="W24" s="4" t="s">
        <v>366</v>
      </c>
      <c r="X24" s="4" t="s">
        <v>367</v>
      </c>
      <c r="AA24" s="4" t="s">
        <v>48</v>
      </c>
      <c r="AB24" s="4" t="s">
        <v>434</v>
      </c>
      <c r="AC24" s="4" t="s">
        <v>30</v>
      </c>
      <c r="AF24" s="4" t="s">
        <v>64</v>
      </c>
      <c r="AG24" s="4" t="s">
        <v>90</v>
      </c>
      <c r="AH24" s="4" t="s">
        <v>484</v>
      </c>
      <c r="AK24" s="4" t="s">
        <v>64</v>
      </c>
      <c r="AL24" s="4" t="s">
        <v>441</v>
      </c>
      <c r="AM24" s="4" t="s">
        <v>30</v>
      </c>
      <c r="AP24" s="4" t="s">
        <v>48</v>
      </c>
      <c r="AQ24" s="4" t="s">
        <v>346</v>
      </c>
      <c r="AR24" s="4" t="s">
        <v>632</v>
      </c>
      <c r="AZ24" s="4" t="s">
        <v>48</v>
      </c>
      <c r="BA24" s="4" t="s">
        <v>346</v>
      </c>
      <c r="BB24" s="4" t="s">
        <v>732</v>
      </c>
      <c r="BE24" s="4" t="s">
        <v>322</v>
      </c>
      <c r="BF24" s="4" t="s">
        <v>441</v>
      </c>
      <c r="BG24" s="4" t="s">
        <v>632</v>
      </c>
      <c r="BJ24" s="11" t="s">
        <v>64</v>
      </c>
      <c r="BK24" s="11" t="s">
        <v>441</v>
      </c>
      <c r="BL24" s="11" t="s">
        <v>732</v>
      </c>
      <c r="BT24" s="4" t="s">
        <v>68</v>
      </c>
      <c r="BU24" s="4" t="s">
        <v>376</v>
      </c>
      <c r="BV24" s="4" t="s">
        <v>863</v>
      </c>
      <c r="BY24" s="4" t="s">
        <v>76</v>
      </c>
      <c r="BZ24" s="4" t="s">
        <v>441</v>
      </c>
      <c r="CA24" s="4" t="s">
        <v>632</v>
      </c>
      <c r="CD24" s="4" t="s">
        <v>64</v>
      </c>
      <c r="CE24" s="4" t="s">
        <v>446</v>
      </c>
      <c r="CF24" s="4" t="s">
        <v>30</v>
      </c>
      <c r="CI24" s="4" t="s">
        <v>168</v>
      </c>
      <c r="CJ24" s="4" t="s">
        <v>341</v>
      </c>
      <c r="CK24" s="4" t="s">
        <v>1051</v>
      </c>
      <c r="CN24" s="4" t="s">
        <v>168</v>
      </c>
      <c r="CO24" s="4" t="s">
        <v>341</v>
      </c>
      <c r="CP24" s="4" t="s">
        <v>1051</v>
      </c>
      <c r="CS24" s="4" t="s">
        <v>168</v>
      </c>
      <c r="CT24" s="4" t="s">
        <v>391</v>
      </c>
      <c r="CU24" s="4" t="s">
        <v>1051</v>
      </c>
      <c r="CX24" s="4" t="s">
        <v>79</v>
      </c>
      <c r="CY24" s="4" t="s">
        <v>1536</v>
      </c>
      <c r="CZ24" s="4" t="s">
        <v>1118</v>
      </c>
      <c r="DC24" s="4" t="s">
        <v>61</v>
      </c>
      <c r="DD24" s="4" t="s">
        <v>441</v>
      </c>
      <c r="DE24" s="4" t="s">
        <v>1281</v>
      </c>
      <c r="DH24" s="4" t="s">
        <v>64</v>
      </c>
      <c r="DI24" s="4" t="s">
        <v>360</v>
      </c>
      <c r="DJ24" s="4" t="s">
        <v>849</v>
      </c>
      <c r="DM24" s="4" t="s">
        <v>66</v>
      </c>
      <c r="DN24" s="4" t="s">
        <v>345</v>
      </c>
      <c r="DO24" s="4" t="s">
        <v>1386</v>
      </c>
      <c r="DR24" s="4" t="s">
        <v>64</v>
      </c>
      <c r="DS24" s="4" t="s">
        <v>90</v>
      </c>
      <c r="DT24" s="4" t="s">
        <v>1412</v>
      </c>
    </row>
    <row r="25" spans="2:124">
      <c r="B25" s="4" t="s">
        <v>66</v>
      </c>
      <c r="C25" s="4" t="s">
        <v>45</v>
      </c>
      <c r="D25" s="4" t="s">
        <v>67</v>
      </c>
      <c r="G25" s="4" t="s">
        <v>66</v>
      </c>
      <c r="H25" s="4" t="s">
        <v>292</v>
      </c>
      <c r="I25" s="4" t="s">
        <v>67</v>
      </c>
      <c r="L25" s="4" t="s">
        <v>50</v>
      </c>
      <c r="M25" s="4" t="s">
        <v>29</v>
      </c>
      <c r="N25" s="4" t="s">
        <v>51</v>
      </c>
      <c r="Q25" s="4" t="s">
        <v>50</v>
      </c>
      <c r="R25" s="4" t="s">
        <v>288</v>
      </c>
      <c r="S25" s="4" t="s">
        <v>51</v>
      </c>
      <c r="V25" s="4" t="s">
        <v>68</v>
      </c>
      <c r="W25" s="4" t="s">
        <v>368</v>
      </c>
      <c r="X25" s="4" t="s">
        <v>369</v>
      </c>
      <c r="AA25" s="4" t="s">
        <v>50</v>
      </c>
      <c r="AB25" s="4" t="s">
        <v>360</v>
      </c>
      <c r="AC25" s="4" t="s">
        <v>30</v>
      </c>
      <c r="AF25" s="4" t="s">
        <v>66</v>
      </c>
      <c r="AG25" s="4" t="s">
        <v>485</v>
      </c>
      <c r="AH25" s="4" t="s">
        <v>486</v>
      </c>
      <c r="AK25" s="4" t="s">
        <v>66</v>
      </c>
      <c r="AL25" s="4" t="s">
        <v>441</v>
      </c>
      <c r="AM25" s="4" t="s">
        <v>30</v>
      </c>
      <c r="AP25" s="4" t="s">
        <v>50</v>
      </c>
      <c r="AQ25" s="4" t="s">
        <v>345</v>
      </c>
      <c r="AR25" s="4" t="s">
        <v>632</v>
      </c>
      <c r="AZ25" s="4" t="s">
        <v>50</v>
      </c>
      <c r="BA25" s="4" t="s">
        <v>345</v>
      </c>
      <c r="BB25" s="4" t="s">
        <v>732</v>
      </c>
      <c r="BE25" s="4" t="s">
        <v>59</v>
      </c>
      <c r="BF25" s="4" t="s">
        <v>345</v>
      </c>
      <c r="BG25" s="4" t="s">
        <v>632</v>
      </c>
      <c r="BJ25" s="11" t="s">
        <v>66</v>
      </c>
      <c r="BK25" s="11" t="s">
        <v>441</v>
      </c>
      <c r="BL25" s="11" t="s">
        <v>732</v>
      </c>
      <c r="BT25" s="4" t="s">
        <v>70</v>
      </c>
      <c r="BU25" s="4" t="s">
        <v>29</v>
      </c>
      <c r="BV25" s="4" t="s">
        <v>864</v>
      </c>
      <c r="BY25" s="4" t="s">
        <v>79</v>
      </c>
      <c r="BZ25" s="4" t="s">
        <v>441</v>
      </c>
      <c r="CA25" s="4" t="s">
        <v>632</v>
      </c>
      <c r="CD25" s="4" t="s">
        <v>66</v>
      </c>
      <c r="CE25" s="4" t="s">
        <v>298</v>
      </c>
      <c r="CF25" s="4" t="s">
        <v>974</v>
      </c>
      <c r="CI25" s="4" t="s">
        <v>170</v>
      </c>
      <c r="CJ25" s="4" t="s">
        <v>441</v>
      </c>
      <c r="CK25" s="4" t="s">
        <v>1052</v>
      </c>
      <c r="CN25" s="4" t="s">
        <v>170</v>
      </c>
      <c r="CO25" s="4" t="s">
        <v>441</v>
      </c>
      <c r="CP25" s="4" t="s">
        <v>1052</v>
      </c>
      <c r="CS25" s="4" t="s">
        <v>170</v>
      </c>
      <c r="CT25" s="4" t="s">
        <v>346</v>
      </c>
      <c r="CU25" s="4" t="s">
        <v>1052</v>
      </c>
      <c r="CX25" s="4" t="s">
        <v>81</v>
      </c>
      <c r="CY25" s="4" t="s">
        <v>1119</v>
      </c>
      <c r="CZ25" s="4" t="s">
        <v>1120</v>
      </c>
      <c r="DC25" s="4" t="s">
        <v>64</v>
      </c>
      <c r="DD25" s="4" t="s">
        <v>441</v>
      </c>
      <c r="DE25" s="4" t="s">
        <v>1281</v>
      </c>
      <c r="DH25" s="4" t="s">
        <v>66</v>
      </c>
      <c r="DI25" s="4" t="s">
        <v>360</v>
      </c>
      <c r="DJ25" s="4" t="s">
        <v>632</v>
      </c>
      <c r="DM25" s="4" t="s">
        <v>68</v>
      </c>
      <c r="DN25" s="4" t="s">
        <v>346</v>
      </c>
      <c r="DO25" s="4" t="s">
        <v>637</v>
      </c>
      <c r="DR25" s="4" t="s">
        <v>66</v>
      </c>
      <c r="DS25" s="4" t="s">
        <v>485</v>
      </c>
      <c r="DT25" s="4" t="s">
        <v>1413</v>
      </c>
    </row>
    <row r="26" spans="2:124">
      <c r="B26" s="4" t="s">
        <v>68</v>
      </c>
      <c r="C26" s="4" t="s">
        <v>24</v>
      </c>
      <c r="D26" s="4" t="s">
        <v>69</v>
      </c>
      <c r="G26" s="4" t="s">
        <v>68</v>
      </c>
      <c r="H26" s="4" t="s">
        <v>286</v>
      </c>
      <c r="I26" s="4" t="s">
        <v>69</v>
      </c>
      <c r="L26" s="4" t="s">
        <v>52</v>
      </c>
      <c r="M26" s="4" t="s">
        <v>32</v>
      </c>
      <c r="N26" s="4" t="s">
        <v>30</v>
      </c>
      <c r="Q26" s="4" t="s">
        <v>52</v>
      </c>
      <c r="R26" s="4" t="s">
        <v>289</v>
      </c>
      <c r="S26" s="4" t="s">
        <v>30</v>
      </c>
      <c r="V26" s="4" t="s">
        <v>70</v>
      </c>
      <c r="W26" s="4" t="s">
        <v>370</v>
      </c>
      <c r="X26" s="4" t="s">
        <v>371</v>
      </c>
      <c r="AA26" s="4" t="s">
        <v>52</v>
      </c>
      <c r="AB26" s="4" t="s">
        <v>360</v>
      </c>
      <c r="AC26" s="4" t="s">
        <v>30</v>
      </c>
      <c r="AF26" s="4" t="s">
        <v>68</v>
      </c>
      <c r="AG26" s="4" t="s">
        <v>487</v>
      </c>
      <c r="AH26" s="4" t="s">
        <v>488</v>
      </c>
      <c r="AK26" s="4" t="s">
        <v>68</v>
      </c>
      <c r="AL26" s="4" t="s">
        <v>441</v>
      </c>
      <c r="AM26" s="4" t="s">
        <v>30</v>
      </c>
      <c r="AP26" s="4" t="s">
        <v>52</v>
      </c>
      <c r="AQ26" s="4" t="s">
        <v>345</v>
      </c>
      <c r="AR26" s="4" t="s">
        <v>632</v>
      </c>
      <c r="AZ26" s="4" t="s">
        <v>52</v>
      </c>
      <c r="BA26" s="4" t="s">
        <v>345</v>
      </c>
      <c r="BB26" s="4" t="s">
        <v>732</v>
      </c>
      <c r="BE26" s="4" t="s">
        <v>61</v>
      </c>
      <c r="BF26" s="4" t="s">
        <v>446</v>
      </c>
      <c r="BG26" s="4" t="s">
        <v>632</v>
      </c>
      <c r="BJ26" s="11" t="s">
        <v>68</v>
      </c>
      <c r="BK26" s="11" t="s">
        <v>441</v>
      </c>
      <c r="BL26" s="11" t="s">
        <v>732</v>
      </c>
      <c r="BT26" s="4" t="s">
        <v>72</v>
      </c>
      <c r="BU26" s="4" t="s">
        <v>441</v>
      </c>
      <c r="BV26" s="4" t="s">
        <v>632</v>
      </c>
      <c r="BY26" s="4" t="s">
        <v>81</v>
      </c>
      <c r="BZ26" s="4" t="s">
        <v>441</v>
      </c>
      <c r="CA26" s="4" t="s">
        <v>632</v>
      </c>
      <c r="CD26" s="4" t="s">
        <v>68</v>
      </c>
      <c r="CE26" s="4" t="s">
        <v>298</v>
      </c>
      <c r="CF26" s="4" t="s">
        <v>975</v>
      </c>
      <c r="CI26" s="4" t="s">
        <v>172</v>
      </c>
      <c r="CJ26" s="4" t="s">
        <v>346</v>
      </c>
      <c r="CK26" s="4" t="s">
        <v>1053</v>
      </c>
      <c r="CN26" s="4" t="s">
        <v>172</v>
      </c>
      <c r="CO26" s="4" t="s">
        <v>346</v>
      </c>
      <c r="CP26" s="4" t="s">
        <v>1053</v>
      </c>
      <c r="CS26" s="4" t="s">
        <v>172</v>
      </c>
      <c r="CT26" s="4" t="s">
        <v>289</v>
      </c>
      <c r="CU26" s="4" t="s">
        <v>1053</v>
      </c>
      <c r="CX26" s="4" t="s">
        <v>82</v>
      </c>
      <c r="CY26" s="4" t="s">
        <v>1537</v>
      </c>
      <c r="CZ26" s="4" t="s">
        <v>1122</v>
      </c>
      <c r="DC26" s="4" t="s">
        <v>66</v>
      </c>
      <c r="DD26" s="4" t="s">
        <v>441</v>
      </c>
      <c r="DE26" s="4" t="s">
        <v>1281</v>
      </c>
      <c r="DH26" s="4" t="s">
        <v>68</v>
      </c>
      <c r="DI26" s="4" t="s">
        <v>298</v>
      </c>
      <c r="DJ26" s="4" t="s">
        <v>637</v>
      </c>
      <c r="DM26" s="4" t="s">
        <v>70</v>
      </c>
      <c r="DN26" s="4" t="s">
        <v>441</v>
      </c>
      <c r="DO26" s="4" t="s">
        <v>632</v>
      </c>
      <c r="DR26" s="4" t="s">
        <v>68</v>
      </c>
      <c r="DS26" s="4" t="s">
        <v>487</v>
      </c>
      <c r="DT26" s="4" t="s">
        <v>1414</v>
      </c>
    </row>
    <row r="27" spans="2:124">
      <c r="B27" s="4" t="s">
        <v>70</v>
      </c>
      <c r="C27" s="4" t="s">
        <v>45</v>
      </c>
      <c r="D27" s="4" t="s">
        <v>71</v>
      </c>
      <c r="G27" s="4" t="s">
        <v>70</v>
      </c>
      <c r="H27" s="4" t="s">
        <v>292</v>
      </c>
      <c r="I27" s="4" t="s">
        <v>71</v>
      </c>
      <c r="L27" s="4" t="s">
        <v>53</v>
      </c>
      <c r="M27" s="4" t="s">
        <v>32</v>
      </c>
      <c r="N27" s="4" t="s">
        <v>30</v>
      </c>
      <c r="Q27" s="4" t="s">
        <v>53</v>
      </c>
      <c r="R27" s="4" t="s">
        <v>289</v>
      </c>
      <c r="S27" s="4" t="s">
        <v>30</v>
      </c>
      <c r="V27" s="4" t="s">
        <v>72</v>
      </c>
      <c r="W27" s="4" t="s">
        <v>372</v>
      </c>
      <c r="X27" s="4" t="s">
        <v>30</v>
      </c>
      <c r="AA27" s="4" t="s">
        <v>53</v>
      </c>
      <c r="AB27" s="4" t="s">
        <v>360</v>
      </c>
      <c r="AC27" s="4" t="s">
        <v>30</v>
      </c>
      <c r="AF27" s="4" t="s">
        <v>70</v>
      </c>
      <c r="AG27" s="4" t="s">
        <v>489</v>
      </c>
      <c r="AH27" s="4" t="s">
        <v>490</v>
      </c>
      <c r="AK27" s="4" t="s">
        <v>70</v>
      </c>
      <c r="AL27" s="4" t="s">
        <v>441</v>
      </c>
      <c r="AM27" s="4" t="s">
        <v>30</v>
      </c>
      <c r="AP27" s="4" t="s">
        <v>53</v>
      </c>
      <c r="AQ27" s="4" t="s">
        <v>345</v>
      </c>
      <c r="AR27" s="4" t="s">
        <v>632</v>
      </c>
      <c r="AZ27" s="4" t="s">
        <v>53</v>
      </c>
      <c r="BA27" s="4" t="s">
        <v>345</v>
      </c>
      <c r="BB27" s="4" t="s">
        <v>732</v>
      </c>
      <c r="BE27" s="4" t="s">
        <v>64</v>
      </c>
      <c r="BF27" s="4" t="s">
        <v>345</v>
      </c>
      <c r="BG27" s="4" t="s">
        <v>632</v>
      </c>
      <c r="BJ27" s="11" t="s">
        <v>70</v>
      </c>
      <c r="BK27" s="11" t="s">
        <v>441</v>
      </c>
      <c r="BL27" s="11" t="s">
        <v>732</v>
      </c>
      <c r="BT27" s="4" t="s">
        <v>73</v>
      </c>
      <c r="BU27" s="4" t="s">
        <v>865</v>
      </c>
      <c r="BV27" s="4" t="s">
        <v>866</v>
      </c>
      <c r="BY27" s="4" t="s">
        <v>82</v>
      </c>
      <c r="BZ27" s="4" t="s">
        <v>441</v>
      </c>
      <c r="CA27" s="4" t="s">
        <v>638</v>
      </c>
      <c r="CD27" s="4" t="s">
        <v>70</v>
      </c>
      <c r="CE27" s="4" t="s">
        <v>298</v>
      </c>
      <c r="CF27" s="4" t="s">
        <v>972</v>
      </c>
      <c r="CI27" s="4" t="s">
        <v>176</v>
      </c>
      <c r="CJ27" s="4" t="s">
        <v>441</v>
      </c>
      <c r="CK27" s="4" t="s">
        <v>1054</v>
      </c>
      <c r="CN27" s="4" t="s">
        <v>176</v>
      </c>
      <c r="CO27" s="4" t="s">
        <v>441</v>
      </c>
      <c r="CP27" s="4" t="s">
        <v>1054</v>
      </c>
      <c r="CS27" s="4" t="s">
        <v>176</v>
      </c>
      <c r="CT27" s="4" t="s">
        <v>360</v>
      </c>
      <c r="CU27" s="4" t="s">
        <v>1054</v>
      </c>
      <c r="CX27" s="4" t="s">
        <v>84</v>
      </c>
      <c r="CY27" s="4" t="s">
        <v>1538</v>
      </c>
      <c r="CZ27" s="4" t="s">
        <v>1124</v>
      </c>
      <c r="DC27" s="4" t="s">
        <v>68</v>
      </c>
      <c r="DD27" s="4" t="s">
        <v>345</v>
      </c>
      <c r="DE27" s="4" t="s">
        <v>1283</v>
      </c>
      <c r="DH27" s="4" t="s">
        <v>70</v>
      </c>
      <c r="DI27" s="4" t="s">
        <v>434</v>
      </c>
      <c r="DJ27" s="4" t="s">
        <v>1333</v>
      </c>
      <c r="DM27" s="4" t="s">
        <v>72</v>
      </c>
      <c r="DN27" s="4" t="s">
        <v>441</v>
      </c>
      <c r="DO27" s="4" t="s">
        <v>632</v>
      </c>
      <c r="DR27" s="4" t="s">
        <v>70</v>
      </c>
      <c r="DS27" s="4" t="s">
        <v>1415</v>
      </c>
      <c r="DT27" s="4" t="s">
        <v>1416</v>
      </c>
    </row>
    <row r="28" spans="2:124">
      <c r="B28" s="4" t="s">
        <v>72</v>
      </c>
      <c r="C28" s="4" t="s">
        <v>32</v>
      </c>
      <c r="D28" s="4" t="s">
        <v>30</v>
      </c>
      <c r="G28" s="4" t="s">
        <v>72</v>
      </c>
      <c r="H28" s="4" t="s">
        <v>289</v>
      </c>
      <c r="I28" s="4" t="s">
        <v>30</v>
      </c>
      <c r="L28" s="4" t="s">
        <v>54</v>
      </c>
      <c r="M28" s="4" t="s">
        <v>55</v>
      </c>
      <c r="N28" s="4" t="s">
        <v>56</v>
      </c>
      <c r="Q28" s="4" t="s">
        <v>54</v>
      </c>
      <c r="R28" s="4" t="s">
        <v>293</v>
      </c>
      <c r="S28" s="4" t="s">
        <v>56</v>
      </c>
      <c r="V28" s="4" t="s">
        <v>73</v>
      </c>
      <c r="W28" s="4" t="s">
        <v>373</v>
      </c>
      <c r="X28" s="4" t="s">
        <v>74</v>
      </c>
      <c r="AA28" s="4" t="s">
        <v>54</v>
      </c>
      <c r="AB28" s="4" t="s">
        <v>360</v>
      </c>
      <c r="AC28" s="4" t="s">
        <v>30</v>
      </c>
      <c r="AF28" s="4" t="s">
        <v>72</v>
      </c>
      <c r="AG28" s="4" t="s">
        <v>491</v>
      </c>
      <c r="AH28" s="4" t="s">
        <v>492</v>
      </c>
      <c r="AK28" s="4" t="s">
        <v>72</v>
      </c>
      <c r="AL28" s="4" t="s">
        <v>441</v>
      </c>
      <c r="AM28" s="4" t="s">
        <v>30</v>
      </c>
      <c r="AP28" s="4" t="s">
        <v>54</v>
      </c>
      <c r="AQ28" s="4" t="s">
        <v>345</v>
      </c>
      <c r="AR28" s="4" t="s">
        <v>632</v>
      </c>
      <c r="AZ28" s="4" t="s">
        <v>54</v>
      </c>
      <c r="BA28" s="4" t="s">
        <v>345</v>
      </c>
      <c r="BB28" s="4" t="s">
        <v>732</v>
      </c>
      <c r="BE28" s="4" t="s">
        <v>66</v>
      </c>
      <c r="BF28" s="4" t="s">
        <v>346</v>
      </c>
      <c r="BG28" s="4" t="s">
        <v>632</v>
      </c>
      <c r="BJ28" s="11" t="s">
        <v>72</v>
      </c>
      <c r="BK28" s="11" t="s">
        <v>441</v>
      </c>
      <c r="BL28" s="11" t="s">
        <v>732</v>
      </c>
      <c r="BT28" s="4" t="s">
        <v>75</v>
      </c>
      <c r="BU28" s="4" t="s">
        <v>441</v>
      </c>
      <c r="BV28" s="4" t="s">
        <v>632</v>
      </c>
      <c r="BY28" s="4" t="s">
        <v>84</v>
      </c>
      <c r="BZ28" s="4" t="s">
        <v>441</v>
      </c>
      <c r="CA28" s="4" t="s">
        <v>639</v>
      </c>
      <c r="CD28" s="4" t="s">
        <v>72</v>
      </c>
      <c r="CE28" s="4" t="s">
        <v>446</v>
      </c>
      <c r="CF28" s="4" t="s">
        <v>30</v>
      </c>
      <c r="CI28" s="4" t="s">
        <v>182</v>
      </c>
      <c r="CJ28" s="4" t="s">
        <v>441</v>
      </c>
      <c r="CK28" s="4" t="s">
        <v>1055</v>
      </c>
      <c r="CN28" s="4" t="s">
        <v>182</v>
      </c>
      <c r="CO28" s="4" t="s">
        <v>441</v>
      </c>
      <c r="CP28" s="4" t="s">
        <v>1055</v>
      </c>
      <c r="CS28" s="4" t="s">
        <v>182</v>
      </c>
      <c r="CT28" s="4" t="s">
        <v>446</v>
      </c>
      <c r="CU28" s="4" t="s">
        <v>1055</v>
      </c>
      <c r="CX28" s="4" t="s">
        <v>86</v>
      </c>
      <c r="CY28" s="4" t="s">
        <v>1539</v>
      </c>
      <c r="CZ28" s="4" t="s">
        <v>1126</v>
      </c>
      <c r="DC28" s="4" t="s">
        <v>70</v>
      </c>
      <c r="DD28" s="4" t="s">
        <v>441</v>
      </c>
      <c r="DE28" s="4" t="s">
        <v>1281</v>
      </c>
      <c r="DH28" s="4" t="s">
        <v>72</v>
      </c>
      <c r="DI28" s="4" t="s">
        <v>360</v>
      </c>
      <c r="DJ28" s="4" t="s">
        <v>849</v>
      </c>
      <c r="DM28" s="4" t="s">
        <v>73</v>
      </c>
      <c r="DN28" s="4" t="s">
        <v>360</v>
      </c>
      <c r="DO28" s="4" t="s">
        <v>632</v>
      </c>
      <c r="DR28" s="4" t="s">
        <v>72</v>
      </c>
      <c r="DS28" s="4" t="s">
        <v>491</v>
      </c>
      <c r="DT28" s="4" t="s">
        <v>1417</v>
      </c>
    </row>
    <row r="29" spans="2:124">
      <c r="B29" s="4" t="s">
        <v>73</v>
      </c>
      <c r="C29" s="4" t="s">
        <v>35</v>
      </c>
      <c r="D29" s="4" t="s">
        <v>74</v>
      </c>
      <c r="G29" s="4" t="s">
        <v>73</v>
      </c>
      <c r="H29" s="4" t="s">
        <v>290</v>
      </c>
      <c r="I29" s="4" t="s">
        <v>74</v>
      </c>
      <c r="L29" s="4" t="s">
        <v>57</v>
      </c>
      <c r="M29" s="4" t="s">
        <v>45</v>
      </c>
      <c r="N29" s="4" t="s">
        <v>58</v>
      </c>
      <c r="Q29" s="4" t="s">
        <v>57</v>
      </c>
      <c r="R29" s="4" t="s">
        <v>292</v>
      </c>
      <c r="S29" s="4" t="s">
        <v>58</v>
      </c>
      <c r="V29" s="4" t="s">
        <v>75</v>
      </c>
      <c r="W29" s="4" t="s">
        <v>346</v>
      </c>
      <c r="X29" s="4" t="s">
        <v>30</v>
      </c>
      <c r="AA29" s="4" t="s">
        <v>57</v>
      </c>
      <c r="AB29" s="4" t="s">
        <v>434</v>
      </c>
      <c r="AC29" s="4" t="s">
        <v>30</v>
      </c>
      <c r="AF29" s="4" t="s">
        <v>73</v>
      </c>
      <c r="AG29" s="4" t="s">
        <v>493</v>
      </c>
      <c r="AH29" s="4" t="s">
        <v>494</v>
      </c>
      <c r="AK29" s="4" t="s">
        <v>73</v>
      </c>
      <c r="AL29" s="4" t="s">
        <v>441</v>
      </c>
      <c r="AM29" s="4" t="s">
        <v>30</v>
      </c>
      <c r="AP29" s="4" t="s">
        <v>57</v>
      </c>
      <c r="AQ29" s="4" t="s">
        <v>346</v>
      </c>
      <c r="AR29" s="4" t="s">
        <v>632</v>
      </c>
      <c r="AZ29" s="4" t="s">
        <v>57</v>
      </c>
      <c r="BA29" s="4" t="s">
        <v>346</v>
      </c>
      <c r="BB29" s="4" t="s">
        <v>732</v>
      </c>
      <c r="BE29" s="4" t="s">
        <v>68</v>
      </c>
      <c r="BF29" s="4" t="s">
        <v>360</v>
      </c>
      <c r="BG29" s="4" t="s">
        <v>637</v>
      </c>
      <c r="BJ29" s="11" t="s">
        <v>73</v>
      </c>
      <c r="BK29" s="11" t="s">
        <v>441</v>
      </c>
      <c r="BL29" s="11" t="s">
        <v>732</v>
      </c>
      <c r="BT29" s="4" t="s">
        <v>76</v>
      </c>
      <c r="BU29" s="4" t="s">
        <v>402</v>
      </c>
      <c r="BV29" s="4" t="s">
        <v>867</v>
      </c>
      <c r="BY29" s="4" t="s">
        <v>86</v>
      </c>
      <c r="BZ29" s="4" t="s">
        <v>345</v>
      </c>
      <c r="CA29" s="4" t="s">
        <v>640</v>
      </c>
      <c r="CD29" s="4" t="s">
        <v>73</v>
      </c>
      <c r="CE29" s="4" t="s">
        <v>450</v>
      </c>
      <c r="CF29" s="4" t="s">
        <v>30</v>
      </c>
      <c r="CI29" s="4" t="s">
        <v>188</v>
      </c>
      <c r="CJ29" s="4" t="s">
        <v>1056</v>
      </c>
      <c r="CK29" s="4" t="s">
        <v>1057</v>
      </c>
      <c r="CN29" s="4" t="s">
        <v>188</v>
      </c>
      <c r="CO29" s="4" t="s">
        <v>1056</v>
      </c>
      <c r="CP29" s="4" t="s">
        <v>1057</v>
      </c>
      <c r="CS29" s="4" t="s">
        <v>188</v>
      </c>
      <c r="CT29" s="4" t="s">
        <v>1073</v>
      </c>
      <c r="CU29" s="4" t="s">
        <v>1057</v>
      </c>
      <c r="CX29" s="4" t="s">
        <v>89</v>
      </c>
      <c r="CY29" s="4" t="s">
        <v>1127</v>
      </c>
      <c r="CZ29" s="4" t="s">
        <v>1128</v>
      </c>
      <c r="DC29" s="4" t="s">
        <v>72</v>
      </c>
      <c r="DD29" s="4" t="s">
        <v>441</v>
      </c>
      <c r="DE29" s="4" t="s">
        <v>1281</v>
      </c>
      <c r="DH29" s="4" t="s">
        <v>73</v>
      </c>
      <c r="DI29" s="4" t="s">
        <v>593</v>
      </c>
      <c r="DJ29" s="4" t="s">
        <v>1334</v>
      </c>
      <c r="DM29" s="4" t="s">
        <v>75</v>
      </c>
      <c r="DN29" s="4" t="s">
        <v>441</v>
      </c>
      <c r="DO29" s="4" t="s">
        <v>632</v>
      </c>
      <c r="DR29" s="4" t="s">
        <v>73</v>
      </c>
      <c r="DS29" s="4" t="s">
        <v>493</v>
      </c>
      <c r="DT29" s="4" t="s">
        <v>1418</v>
      </c>
    </row>
    <row r="30" spans="2:124">
      <c r="B30" s="4" t="s">
        <v>75</v>
      </c>
      <c r="C30" s="4" t="s">
        <v>32</v>
      </c>
      <c r="D30" s="4" t="s">
        <v>30</v>
      </c>
      <c r="G30" s="4" t="s">
        <v>75</v>
      </c>
      <c r="H30" s="4" t="s">
        <v>289</v>
      </c>
      <c r="I30" s="4" t="s">
        <v>30</v>
      </c>
      <c r="L30" s="4" t="s">
        <v>322</v>
      </c>
      <c r="M30" s="4" t="s">
        <v>104</v>
      </c>
      <c r="N30" s="4" t="s">
        <v>311</v>
      </c>
      <c r="Q30" s="4" t="s">
        <v>322</v>
      </c>
      <c r="R30" s="4" t="s">
        <v>298</v>
      </c>
      <c r="S30" s="4" t="s">
        <v>311</v>
      </c>
      <c r="V30" s="4" t="s">
        <v>76</v>
      </c>
      <c r="W30" s="4" t="s">
        <v>374</v>
      </c>
      <c r="X30" s="4" t="s">
        <v>375</v>
      </c>
      <c r="AA30" s="4" t="s">
        <v>322</v>
      </c>
      <c r="AB30" s="4" t="s">
        <v>441</v>
      </c>
      <c r="AC30" s="4" t="s">
        <v>442</v>
      </c>
      <c r="AF30" s="4" t="s">
        <v>75</v>
      </c>
      <c r="AG30" s="4" t="s">
        <v>346</v>
      </c>
      <c r="AH30" s="4" t="s">
        <v>30</v>
      </c>
      <c r="AK30" s="4" t="s">
        <v>75</v>
      </c>
      <c r="AL30" s="4" t="s">
        <v>441</v>
      </c>
      <c r="AM30" s="4" t="s">
        <v>30</v>
      </c>
      <c r="AP30" s="4" t="s">
        <v>322</v>
      </c>
      <c r="AQ30" s="4" t="s">
        <v>441</v>
      </c>
      <c r="AR30" s="4" t="s">
        <v>632</v>
      </c>
      <c r="AZ30" s="4" t="s">
        <v>322</v>
      </c>
      <c r="BA30" s="4" t="s">
        <v>441</v>
      </c>
      <c r="BB30" s="4" t="s">
        <v>632</v>
      </c>
      <c r="BE30" s="4" t="s">
        <v>70</v>
      </c>
      <c r="BF30" s="4" t="s">
        <v>444</v>
      </c>
      <c r="BG30" s="4" t="s">
        <v>782</v>
      </c>
      <c r="BJ30" s="11" t="s">
        <v>75</v>
      </c>
      <c r="BK30" s="11" t="s">
        <v>441</v>
      </c>
      <c r="BL30" s="11" t="s">
        <v>732</v>
      </c>
      <c r="BT30" s="4" t="s">
        <v>79</v>
      </c>
      <c r="BU30" s="4" t="s">
        <v>513</v>
      </c>
      <c r="BV30" s="4" t="s">
        <v>868</v>
      </c>
      <c r="BY30" s="4" t="s">
        <v>89</v>
      </c>
      <c r="BZ30" s="4" t="s">
        <v>441</v>
      </c>
      <c r="CA30" s="4" t="s">
        <v>641</v>
      </c>
      <c r="CD30" s="4" t="s">
        <v>75</v>
      </c>
      <c r="CE30" s="4" t="s">
        <v>446</v>
      </c>
      <c r="CF30" s="4" t="s">
        <v>30</v>
      </c>
      <c r="CI30" s="4" t="s">
        <v>201</v>
      </c>
      <c r="CJ30" s="4" t="s">
        <v>1058</v>
      </c>
      <c r="CK30" s="4" t="s">
        <v>1059</v>
      </c>
      <c r="CN30" s="4" t="s">
        <v>201</v>
      </c>
      <c r="CO30" s="4" t="s">
        <v>1058</v>
      </c>
      <c r="CP30" s="4" t="s">
        <v>1059</v>
      </c>
      <c r="CS30" s="4" t="s">
        <v>201</v>
      </c>
      <c r="CT30" s="4" t="s">
        <v>1074</v>
      </c>
      <c r="CU30" s="4" t="s">
        <v>1059</v>
      </c>
      <c r="CX30" s="4" t="s">
        <v>91</v>
      </c>
      <c r="CY30" s="4" t="s">
        <v>1540</v>
      </c>
      <c r="CZ30" s="4" t="s">
        <v>1130</v>
      </c>
      <c r="DC30" s="4" t="s">
        <v>73</v>
      </c>
      <c r="DD30" s="4" t="s">
        <v>441</v>
      </c>
      <c r="DE30" s="4" t="s">
        <v>1281</v>
      </c>
      <c r="DH30" s="4" t="s">
        <v>75</v>
      </c>
      <c r="DI30" s="4" t="s">
        <v>441</v>
      </c>
      <c r="DJ30" s="4" t="s">
        <v>632</v>
      </c>
      <c r="DM30" s="4" t="s">
        <v>76</v>
      </c>
      <c r="DN30" s="4" t="s">
        <v>441</v>
      </c>
      <c r="DO30" s="4" t="s">
        <v>632</v>
      </c>
      <c r="DR30" s="4" t="s">
        <v>75</v>
      </c>
      <c r="DS30" s="4" t="s">
        <v>346</v>
      </c>
      <c r="DT30" s="4" t="s">
        <v>632</v>
      </c>
    </row>
    <row r="31" spans="2:124">
      <c r="B31" s="4" t="s">
        <v>76</v>
      </c>
      <c r="C31" s="4" t="s">
        <v>77</v>
      </c>
      <c r="D31" s="4" t="s">
        <v>78</v>
      </c>
      <c r="G31" s="4" t="s">
        <v>76</v>
      </c>
      <c r="H31" s="4" t="s">
        <v>295</v>
      </c>
      <c r="I31" s="4" t="s">
        <v>78</v>
      </c>
      <c r="L31" s="4" t="s">
        <v>59</v>
      </c>
      <c r="M31" s="4" t="s">
        <v>45</v>
      </c>
      <c r="N31" s="4" t="s">
        <v>60</v>
      </c>
      <c r="Q31" s="4" t="s">
        <v>59</v>
      </c>
      <c r="R31" s="4" t="s">
        <v>292</v>
      </c>
      <c r="S31" s="4" t="s">
        <v>60</v>
      </c>
      <c r="V31" s="4" t="s">
        <v>79</v>
      </c>
      <c r="W31" s="4" t="s">
        <v>376</v>
      </c>
      <c r="X31" s="4" t="s">
        <v>80</v>
      </c>
      <c r="AA31" s="4" t="s">
        <v>59</v>
      </c>
      <c r="AB31" s="4" t="s">
        <v>360</v>
      </c>
      <c r="AC31" s="4" t="s">
        <v>30</v>
      </c>
      <c r="AF31" s="4" t="s">
        <v>76</v>
      </c>
      <c r="AG31" s="4" t="s">
        <v>495</v>
      </c>
      <c r="AH31" s="4" t="s">
        <v>496</v>
      </c>
      <c r="AK31" s="4" t="s">
        <v>76</v>
      </c>
      <c r="AL31" s="4" t="s">
        <v>441</v>
      </c>
      <c r="AM31" s="4" t="s">
        <v>30</v>
      </c>
      <c r="AP31" s="4" t="s">
        <v>59</v>
      </c>
      <c r="AQ31" s="4" t="s">
        <v>345</v>
      </c>
      <c r="AR31" s="4" t="s">
        <v>632</v>
      </c>
      <c r="AZ31" s="4" t="s">
        <v>59</v>
      </c>
      <c r="BA31" s="4" t="s">
        <v>345</v>
      </c>
      <c r="BB31" s="4" t="s">
        <v>732</v>
      </c>
      <c r="BE31" s="4" t="s">
        <v>72</v>
      </c>
      <c r="BF31" s="4" t="s">
        <v>345</v>
      </c>
      <c r="BG31" s="4" t="s">
        <v>632</v>
      </c>
      <c r="BJ31" s="11" t="s">
        <v>76</v>
      </c>
      <c r="BK31" s="11" t="s">
        <v>441</v>
      </c>
      <c r="BL31" s="11" t="s">
        <v>732</v>
      </c>
      <c r="BT31" s="4" t="s">
        <v>81</v>
      </c>
      <c r="BU31" s="4" t="s">
        <v>593</v>
      </c>
      <c r="BV31" s="4" t="s">
        <v>869</v>
      </c>
      <c r="BY31" s="4" t="s">
        <v>91</v>
      </c>
      <c r="BZ31" s="4" t="s">
        <v>441</v>
      </c>
      <c r="CA31" s="4" t="s">
        <v>642</v>
      </c>
      <c r="CD31" s="4" t="s">
        <v>76</v>
      </c>
      <c r="CE31" s="4" t="s">
        <v>298</v>
      </c>
      <c r="CF31" s="4" t="s">
        <v>974</v>
      </c>
      <c r="CI31" s="4" t="s">
        <v>203</v>
      </c>
      <c r="CJ31" s="4" t="s">
        <v>298</v>
      </c>
      <c r="CK31" s="4" t="s">
        <v>1060</v>
      </c>
      <c r="CN31" s="4" t="s">
        <v>203</v>
      </c>
      <c r="CO31" s="4" t="s">
        <v>298</v>
      </c>
      <c r="CP31" s="4" t="s">
        <v>1060</v>
      </c>
      <c r="CS31" s="4" t="s">
        <v>203</v>
      </c>
      <c r="CT31" s="4" t="s">
        <v>288</v>
      </c>
      <c r="CU31" s="4" t="s">
        <v>1060</v>
      </c>
      <c r="CX31" s="4" t="s">
        <v>93</v>
      </c>
      <c r="CY31" s="4" t="s">
        <v>1541</v>
      </c>
      <c r="CZ31" s="4" t="s">
        <v>1132</v>
      </c>
      <c r="DC31" s="4" t="s">
        <v>75</v>
      </c>
      <c r="DD31" s="4" t="s">
        <v>441</v>
      </c>
      <c r="DE31" s="4" t="s">
        <v>1281</v>
      </c>
      <c r="DH31" s="4" t="s">
        <v>76</v>
      </c>
      <c r="DI31" s="4" t="s">
        <v>360</v>
      </c>
      <c r="DJ31" s="4" t="s">
        <v>632</v>
      </c>
      <c r="DM31" s="4" t="s">
        <v>79</v>
      </c>
      <c r="DN31" s="4" t="s">
        <v>441</v>
      </c>
      <c r="DO31" s="4" t="s">
        <v>632</v>
      </c>
      <c r="DR31" s="4" t="s">
        <v>76</v>
      </c>
      <c r="DS31" s="4" t="s">
        <v>1419</v>
      </c>
      <c r="DT31" s="4" t="s">
        <v>1420</v>
      </c>
    </row>
    <row r="32" spans="2:124">
      <c r="B32" s="4" t="s">
        <v>79</v>
      </c>
      <c r="C32" s="4" t="s">
        <v>45</v>
      </c>
      <c r="D32" s="4" t="s">
        <v>80</v>
      </c>
      <c r="G32" s="4" t="s">
        <v>79</v>
      </c>
      <c r="H32" s="4" t="s">
        <v>292</v>
      </c>
      <c r="I32" s="4" t="s">
        <v>80</v>
      </c>
      <c r="L32" s="4" t="s">
        <v>61</v>
      </c>
      <c r="M32" s="4" t="s">
        <v>27</v>
      </c>
      <c r="N32" s="4" t="s">
        <v>323</v>
      </c>
      <c r="Q32" s="4" t="s">
        <v>61</v>
      </c>
      <c r="R32" s="4" t="s">
        <v>287</v>
      </c>
      <c r="S32" s="4" t="s">
        <v>323</v>
      </c>
      <c r="V32" s="4" t="s">
        <v>81</v>
      </c>
      <c r="W32" s="4" t="s">
        <v>377</v>
      </c>
      <c r="X32" s="4" t="s">
        <v>30</v>
      </c>
      <c r="AA32" s="4" t="s">
        <v>61</v>
      </c>
      <c r="AB32" s="4" t="s">
        <v>603</v>
      </c>
      <c r="AC32" s="4" t="s">
        <v>30</v>
      </c>
      <c r="AF32" s="4" t="s">
        <v>79</v>
      </c>
      <c r="AG32" s="4" t="s">
        <v>497</v>
      </c>
      <c r="AH32" s="4" t="s">
        <v>498</v>
      </c>
      <c r="AK32" s="4" t="s">
        <v>79</v>
      </c>
      <c r="AL32" s="4" t="s">
        <v>441</v>
      </c>
      <c r="AM32" s="4" t="s">
        <v>30</v>
      </c>
      <c r="AP32" s="4" t="s">
        <v>61</v>
      </c>
      <c r="AQ32" s="4" t="s">
        <v>446</v>
      </c>
      <c r="AR32" s="4" t="s">
        <v>632</v>
      </c>
      <c r="AZ32" s="4" t="s">
        <v>61</v>
      </c>
      <c r="BA32" s="4" t="s">
        <v>446</v>
      </c>
      <c r="BB32" s="4" t="s">
        <v>732</v>
      </c>
      <c r="BE32" s="4" t="s">
        <v>73</v>
      </c>
      <c r="BF32" s="4" t="s">
        <v>346</v>
      </c>
      <c r="BG32" s="4" t="s">
        <v>632</v>
      </c>
      <c r="BJ32" s="11" t="s">
        <v>79</v>
      </c>
      <c r="BK32" s="11" t="s">
        <v>441</v>
      </c>
      <c r="BL32" s="11" t="s">
        <v>732</v>
      </c>
      <c r="BT32" s="4" t="s">
        <v>82</v>
      </c>
      <c r="BU32" s="4" t="s">
        <v>396</v>
      </c>
      <c r="BV32" s="4" t="s">
        <v>870</v>
      </c>
      <c r="BY32" s="4" t="s">
        <v>93</v>
      </c>
      <c r="BZ32" s="4" t="s">
        <v>345</v>
      </c>
      <c r="CA32" s="4" t="s">
        <v>642</v>
      </c>
      <c r="CD32" s="4" t="s">
        <v>79</v>
      </c>
      <c r="CE32" s="4" t="s">
        <v>298</v>
      </c>
      <c r="CF32" s="4" t="s">
        <v>976</v>
      </c>
      <c r="CI32" s="4" t="s">
        <v>205</v>
      </c>
      <c r="CJ32" s="4" t="s">
        <v>593</v>
      </c>
      <c r="CK32" s="4" t="s">
        <v>1061</v>
      </c>
      <c r="CN32" s="4" t="s">
        <v>205</v>
      </c>
      <c r="CO32" s="4" t="s">
        <v>593</v>
      </c>
      <c r="CP32" s="4" t="s">
        <v>1061</v>
      </c>
      <c r="CS32" s="4" t="s">
        <v>205</v>
      </c>
      <c r="CT32" s="4" t="s">
        <v>440</v>
      </c>
      <c r="CU32" s="4" t="s">
        <v>1061</v>
      </c>
      <c r="CX32" s="4" t="s">
        <v>94</v>
      </c>
      <c r="CY32" s="4" t="s">
        <v>1542</v>
      </c>
      <c r="CZ32" s="4" t="s">
        <v>1134</v>
      </c>
      <c r="DC32" s="4" t="s">
        <v>76</v>
      </c>
      <c r="DD32" s="4" t="s">
        <v>441</v>
      </c>
      <c r="DE32" s="4" t="s">
        <v>1281</v>
      </c>
      <c r="DH32" s="4" t="s">
        <v>79</v>
      </c>
      <c r="DI32" s="4" t="s">
        <v>360</v>
      </c>
      <c r="DJ32" s="4" t="s">
        <v>632</v>
      </c>
      <c r="DM32" s="4" t="s">
        <v>81</v>
      </c>
      <c r="DN32" s="4" t="s">
        <v>441</v>
      </c>
      <c r="DO32" s="4" t="s">
        <v>632</v>
      </c>
      <c r="DR32" s="4" t="s">
        <v>79</v>
      </c>
      <c r="DS32" s="4" t="s">
        <v>497</v>
      </c>
      <c r="DT32" s="4" t="s">
        <v>1421</v>
      </c>
    </row>
    <row r="33" spans="2:124">
      <c r="B33" s="4" t="s">
        <v>81</v>
      </c>
      <c r="C33" s="4" t="s">
        <v>32</v>
      </c>
      <c r="D33" s="4" t="s">
        <v>30</v>
      </c>
      <c r="G33" s="4" t="s">
        <v>81</v>
      </c>
      <c r="H33" s="4" t="s">
        <v>289</v>
      </c>
      <c r="I33" s="4" t="s">
        <v>30</v>
      </c>
      <c r="L33" s="4" t="s">
        <v>64</v>
      </c>
      <c r="M33" s="4" t="s">
        <v>45</v>
      </c>
      <c r="N33" s="4" t="s">
        <v>324</v>
      </c>
      <c r="Q33" s="4" t="s">
        <v>64</v>
      </c>
      <c r="R33" s="4" t="s">
        <v>292</v>
      </c>
      <c r="S33" s="4" t="s">
        <v>324</v>
      </c>
      <c r="V33" s="4" t="s">
        <v>82</v>
      </c>
      <c r="W33" s="4" t="s">
        <v>378</v>
      </c>
      <c r="X33" s="4" t="s">
        <v>379</v>
      </c>
      <c r="AA33" s="4" t="s">
        <v>64</v>
      </c>
      <c r="AB33" s="4" t="s">
        <v>360</v>
      </c>
      <c r="AC33" s="4" t="s">
        <v>30</v>
      </c>
      <c r="AF33" s="4" t="s">
        <v>81</v>
      </c>
      <c r="AG33" s="4" t="s">
        <v>377</v>
      </c>
      <c r="AH33" s="4" t="s">
        <v>30</v>
      </c>
      <c r="AK33" s="4" t="s">
        <v>81</v>
      </c>
      <c r="AL33" s="4" t="s">
        <v>441</v>
      </c>
      <c r="AM33" s="4" t="s">
        <v>30</v>
      </c>
      <c r="AP33" s="4" t="s">
        <v>64</v>
      </c>
      <c r="AQ33" s="4" t="s">
        <v>345</v>
      </c>
      <c r="AR33" s="4" t="s">
        <v>632</v>
      </c>
      <c r="AZ33" s="4" t="s">
        <v>64</v>
      </c>
      <c r="BA33" s="4" t="s">
        <v>345</v>
      </c>
      <c r="BB33" s="4" t="s">
        <v>732</v>
      </c>
      <c r="BE33" s="4" t="s">
        <v>75</v>
      </c>
      <c r="BF33" s="4" t="s">
        <v>345</v>
      </c>
      <c r="BG33" s="4" t="s">
        <v>632</v>
      </c>
      <c r="BJ33" s="11" t="s">
        <v>81</v>
      </c>
      <c r="BK33" s="11" t="s">
        <v>441</v>
      </c>
      <c r="BL33" s="11" t="s">
        <v>732</v>
      </c>
      <c r="BT33" s="4" t="s">
        <v>84</v>
      </c>
      <c r="BU33" s="4" t="s">
        <v>521</v>
      </c>
      <c r="BV33" s="4" t="s">
        <v>871</v>
      </c>
      <c r="BY33" s="4" t="s">
        <v>94</v>
      </c>
      <c r="BZ33" s="4" t="s">
        <v>441</v>
      </c>
      <c r="CA33" s="4" t="s">
        <v>643</v>
      </c>
      <c r="CD33" s="4" t="s">
        <v>81</v>
      </c>
      <c r="CE33" s="4" t="s">
        <v>446</v>
      </c>
      <c r="CF33" s="4" t="s">
        <v>30</v>
      </c>
      <c r="CI33" s="4" t="s">
        <v>217</v>
      </c>
      <c r="CJ33" s="4" t="s">
        <v>395</v>
      </c>
      <c r="CK33" s="4" t="s">
        <v>1062</v>
      </c>
      <c r="CN33" s="4" t="s">
        <v>217</v>
      </c>
      <c r="CO33" s="4" t="s">
        <v>395</v>
      </c>
      <c r="CP33" s="4" t="s">
        <v>1062</v>
      </c>
      <c r="CS33" s="4" t="s">
        <v>217</v>
      </c>
      <c r="CT33" s="4" t="s">
        <v>1075</v>
      </c>
      <c r="CU33" s="4" t="s">
        <v>1062</v>
      </c>
      <c r="CX33" s="4" t="s">
        <v>96</v>
      </c>
      <c r="CY33" s="4" t="s">
        <v>1543</v>
      </c>
      <c r="CZ33" s="4" t="s">
        <v>1136</v>
      </c>
      <c r="DC33" s="4" t="s">
        <v>79</v>
      </c>
      <c r="DD33" s="4" t="s">
        <v>441</v>
      </c>
      <c r="DE33" s="4" t="s">
        <v>1281</v>
      </c>
      <c r="DH33" s="4" t="s">
        <v>81</v>
      </c>
      <c r="DI33" s="4" t="s">
        <v>360</v>
      </c>
      <c r="DJ33" s="4" t="s">
        <v>632</v>
      </c>
      <c r="DM33" s="4" t="s">
        <v>82</v>
      </c>
      <c r="DN33" s="4" t="s">
        <v>345</v>
      </c>
      <c r="DO33" s="4" t="s">
        <v>638</v>
      </c>
      <c r="DR33" s="4" t="s">
        <v>81</v>
      </c>
      <c r="DS33" s="4" t="s">
        <v>377</v>
      </c>
      <c r="DT33" s="4" t="s">
        <v>1422</v>
      </c>
    </row>
    <row r="34" spans="2:124">
      <c r="B34" s="4" t="s">
        <v>82</v>
      </c>
      <c r="C34" s="4" t="s">
        <v>35</v>
      </c>
      <c r="D34" s="4" t="s">
        <v>83</v>
      </c>
      <c r="G34" s="4" t="s">
        <v>82</v>
      </c>
      <c r="H34" s="4" t="s">
        <v>290</v>
      </c>
      <c r="I34" s="4" t="s">
        <v>83</v>
      </c>
      <c r="L34" s="4" t="s">
        <v>66</v>
      </c>
      <c r="M34" s="4" t="s">
        <v>45</v>
      </c>
      <c r="N34" s="4" t="s">
        <v>67</v>
      </c>
      <c r="Q34" s="4" t="s">
        <v>66</v>
      </c>
      <c r="R34" s="4" t="s">
        <v>292</v>
      </c>
      <c r="S34" s="4" t="s">
        <v>67</v>
      </c>
      <c r="V34" s="4" t="s">
        <v>84</v>
      </c>
      <c r="W34" s="4" t="s">
        <v>1516</v>
      </c>
      <c r="X34" s="4" t="s">
        <v>85</v>
      </c>
      <c r="AA34" s="4" t="s">
        <v>66</v>
      </c>
      <c r="AB34" s="4" t="s">
        <v>360</v>
      </c>
      <c r="AC34" s="4" t="s">
        <v>30</v>
      </c>
      <c r="AF34" s="4" t="s">
        <v>82</v>
      </c>
      <c r="AG34" s="4" t="s">
        <v>499</v>
      </c>
      <c r="AH34" s="4" t="s">
        <v>500</v>
      </c>
      <c r="AK34" s="4" t="s">
        <v>82</v>
      </c>
      <c r="AL34" s="4" t="s">
        <v>441</v>
      </c>
      <c r="AM34" s="4" t="s">
        <v>30</v>
      </c>
      <c r="AP34" s="4" t="s">
        <v>66</v>
      </c>
      <c r="AQ34" s="4" t="s">
        <v>345</v>
      </c>
      <c r="AR34" s="4" t="s">
        <v>632</v>
      </c>
      <c r="AZ34" s="4" t="s">
        <v>66</v>
      </c>
      <c r="BA34" s="4" t="s">
        <v>345</v>
      </c>
      <c r="BB34" s="4" t="s">
        <v>732</v>
      </c>
      <c r="BE34" s="4" t="s">
        <v>76</v>
      </c>
      <c r="BF34" s="4" t="s">
        <v>298</v>
      </c>
      <c r="BG34" s="4" t="s">
        <v>783</v>
      </c>
      <c r="BJ34" s="11" t="s">
        <v>82</v>
      </c>
      <c r="BK34" s="11" t="s">
        <v>441</v>
      </c>
      <c r="BL34" s="11" t="s">
        <v>732</v>
      </c>
      <c r="BT34" s="4" t="s">
        <v>86</v>
      </c>
      <c r="BU34" s="4" t="s">
        <v>424</v>
      </c>
      <c r="BV34" s="4" t="s">
        <v>872</v>
      </c>
      <c r="BY34" s="4" t="s">
        <v>96</v>
      </c>
      <c r="BZ34" s="4" t="s">
        <v>445</v>
      </c>
      <c r="CA34" s="4" t="s">
        <v>644</v>
      </c>
      <c r="CD34" s="4" t="s">
        <v>82</v>
      </c>
      <c r="CE34" s="4" t="s">
        <v>446</v>
      </c>
      <c r="CF34" s="4" t="s">
        <v>30</v>
      </c>
      <c r="CI34" s="4" t="s">
        <v>241</v>
      </c>
      <c r="CJ34" s="4" t="s">
        <v>481</v>
      </c>
      <c r="CK34" s="4" t="s">
        <v>1063</v>
      </c>
      <c r="CN34" s="4" t="s">
        <v>241</v>
      </c>
      <c r="CO34" s="4" t="s">
        <v>481</v>
      </c>
      <c r="CP34" s="4" t="s">
        <v>1063</v>
      </c>
      <c r="CS34" s="4" t="s">
        <v>241</v>
      </c>
      <c r="CT34" s="4" t="s">
        <v>373</v>
      </c>
      <c r="CU34" s="4" t="s">
        <v>1063</v>
      </c>
      <c r="CX34" s="4" t="s">
        <v>99</v>
      </c>
      <c r="CY34" s="4" t="s">
        <v>1544</v>
      </c>
      <c r="CZ34" s="4" t="s">
        <v>1138</v>
      </c>
      <c r="DC34" s="4" t="s">
        <v>81</v>
      </c>
      <c r="DD34" s="4" t="s">
        <v>441</v>
      </c>
      <c r="DE34" s="4" t="s">
        <v>1281</v>
      </c>
      <c r="DH34" s="4" t="s">
        <v>82</v>
      </c>
      <c r="DI34" s="4" t="s">
        <v>360</v>
      </c>
      <c r="DJ34" s="4" t="s">
        <v>638</v>
      </c>
      <c r="DM34" s="4" t="s">
        <v>84</v>
      </c>
      <c r="DN34" s="4" t="s">
        <v>345</v>
      </c>
      <c r="DO34" s="4" t="s">
        <v>639</v>
      </c>
      <c r="DR34" s="4" t="s">
        <v>82</v>
      </c>
      <c r="DS34" s="4" t="s">
        <v>533</v>
      </c>
      <c r="DT34" s="4" t="s">
        <v>1423</v>
      </c>
    </row>
    <row r="35" spans="2:124">
      <c r="B35" s="4" t="s">
        <v>84</v>
      </c>
      <c r="C35" s="4" t="s">
        <v>77</v>
      </c>
      <c r="D35" s="4" t="s">
        <v>85</v>
      </c>
      <c r="G35" s="4" t="s">
        <v>84</v>
      </c>
      <c r="H35" s="4" t="s">
        <v>295</v>
      </c>
      <c r="I35" s="4" t="s">
        <v>85</v>
      </c>
      <c r="L35" s="4" t="s">
        <v>68</v>
      </c>
      <c r="M35" s="4" t="s">
        <v>24</v>
      </c>
      <c r="N35" s="4" t="s">
        <v>69</v>
      </c>
      <c r="Q35" s="4" t="s">
        <v>68</v>
      </c>
      <c r="R35" s="4" t="s">
        <v>286</v>
      </c>
      <c r="S35" s="4" t="s">
        <v>69</v>
      </c>
      <c r="V35" s="4" t="s">
        <v>86</v>
      </c>
      <c r="W35" s="4" t="s">
        <v>381</v>
      </c>
      <c r="X35" s="4" t="s">
        <v>87</v>
      </c>
      <c r="AA35" s="4" t="s">
        <v>68</v>
      </c>
      <c r="AB35" s="4" t="s">
        <v>298</v>
      </c>
      <c r="AC35" s="4" t="s">
        <v>447</v>
      </c>
      <c r="AF35" s="4" t="s">
        <v>84</v>
      </c>
      <c r="AG35" s="4" t="s">
        <v>1517</v>
      </c>
      <c r="AH35" s="4" t="s">
        <v>502</v>
      </c>
      <c r="AK35" s="4" t="s">
        <v>84</v>
      </c>
      <c r="AL35" s="4" t="s">
        <v>441</v>
      </c>
      <c r="AM35" s="4" t="s">
        <v>30</v>
      </c>
      <c r="AP35" s="4" t="s">
        <v>68</v>
      </c>
      <c r="AQ35" s="4" t="s">
        <v>360</v>
      </c>
      <c r="AR35" s="4" t="s">
        <v>637</v>
      </c>
      <c r="AZ35" s="4" t="s">
        <v>68</v>
      </c>
      <c r="BA35" s="4" t="s">
        <v>360</v>
      </c>
      <c r="BB35" s="4" t="s">
        <v>637</v>
      </c>
      <c r="BE35" s="4" t="s">
        <v>79</v>
      </c>
      <c r="BF35" s="4" t="s">
        <v>345</v>
      </c>
      <c r="BG35" s="4" t="s">
        <v>632</v>
      </c>
      <c r="BJ35" s="11" t="s">
        <v>84</v>
      </c>
      <c r="BK35" s="11" t="s">
        <v>441</v>
      </c>
      <c r="BL35" s="11" t="s">
        <v>732</v>
      </c>
      <c r="BT35" s="4" t="s">
        <v>89</v>
      </c>
      <c r="BU35" s="4" t="s">
        <v>873</v>
      </c>
      <c r="BV35" s="4" t="s">
        <v>874</v>
      </c>
      <c r="BY35" s="4" t="s">
        <v>99</v>
      </c>
      <c r="BZ35" s="4" t="s">
        <v>441</v>
      </c>
      <c r="CA35" s="4" t="s">
        <v>645</v>
      </c>
      <c r="CD35" s="4" t="s">
        <v>84</v>
      </c>
      <c r="CE35" s="4" t="s">
        <v>444</v>
      </c>
      <c r="CF35" s="4" t="s">
        <v>977</v>
      </c>
      <c r="CI35" s="4" t="s">
        <v>243</v>
      </c>
      <c r="CJ35" s="4" t="s">
        <v>298</v>
      </c>
      <c r="CK35" s="4" t="s">
        <v>1064</v>
      </c>
      <c r="CN35" s="4" t="s">
        <v>243</v>
      </c>
      <c r="CO35" s="4" t="s">
        <v>298</v>
      </c>
      <c r="CP35" s="4" t="s">
        <v>1064</v>
      </c>
      <c r="CS35" s="4" t="s">
        <v>243</v>
      </c>
      <c r="CT35" s="4" t="s">
        <v>55</v>
      </c>
      <c r="CU35" s="4" t="s">
        <v>1064</v>
      </c>
      <c r="CX35" s="4" t="s">
        <v>101</v>
      </c>
      <c r="CY35" s="4" t="s">
        <v>1545</v>
      </c>
      <c r="CZ35" s="4" t="s">
        <v>1140</v>
      </c>
      <c r="DC35" s="4" t="s">
        <v>82</v>
      </c>
      <c r="DD35" s="4" t="s">
        <v>441</v>
      </c>
      <c r="DE35" s="4" t="s">
        <v>1281</v>
      </c>
      <c r="DH35" s="4" t="s">
        <v>84</v>
      </c>
      <c r="DI35" s="4" t="s">
        <v>345</v>
      </c>
      <c r="DJ35" s="4" t="s">
        <v>639</v>
      </c>
      <c r="DM35" s="4" t="s">
        <v>86</v>
      </c>
      <c r="DN35" s="4" t="s">
        <v>345</v>
      </c>
      <c r="DO35" s="4" t="s">
        <v>640</v>
      </c>
      <c r="DR35" s="4" t="s">
        <v>84</v>
      </c>
      <c r="DS35" s="4" t="s">
        <v>1517</v>
      </c>
      <c r="DT35" s="4" t="s">
        <v>1424</v>
      </c>
    </row>
    <row r="36" spans="2:124">
      <c r="B36" s="4" t="s">
        <v>86</v>
      </c>
      <c r="C36" s="4" t="s">
        <v>77</v>
      </c>
      <c r="D36" s="4" t="s">
        <v>87</v>
      </c>
      <c r="G36" s="4" t="s">
        <v>86</v>
      </c>
      <c r="H36" s="4" t="s">
        <v>295</v>
      </c>
      <c r="I36" s="4" t="s">
        <v>87</v>
      </c>
      <c r="L36" s="4" t="s">
        <v>70</v>
      </c>
      <c r="M36" s="4" t="s">
        <v>45</v>
      </c>
      <c r="N36" s="4" t="s">
        <v>71</v>
      </c>
      <c r="Q36" s="4" t="s">
        <v>70</v>
      </c>
      <c r="R36" s="4" t="s">
        <v>292</v>
      </c>
      <c r="S36" s="4" t="s">
        <v>71</v>
      </c>
      <c r="V36" s="4" t="s">
        <v>89</v>
      </c>
      <c r="W36" s="4" t="s">
        <v>382</v>
      </c>
      <c r="X36" s="4" t="s">
        <v>30</v>
      </c>
      <c r="AA36" s="4" t="s">
        <v>70</v>
      </c>
      <c r="AB36" s="4" t="s">
        <v>360</v>
      </c>
      <c r="AC36" s="4" t="s">
        <v>30</v>
      </c>
      <c r="AF36" s="4" t="s">
        <v>86</v>
      </c>
      <c r="AG36" s="4" t="s">
        <v>503</v>
      </c>
      <c r="AH36" s="4" t="s">
        <v>504</v>
      </c>
      <c r="AK36" s="4" t="s">
        <v>86</v>
      </c>
      <c r="AL36" s="4" t="s">
        <v>441</v>
      </c>
      <c r="AM36" s="4" t="s">
        <v>30</v>
      </c>
      <c r="AP36" s="4" t="s">
        <v>70</v>
      </c>
      <c r="AQ36" s="4" t="s">
        <v>345</v>
      </c>
      <c r="AR36" s="4" t="s">
        <v>632</v>
      </c>
      <c r="AZ36" s="4" t="s">
        <v>70</v>
      </c>
      <c r="BA36" s="4" t="s">
        <v>345</v>
      </c>
      <c r="BB36" s="4" t="s">
        <v>732</v>
      </c>
      <c r="BE36" s="4" t="s">
        <v>81</v>
      </c>
      <c r="BF36" s="4" t="s">
        <v>345</v>
      </c>
      <c r="BG36" s="4" t="s">
        <v>632</v>
      </c>
      <c r="BJ36" s="11" t="s">
        <v>86</v>
      </c>
      <c r="BK36" s="11" t="s">
        <v>441</v>
      </c>
      <c r="BL36" s="11" t="s">
        <v>732</v>
      </c>
      <c r="BT36" s="4" t="s">
        <v>91</v>
      </c>
      <c r="BU36" s="4" t="s">
        <v>436</v>
      </c>
      <c r="BV36" s="4" t="s">
        <v>875</v>
      </c>
      <c r="BY36" s="4" t="s">
        <v>101</v>
      </c>
      <c r="BZ36" s="4" t="s">
        <v>441</v>
      </c>
      <c r="CA36" s="4" t="s">
        <v>646</v>
      </c>
      <c r="CD36" s="4" t="s">
        <v>86</v>
      </c>
      <c r="CE36" s="4" t="s">
        <v>444</v>
      </c>
      <c r="CF36" s="4" t="s">
        <v>30</v>
      </c>
      <c r="CI36" s="4" t="s">
        <v>245</v>
      </c>
      <c r="CJ36" s="4" t="s">
        <v>497</v>
      </c>
      <c r="CK36" s="4" t="s">
        <v>1065</v>
      </c>
      <c r="CN36" s="4" t="s">
        <v>245</v>
      </c>
      <c r="CO36" s="4" t="s">
        <v>497</v>
      </c>
      <c r="CP36" s="4" t="s">
        <v>1065</v>
      </c>
      <c r="CS36" s="4" t="s">
        <v>245</v>
      </c>
      <c r="CT36" s="4" t="s">
        <v>1076</v>
      </c>
      <c r="CU36" s="4" t="s">
        <v>1065</v>
      </c>
      <c r="CX36" s="4" t="s">
        <v>105</v>
      </c>
      <c r="CY36" s="4" t="s">
        <v>1546</v>
      </c>
      <c r="CZ36" s="4" t="s">
        <v>1142</v>
      </c>
      <c r="DC36" s="4" t="s">
        <v>84</v>
      </c>
      <c r="DD36" s="4" t="s">
        <v>441</v>
      </c>
      <c r="DE36" s="4" t="s">
        <v>1281</v>
      </c>
      <c r="DH36" s="4" t="s">
        <v>86</v>
      </c>
      <c r="DI36" s="4" t="s">
        <v>444</v>
      </c>
      <c r="DJ36" s="4" t="s">
        <v>1335</v>
      </c>
      <c r="DM36" s="4" t="s">
        <v>89</v>
      </c>
      <c r="DN36" s="4" t="s">
        <v>298</v>
      </c>
      <c r="DO36" s="4" t="s">
        <v>641</v>
      </c>
      <c r="DR36" s="4" t="s">
        <v>86</v>
      </c>
      <c r="DS36" s="4" t="s">
        <v>1425</v>
      </c>
      <c r="DT36" s="4" t="s">
        <v>1426</v>
      </c>
    </row>
    <row r="37" spans="2:124">
      <c r="B37" s="4" t="s">
        <v>88</v>
      </c>
      <c r="C37" s="4" t="s">
        <v>32</v>
      </c>
      <c r="D37" s="4" t="s">
        <v>30</v>
      </c>
      <c r="G37" s="4" t="s">
        <v>88</v>
      </c>
      <c r="H37" s="4" t="s">
        <v>289</v>
      </c>
      <c r="I37" s="4" t="s">
        <v>30</v>
      </c>
      <c r="L37" s="4" t="s">
        <v>72</v>
      </c>
      <c r="M37" s="4" t="s">
        <v>32</v>
      </c>
      <c r="N37" s="4" t="s">
        <v>30</v>
      </c>
      <c r="Q37" s="4" t="s">
        <v>72</v>
      </c>
      <c r="R37" s="4" t="s">
        <v>289</v>
      </c>
      <c r="S37" s="4" t="s">
        <v>30</v>
      </c>
      <c r="V37" s="4" t="s">
        <v>91</v>
      </c>
      <c r="W37" s="4" t="s">
        <v>383</v>
      </c>
      <c r="X37" s="4" t="s">
        <v>384</v>
      </c>
      <c r="AA37" s="4" t="s">
        <v>72</v>
      </c>
      <c r="AB37" s="4" t="s">
        <v>446</v>
      </c>
      <c r="AC37" s="4" t="s">
        <v>448</v>
      </c>
      <c r="AF37" s="4" t="s">
        <v>89</v>
      </c>
      <c r="AG37" s="4" t="s">
        <v>382</v>
      </c>
      <c r="AH37" s="4" t="s">
        <v>30</v>
      </c>
      <c r="AK37" s="4" t="s">
        <v>88</v>
      </c>
      <c r="AL37" s="4" t="s">
        <v>441</v>
      </c>
      <c r="AM37" s="4" t="s">
        <v>30</v>
      </c>
      <c r="AP37" s="4" t="s">
        <v>72</v>
      </c>
      <c r="AQ37" s="4" t="s">
        <v>346</v>
      </c>
      <c r="AR37" s="4" t="s">
        <v>632</v>
      </c>
      <c r="AZ37" s="4" t="s">
        <v>72</v>
      </c>
      <c r="BA37" s="4" t="s">
        <v>345</v>
      </c>
      <c r="BB37" s="4" t="s">
        <v>732</v>
      </c>
      <c r="BE37" s="4" t="s">
        <v>82</v>
      </c>
      <c r="BF37" s="4" t="s">
        <v>346</v>
      </c>
      <c r="BG37" s="4" t="s">
        <v>638</v>
      </c>
      <c r="BJ37" s="11" t="s">
        <v>88</v>
      </c>
      <c r="BK37" s="11" t="s">
        <v>441</v>
      </c>
      <c r="BL37" s="11" t="s">
        <v>732</v>
      </c>
      <c r="BT37" s="4" t="s">
        <v>93</v>
      </c>
      <c r="BU37" s="4" t="s">
        <v>472</v>
      </c>
      <c r="BV37" s="4" t="s">
        <v>876</v>
      </c>
      <c r="BY37" s="4" t="s">
        <v>105</v>
      </c>
      <c r="BZ37" s="4" t="s">
        <v>441</v>
      </c>
      <c r="CA37" s="4" t="s">
        <v>647</v>
      </c>
      <c r="CD37" s="4" t="s">
        <v>88</v>
      </c>
      <c r="CE37" s="4" t="s">
        <v>434</v>
      </c>
      <c r="CF37" s="4" t="s">
        <v>30</v>
      </c>
      <c r="CI37" s="4" t="s">
        <v>249</v>
      </c>
      <c r="CJ37" s="4" t="s">
        <v>360</v>
      </c>
      <c r="CK37" s="4" t="s">
        <v>1066</v>
      </c>
      <c r="CN37" s="4" t="s">
        <v>249</v>
      </c>
      <c r="CO37" s="4" t="s">
        <v>360</v>
      </c>
      <c r="CP37" s="4" t="s">
        <v>1066</v>
      </c>
      <c r="CS37" s="4" t="s">
        <v>249</v>
      </c>
      <c r="CT37" s="4" t="s">
        <v>555</v>
      </c>
      <c r="CU37" s="4" t="s">
        <v>1066</v>
      </c>
      <c r="CX37" s="4" t="s">
        <v>107</v>
      </c>
      <c r="CY37" s="4" t="s">
        <v>1547</v>
      </c>
      <c r="CZ37" s="4" t="s">
        <v>1144</v>
      </c>
      <c r="DC37" s="4" t="s">
        <v>86</v>
      </c>
      <c r="DD37" s="4" t="s">
        <v>441</v>
      </c>
      <c r="DE37" s="4" t="s">
        <v>1281</v>
      </c>
      <c r="DH37" s="4" t="s">
        <v>89</v>
      </c>
      <c r="DI37" s="4" t="s">
        <v>293</v>
      </c>
      <c r="DJ37" s="4" t="s">
        <v>1336</v>
      </c>
      <c r="DM37" s="4" t="s">
        <v>91</v>
      </c>
      <c r="DN37" s="4" t="s">
        <v>360</v>
      </c>
      <c r="DO37" s="4" t="s">
        <v>642</v>
      </c>
      <c r="DR37" s="4" t="s">
        <v>89</v>
      </c>
      <c r="DS37" s="4" t="s">
        <v>382</v>
      </c>
      <c r="DT37" s="4" t="s">
        <v>1427</v>
      </c>
    </row>
    <row r="38" spans="2:124">
      <c r="B38" s="4" t="s">
        <v>89</v>
      </c>
      <c r="C38" s="4" t="s">
        <v>90</v>
      </c>
      <c r="D38" s="4" t="s">
        <v>30</v>
      </c>
      <c r="G38" s="4" t="s">
        <v>89</v>
      </c>
      <c r="H38" s="4" t="s">
        <v>296</v>
      </c>
      <c r="I38" s="4" t="s">
        <v>30</v>
      </c>
      <c r="L38" s="4" t="s">
        <v>73</v>
      </c>
      <c r="M38" s="4" t="s">
        <v>35</v>
      </c>
      <c r="N38" s="4" t="s">
        <v>74</v>
      </c>
      <c r="Q38" s="4" t="s">
        <v>73</v>
      </c>
      <c r="R38" s="4" t="s">
        <v>290</v>
      </c>
      <c r="S38" s="4" t="s">
        <v>74</v>
      </c>
      <c r="V38" s="4" t="s">
        <v>93</v>
      </c>
      <c r="W38" s="4" t="s">
        <v>385</v>
      </c>
      <c r="X38" s="4" t="s">
        <v>386</v>
      </c>
      <c r="AA38" s="4" t="s">
        <v>73</v>
      </c>
      <c r="AB38" s="4" t="s">
        <v>434</v>
      </c>
      <c r="AC38" s="4" t="s">
        <v>30</v>
      </c>
      <c r="AF38" s="4" t="s">
        <v>91</v>
      </c>
      <c r="AG38" s="4" t="s">
        <v>424</v>
      </c>
      <c r="AH38" s="4" t="s">
        <v>505</v>
      </c>
      <c r="AK38" s="4" t="s">
        <v>89</v>
      </c>
      <c r="AL38" s="4" t="s">
        <v>441</v>
      </c>
      <c r="AM38" s="4" t="s">
        <v>30</v>
      </c>
      <c r="AP38" s="4" t="s">
        <v>73</v>
      </c>
      <c r="AQ38" s="4" t="s">
        <v>360</v>
      </c>
      <c r="AR38" s="4" t="s">
        <v>632</v>
      </c>
      <c r="AZ38" s="4" t="s">
        <v>73</v>
      </c>
      <c r="BA38" s="4" t="s">
        <v>346</v>
      </c>
      <c r="BB38" s="4" t="s">
        <v>732</v>
      </c>
      <c r="BE38" s="4" t="s">
        <v>84</v>
      </c>
      <c r="BF38" s="4" t="s">
        <v>346</v>
      </c>
      <c r="BG38" s="4" t="s">
        <v>639</v>
      </c>
      <c r="BJ38" s="11" t="s">
        <v>89</v>
      </c>
      <c r="BK38" s="11" t="s">
        <v>441</v>
      </c>
      <c r="BL38" s="11" t="s">
        <v>732</v>
      </c>
      <c r="BT38" s="4" t="s">
        <v>94</v>
      </c>
      <c r="BU38" s="4" t="s">
        <v>877</v>
      </c>
      <c r="BV38" s="4" t="s">
        <v>878</v>
      </c>
      <c r="BY38" s="4" t="s">
        <v>107</v>
      </c>
      <c r="BZ38" s="4" t="s">
        <v>441</v>
      </c>
      <c r="CA38" s="4" t="s">
        <v>647</v>
      </c>
      <c r="CD38" s="4" t="s">
        <v>89</v>
      </c>
      <c r="CE38" s="4" t="s">
        <v>361</v>
      </c>
      <c r="CF38" s="4" t="s">
        <v>30</v>
      </c>
      <c r="CI38" s="4" t="s">
        <v>336</v>
      </c>
      <c r="CJ38" s="4" t="s">
        <v>585</v>
      </c>
      <c r="CK38" s="4" t="s">
        <v>632</v>
      </c>
      <c r="CN38" s="4" t="s">
        <v>336</v>
      </c>
      <c r="CO38" s="4" t="s">
        <v>585</v>
      </c>
      <c r="CP38" s="4" t="s">
        <v>632</v>
      </c>
      <c r="CS38" s="4" t="s">
        <v>336</v>
      </c>
      <c r="CT38" s="4" t="s">
        <v>1077</v>
      </c>
      <c r="CU38" s="4" t="s">
        <v>632</v>
      </c>
      <c r="CX38" s="4" t="s">
        <v>108</v>
      </c>
      <c r="CY38" s="4" t="s">
        <v>1548</v>
      </c>
      <c r="CZ38" s="4" t="s">
        <v>1146</v>
      </c>
      <c r="DC38" s="4" t="s">
        <v>88</v>
      </c>
      <c r="DD38" s="4" t="s">
        <v>441</v>
      </c>
      <c r="DE38" s="4" t="s">
        <v>1281</v>
      </c>
      <c r="DH38" s="4" t="s">
        <v>91</v>
      </c>
      <c r="DI38" s="4" t="s">
        <v>360</v>
      </c>
      <c r="DJ38" s="4" t="s">
        <v>642</v>
      </c>
      <c r="DM38" s="4" t="s">
        <v>93</v>
      </c>
      <c r="DN38" s="4" t="s">
        <v>346</v>
      </c>
      <c r="DO38" s="4" t="s">
        <v>642</v>
      </c>
      <c r="DR38" s="4" t="s">
        <v>91</v>
      </c>
      <c r="DS38" s="4" t="s">
        <v>424</v>
      </c>
      <c r="DT38" s="4" t="s">
        <v>1428</v>
      </c>
    </row>
    <row r="39" spans="2:124">
      <c r="B39" s="4" t="s">
        <v>91</v>
      </c>
      <c r="C39" s="4" t="s">
        <v>29</v>
      </c>
      <c r="D39" s="4" t="s">
        <v>92</v>
      </c>
      <c r="G39" s="4" t="s">
        <v>91</v>
      </c>
      <c r="H39" s="4" t="s">
        <v>288</v>
      </c>
      <c r="I39" s="4" t="s">
        <v>92</v>
      </c>
      <c r="L39" s="4" t="s">
        <v>75</v>
      </c>
      <c r="M39" s="4" t="s">
        <v>32</v>
      </c>
      <c r="N39" s="4" t="s">
        <v>30</v>
      </c>
      <c r="Q39" s="4" t="s">
        <v>75</v>
      </c>
      <c r="R39" s="4" t="s">
        <v>289</v>
      </c>
      <c r="S39" s="4" t="s">
        <v>30</v>
      </c>
      <c r="V39" s="4" t="s">
        <v>94</v>
      </c>
      <c r="W39" s="4" t="s">
        <v>387</v>
      </c>
      <c r="X39" s="4" t="s">
        <v>388</v>
      </c>
      <c r="AA39" s="4" t="s">
        <v>75</v>
      </c>
      <c r="AB39" s="4" t="s">
        <v>360</v>
      </c>
      <c r="AC39" s="4" t="s">
        <v>30</v>
      </c>
      <c r="AF39" s="4" t="s">
        <v>93</v>
      </c>
      <c r="AG39" s="4" t="s">
        <v>32</v>
      </c>
      <c r="AH39" s="4" t="s">
        <v>506</v>
      </c>
      <c r="AK39" s="4" t="s">
        <v>91</v>
      </c>
      <c r="AL39" s="4" t="s">
        <v>441</v>
      </c>
      <c r="AM39" s="4" t="s">
        <v>30</v>
      </c>
      <c r="AP39" s="4" t="s">
        <v>75</v>
      </c>
      <c r="AQ39" s="4" t="s">
        <v>345</v>
      </c>
      <c r="AR39" s="4" t="s">
        <v>632</v>
      </c>
      <c r="AZ39" s="4" t="s">
        <v>75</v>
      </c>
      <c r="BA39" s="4" t="s">
        <v>345</v>
      </c>
      <c r="BB39" s="4" t="s">
        <v>732</v>
      </c>
      <c r="BE39" s="4" t="s">
        <v>86</v>
      </c>
      <c r="BF39" s="4" t="s">
        <v>346</v>
      </c>
      <c r="BG39" s="4" t="s">
        <v>640</v>
      </c>
      <c r="BJ39" s="11" t="s">
        <v>91</v>
      </c>
      <c r="BK39" s="11" t="s">
        <v>441</v>
      </c>
      <c r="BL39" s="11" t="s">
        <v>732</v>
      </c>
      <c r="BT39" s="4" t="s">
        <v>96</v>
      </c>
      <c r="BU39" s="4" t="s">
        <v>879</v>
      </c>
      <c r="BV39" s="4" t="s">
        <v>880</v>
      </c>
      <c r="BY39" s="4" t="s">
        <v>108</v>
      </c>
      <c r="BZ39" s="4" t="s">
        <v>441</v>
      </c>
      <c r="CA39" s="4" t="s">
        <v>647</v>
      </c>
      <c r="CD39" s="4" t="s">
        <v>91</v>
      </c>
      <c r="CE39" s="4" t="s">
        <v>104</v>
      </c>
      <c r="CF39" s="4" t="s">
        <v>978</v>
      </c>
      <c r="CI39" s="4" t="s">
        <v>337</v>
      </c>
      <c r="CJ39" s="4" t="s">
        <v>603</v>
      </c>
      <c r="CK39" s="4" t="s">
        <v>632</v>
      </c>
      <c r="CN39" s="4" t="s">
        <v>337</v>
      </c>
      <c r="CO39" s="4" t="s">
        <v>603</v>
      </c>
      <c r="CP39" s="4" t="s">
        <v>632</v>
      </c>
      <c r="CS39" s="4" t="s">
        <v>337</v>
      </c>
      <c r="CT39" s="4" t="s">
        <v>290</v>
      </c>
      <c r="CU39" s="4" t="s">
        <v>632</v>
      </c>
      <c r="CX39" s="4" t="s">
        <v>109</v>
      </c>
      <c r="CY39" s="4" t="s">
        <v>1549</v>
      </c>
      <c r="CZ39" s="4" t="s">
        <v>1148</v>
      </c>
      <c r="DC39" s="4" t="s">
        <v>89</v>
      </c>
      <c r="DD39" s="4" t="s">
        <v>441</v>
      </c>
      <c r="DE39" s="4" t="s">
        <v>1281</v>
      </c>
      <c r="DH39" s="4" t="s">
        <v>93</v>
      </c>
      <c r="DI39" s="4" t="s">
        <v>446</v>
      </c>
      <c r="DJ39" s="4" t="s">
        <v>642</v>
      </c>
      <c r="DM39" s="4" t="s">
        <v>94</v>
      </c>
      <c r="DN39" s="4" t="s">
        <v>441</v>
      </c>
      <c r="DO39" s="4" t="s">
        <v>643</v>
      </c>
      <c r="DR39" s="4" t="s">
        <v>93</v>
      </c>
      <c r="DS39" s="4" t="s">
        <v>32</v>
      </c>
      <c r="DT39" s="4" t="s">
        <v>1429</v>
      </c>
    </row>
    <row r="40" spans="2:124">
      <c r="B40" s="4" t="s">
        <v>93</v>
      </c>
      <c r="C40" s="4" t="s">
        <v>35</v>
      </c>
      <c r="D40" s="4" t="s">
        <v>92</v>
      </c>
      <c r="G40" s="4" t="s">
        <v>93</v>
      </c>
      <c r="H40" s="4" t="s">
        <v>290</v>
      </c>
      <c r="I40" s="4" t="s">
        <v>92</v>
      </c>
      <c r="L40" s="4" t="s">
        <v>76</v>
      </c>
      <c r="M40" s="4" t="s">
        <v>77</v>
      </c>
      <c r="N40" s="4" t="s">
        <v>78</v>
      </c>
      <c r="Q40" s="4" t="s">
        <v>76</v>
      </c>
      <c r="R40" s="4" t="s">
        <v>295</v>
      </c>
      <c r="S40" s="4" t="s">
        <v>78</v>
      </c>
      <c r="V40" s="4" t="s">
        <v>96</v>
      </c>
      <c r="W40" s="4" t="s">
        <v>389</v>
      </c>
      <c r="X40" s="4" t="s">
        <v>390</v>
      </c>
      <c r="AA40" s="4" t="s">
        <v>76</v>
      </c>
      <c r="AB40" s="4" t="s">
        <v>360</v>
      </c>
      <c r="AC40" s="4" t="s">
        <v>30</v>
      </c>
      <c r="AF40" s="4" t="s">
        <v>94</v>
      </c>
      <c r="AG40" s="4" t="s">
        <v>507</v>
      </c>
      <c r="AH40" s="4" t="s">
        <v>508</v>
      </c>
      <c r="AK40" s="4" t="s">
        <v>93</v>
      </c>
      <c r="AL40" s="4" t="s">
        <v>441</v>
      </c>
      <c r="AM40" s="4" t="s">
        <v>30</v>
      </c>
      <c r="AP40" s="4" t="s">
        <v>76</v>
      </c>
      <c r="AQ40" s="4" t="s">
        <v>345</v>
      </c>
      <c r="AR40" s="4" t="s">
        <v>632</v>
      </c>
      <c r="AZ40" s="4" t="s">
        <v>76</v>
      </c>
      <c r="BA40" s="4" t="s">
        <v>345</v>
      </c>
      <c r="BB40" s="4" t="s">
        <v>732</v>
      </c>
      <c r="BE40" s="4" t="s">
        <v>88</v>
      </c>
      <c r="BF40" s="4" t="s">
        <v>441</v>
      </c>
      <c r="BG40" s="4" t="s">
        <v>632</v>
      </c>
      <c r="BJ40" s="11" t="s">
        <v>93</v>
      </c>
      <c r="BK40" s="11" t="s">
        <v>441</v>
      </c>
      <c r="BL40" s="11" t="s">
        <v>794</v>
      </c>
      <c r="BT40" s="4" t="s">
        <v>99</v>
      </c>
      <c r="BU40" s="4" t="s">
        <v>881</v>
      </c>
      <c r="BV40" s="4" t="s">
        <v>882</v>
      </c>
      <c r="BY40" s="4" t="s">
        <v>109</v>
      </c>
      <c r="BZ40" s="4" t="s">
        <v>441</v>
      </c>
      <c r="CA40" s="4" t="s">
        <v>648</v>
      </c>
      <c r="CD40" s="4" t="s">
        <v>93</v>
      </c>
      <c r="CE40" s="4" t="s">
        <v>593</v>
      </c>
      <c r="CF40" s="4" t="s">
        <v>979</v>
      </c>
      <c r="CI40" s="4" t="s">
        <v>338</v>
      </c>
      <c r="CJ40" s="4" t="s">
        <v>424</v>
      </c>
      <c r="CK40" s="4" t="s">
        <v>632</v>
      </c>
      <c r="CN40" s="4" t="s">
        <v>338</v>
      </c>
      <c r="CO40" s="4" t="s">
        <v>424</v>
      </c>
      <c r="CP40" s="4" t="s">
        <v>632</v>
      </c>
      <c r="CS40" s="4" t="s">
        <v>338</v>
      </c>
      <c r="CT40" s="4" t="s">
        <v>1078</v>
      </c>
      <c r="CU40" s="4" t="s">
        <v>632</v>
      </c>
      <c r="CX40" s="4" t="s">
        <v>111</v>
      </c>
      <c r="CY40" s="4" t="s">
        <v>1550</v>
      </c>
      <c r="CZ40" s="4" t="s">
        <v>1150</v>
      </c>
      <c r="DC40" s="4" t="s">
        <v>91</v>
      </c>
      <c r="DD40" s="4" t="s">
        <v>441</v>
      </c>
      <c r="DE40" s="4" t="s">
        <v>1281</v>
      </c>
      <c r="DH40" s="4" t="s">
        <v>94</v>
      </c>
      <c r="DI40" s="4" t="s">
        <v>446</v>
      </c>
      <c r="DJ40" s="4" t="s">
        <v>1337</v>
      </c>
      <c r="DM40" s="4" t="s">
        <v>96</v>
      </c>
      <c r="DN40" s="4" t="s">
        <v>445</v>
      </c>
      <c r="DO40" s="4" t="s">
        <v>644</v>
      </c>
      <c r="DR40" s="4" t="s">
        <v>94</v>
      </c>
      <c r="DS40" s="4" t="s">
        <v>1430</v>
      </c>
      <c r="DT40" s="4" t="s">
        <v>1431</v>
      </c>
    </row>
    <row r="41" spans="2:124">
      <c r="B41" s="4" t="s">
        <v>94</v>
      </c>
      <c r="C41" s="4" t="s">
        <v>35</v>
      </c>
      <c r="D41" s="4" t="s">
        <v>95</v>
      </c>
      <c r="G41" s="4" t="s">
        <v>94</v>
      </c>
      <c r="H41" s="4" t="s">
        <v>290</v>
      </c>
      <c r="I41" s="4" t="s">
        <v>95</v>
      </c>
      <c r="L41" s="4" t="s">
        <v>79</v>
      </c>
      <c r="M41" s="4" t="s">
        <v>45</v>
      </c>
      <c r="N41" s="4" t="s">
        <v>80</v>
      </c>
      <c r="Q41" s="4" t="s">
        <v>79</v>
      </c>
      <c r="R41" s="4" t="s">
        <v>292</v>
      </c>
      <c r="S41" s="4" t="s">
        <v>80</v>
      </c>
      <c r="V41" s="4" t="s">
        <v>99</v>
      </c>
      <c r="W41" s="4" t="s">
        <v>391</v>
      </c>
      <c r="X41" s="4" t="s">
        <v>392</v>
      </c>
      <c r="AA41" s="4" t="s">
        <v>79</v>
      </c>
      <c r="AB41" s="4" t="s">
        <v>360</v>
      </c>
      <c r="AC41" s="4" t="s">
        <v>30</v>
      </c>
      <c r="AF41" s="4" t="s">
        <v>96</v>
      </c>
      <c r="AG41" s="4" t="s">
        <v>509</v>
      </c>
      <c r="AH41" s="4" t="s">
        <v>510</v>
      </c>
      <c r="AK41" s="4" t="s">
        <v>94</v>
      </c>
      <c r="AL41" s="4" t="s">
        <v>441</v>
      </c>
      <c r="AM41" s="4" t="s">
        <v>30</v>
      </c>
      <c r="AP41" s="4" t="s">
        <v>79</v>
      </c>
      <c r="AQ41" s="4" t="s">
        <v>345</v>
      </c>
      <c r="AR41" s="4" t="s">
        <v>632</v>
      </c>
      <c r="AZ41" s="4" t="s">
        <v>79</v>
      </c>
      <c r="BA41" s="4" t="s">
        <v>345</v>
      </c>
      <c r="BB41" s="4" t="s">
        <v>732</v>
      </c>
      <c r="BE41" s="4" t="s">
        <v>89</v>
      </c>
      <c r="BF41" s="4" t="s">
        <v>444</v>
      </c>
      <c r="BG41" s="4" t="s">
        <v>641</v>
      </c>
      <c r="BJ41" s="11" t="s">
        <v>94</v>
      </c>
      <c r="BK41" s="11" t="s">
        <v>441</v>
      </c>
      <c r="BL41" s="11" t="s">
        <v>733</v>
      </c>
      <c r="BT41" s="4" t="s">
        <v>101</v>
      </c>
      <c r="BU41" s="4" t="s">
        <v>555</v>
      </c>
      <c r="BV41" s="4" t="s">
        <v>883</v>
      </c>
      <c r="BY41" s="4" t="s">
        <v>111</v>
      </c>
      <c r="BZ41" s="4" t="s">
        <v>441</v>
      </c>
      <c r="CA41" s="4" t="s">
        <v>649</v>
      </c>
      <c r="CD41" s="4" t="s">
        <v>94</v>
      </c>
      <c r="CE41" s="4" t="s">
        <v>446</v>
      </c>
      <c r="CF41" s="4" t="s">
        <v>30</v>
      </c>
      <c r="CX41" s="4" t="s">
        <v>112</v>
      </c>
      <c r="CY41" s="4" t="s">
        <v>1151</v>
      </c>
      <c r="CZ41" s="4" t="s">
        <v>1152</v>
      </c>
      <c r="DC41" s="4" t="s">
        <v>93</v>
      </c>
      <c r="DD41" s="4" t="s">
        <v>441</v>
      </c>
      <c r="DE41" s="4" t="s">
        <v>1281</v>
      </c>
      <c r="DH41" s="4" t="s">
        <v>96</v>
      </c>
      <c r="DI41" s="4" t="s">
        <v>424</v>
      </c>
      <c r="DJ41" s="4" t="s">
        <v>1338</v>
      </c>
      <c r="DM41" s="4" t="s">
        <v>99</v>
      </c>
      <c r="DN41" s="4" t="s">
        <v>441</v>
      </c>
      <c r="DO41" s="4" t="s">
        <v>645</v>
      </c>
      <c r="DR41" s="4" t="s">
        <v>96</v>
      </c>
      <c r="DS41" s="4" t="s">
        <v>509</v>
      </c>
      <c r="DT41" s="4" t="s">
        <v>1432</v>
      </c>
    </row>
    <row r="42" spans="2:124">
      <c r="B42" s="4" t="s">
        <v>96</v>
      </c>
      <c r="C42" s="4" t="s">
        <v>97</v>
      </c>
      <c r="D42" s="4" t="s">
        <v>98</v>
      </c>
      <c r="G42" s="4" t="s">
        <v>96</v>
      </c>
      <c r="H42" s="4" t="s">
        <v>297</v>
      </c>
      <c r="I42" s="4" t="s">
        <v>98</v>
      </c>
      <c r="L42" s="4" t="s">
        <v>81</v>
      </c>
      <c r="M42" s="4" t="s">
        <v>32</v>
      </c>
      <c r="N42" s="4" t="s">
        <v>30</v>
      </c>
      <c r="Q42" s="4" t="s">
        <v>81</v>
      </c>
      <c r="R42" s="4" t="s">
        <v>289</v>
      </c>
      <c r="S42" s="4" t="s">
        <v>30</v>
      </c>
      <c r="V42" s="4" t="s">
        <v>101</v>
      </c>
      <c r="W42" s="4" t="s">
        <v>393</v>
      </c>
      <c r="X42" s="4" t="s">
        <v>394</v>
      </c>
      <c r="AA42" s="4" t="s">
        <v>81</v>
      </c>
      <c r="AB42" s="4" t="s">
        <v>360</v>
      </c>
      <c r="AC42" s="4" t="s">
        <v>30</v>
      </c>
      <c r="AF42" s="4" t="s">
        <v>99</v>
      </c>
      <c r="AG42" s="4" t="s">
        <v>511</v>
      </c>
      <c r="AH42" s="4" t="s">
        <v>512</v>
      </c>
      <c r="AK42" s="4" t="s">
        <v>96</v>
      </c>
      <c r="AL42" s="4" t="s">
        <v>441</v>
      </c>
      <c r="AM42" s="4" t="s">
        <v>30</v>
      </c>
      <c r="AP42" s="4" t="s">
        <v>81</v>
      </c>
      <c r="AQ42" s="4" t="s">
        <v>345</v>
      </c>
      <c r="AR42" s="4" t="s">
        <v>632</v>
      </c>
      <c r="AZ42" s="4" t="s">
        <v>81</v>
      </c>
      <c r="BA42" s="4" t="s">
        <v>345</v>
      </c>
      <c r="BB42" s="4" t="s">
        <v>732</v>
      </c>
      <c r="BE42" s="4" t="s">
        <v>91</v>
      </c>
      <c r="BF42" s="4" t="s">
        <v>346</v>
      </c>
      <c r="BG42" s="4" t="s">
        <v>642</v>
      </c>
      <c r="BJ42" s="11" t="s">
        <v>96</v>
      </c>
      <c r="BK42" s="11" t="s">
        <v>441</v>
      </c>
      <c r="BL42" s="11" t="s">
        <v>795</v>
      </c>
      <c r="BT42" s="4" t="s">
        <v>105</v>
      </c>
      <c r="BU42" s="4" t="s">
        <v>397</v>
      </c>
      <c r="BV42" s="4" t="s">
        <v>884</v>
      </c>
      <c r="BY42" s="4" t="s">
        <v>112</v>
      </c>
      <c r="BZ42" s="4" t="s">
        <v>441</v>
      </c>
      <c r="CA42" s="4" t="s">
        <v>650</v>
      </c>
      <c r="CD42" s="4" t="s">
        <v>96</v>
      </c>
      <c r="CE42" s="4" t="s">
        <v>77</v>
      </c>
      <c r="CF42" s="4" t="s">
        <v>30</v>
      </c>
      <c r="CX42" s="4" t="s">
        <v>114</v>
      </c>
      <c r="CY42" s="4" t="s">
        <v>1551</v>
      </c>
      <c r="CZ42" s="4" t="s">
        <v>1154</v>
      </c>
      <c r="DC42" s="4" t="s">
        <v>94</v>
      </c>
      <c r="DD42" s="4" t="s">
        <v>441</v>
      </c>
      <c r="DE42" s="4" t="s">
        <v>1281</v>
      </c>
      <c r="DH42" s="4" t="s">
        <v>99</v>
      </c>
      <c r="DI42" s="4" t="s">
        <v>441</v>
      </c>
      <c r="DJ42" s="4" t="s">
        <v>645</v>
      </c>
      <c r="DM42" s="4" t="s">
        <v>101</v>
      </c>
      <c r="DN42" s="4" t="s">
        <v>441</v>
      </c>
      <c r="DO42" s="4" t="s">
        <v>646</v>
      </c>
      <c r="DR42" s="4" t="s">
        <v>99</v>
      </c>
      <c r="DS42" s="4" t="s">
        <v>90</v>
      </c>
      <c r="DT42" s="4" t="s">
        <v>1433</v>
      </c>
    </row>
    <row r="43" spans="2:124">
      <c r="B43" s="4" t="s">
        <v>99</v>
      </c>
      <c r="C43" s="4" t="s">
        <v>35</v>
      </c>
      <c r="D43" s="4" t="s">
        <v>100</v>
      </c>
      <c r="G43" s="4" t="s">
        <v>99</v>
      </c>
      <c r="H43" s="4" t="s">
        <v>290</v>
      </c>
      <c r="I43" s="4" t="s">
        <v>100</v>
      </c>
      <c r="L43" s="4" t="s">
        <v>82</v>
      </c>
      <c r="M43" s="4" t="s">
        <v>35</v>
      </c>
      <c r="N43" s="4" t="s">
        <v>83</v>
      </c>
      <c r="Q43" s="4" t="s">
        <v>82</v>
      </c>
      <c r="R43" s="4" t="s">
        <v>290</v>
      </c>
      <c r="S43" s="4" t="s">
        <v>83</v>
      </c>
      <c r="V43" s="4" t="s">
        <v>105</v>
      </c>
      <c r="W43" s="4" t="s">
        <v>395</v>
      </c>
      <c r="X43" s="4" t="s">
        <v>106</v>
      </c>
      <c r="AA43" s="4" t="s">
        <v>82</v>
      </c>
      <c r="AB43" s="4" t="s">
        <v>446</v>
      </c>
      <c r="AC43" s="4" t="s">
        <v>83</v>
      </c>
      <c r="AF43" s="4" t="s">
        <v>101</v>
      </c>
      <c r="AG43" s="4" t="s">
        <v>513</v>
      </c>
      <c r="AH43" s="4" t="s">
        <v>514</v>
      </c>
      <c r="AK43" s="4" t="s">
        <v>99</v>
      </c>
      <c r="AL43" s="4" t="s">
        <v>441</v>
      </c>
      <c r="AM43" s="4" t="s">
        <v>30</v>
      </c>
      <c r="AP43" s="4" t="s">
        <v>82</v>
      </c>
      <c r="AQ43" s="4" t="s">
        <v>346</v>
      </c>
      <c r="AR43" s="4" t="s">
        <v>638</v>
      </c>
      <c r="AZ43" s="4" t="s">
        <v>82</v>
      </c>
      <c r="BA43" s="4" t="s">
        <v>346</v>
      </c>
      <c r="BB43" s="4" t="s">
        <v>638</v>
      </c>
      <c r="BE43" s="4" t="s">
        <v>93</v>
      </c>
      <c r="BF43" s="4" t="s">
        <v>345</v>
      </c>
      <c r="BG43" s="4" t="s">
        <v>642</v>
      </c>
      <c r="BJ43" s="11" t="s">
        <v>99</v>
      </c>
      <c r="BK43" s="11" t="s">
        <v>441</v>
      </c>
      <c r="BL43" s="11" t="s">
        <v>734</v>
      </c>
      <c r="BT43" s="4" t="s">
        <v>107</v>
      </c>
      <c r="BU43" s="4" t="s">
        <v>397</v>
      </c>
      <c r="BV43" s="4" t="s">
        <v>885</v>
      </c>
      <c r="BY43" s="4" t="s">
        <v>114</v>
      </c>
      <c r="BZ43" s="4" t="s">
        <v>441</v>
      </c>
      <c r="CA43" s="4" t="s">
        <v>651</v>
      </c>
      <c r="CD43" s="4" t="s">
        <v>99</v>
      </c>
      <c r="CE43" s="4" t="s">
        <v>444</v>
      </c>
      <c r="CF43" s="4" t="s">
        <v>30</v>
      </c>
      <c r="CX43" s="4" t="s">
        <v>116</v>
      </c>
      <c r="CY43" s="4" t="s">
        <v>1552</v>
      </c>
      <c r="CZ43" s="4" t="s">
        <v>1156</v>
      </c>
      <c r="DC43" s="4" t="s">
        <v>96</v>
      </c>
      <c r="DD43" s="4" t="s">
        <v>441</v>
      </c>
      <c r="DE43" s="4" t="s">
        <v>1281</v>
      </c>
      <c r="DH43" s="4" t="s">
        <v>101</v>
      </c>
      <c r="DI43" s="4" t="s">
        <v>360</v>
      </c>
      <c r="DJ43" s="4" t="s">
        <v>1339</v>
      </c>
      <c r="DM43" s="4" t="s">
        <v>105</v>
      </c>
      <c r="DN43" s="4" t="s">
        <v>441</v>
      </c>
      <c r="DO43" s="4" t="s">
        <v>647</v>
      </c>
      <c r="DR43" s="4" t="s">
        <v>101</v>
      </c>
      <c r="DS43" s="4" t="s">
        <v>513</v>
      </c>
      <c r="DT43" s="4" t="s">
        <v>1434</v>
      </c>
    </row>
    <row r="44" spans="2:124">
      <c r="B44" s="4" t="s">
        <v>101</v>
      </c>
      <c r="C44" s="4" t="s">
        <v>45</v>
      </c>
      <c r="D44" s="4" t="s">
        <v>102</v>
      </c>
      <c r="G44" s="4" t="s">
        <v>101</v>
      </c>
      <c r="H44" s="4" t="s">
        <v>292</v>
      </c>
      <c r="I44" s="4" t="s">
        <v>102</v>
      </c>
      <c r="L44" s="4" t="s">
        <v>84</v>
      </c>
      <c r="M44" s="4" t="s">
        <v>77</v>
      </c>
      <c r="N44" s="4" t="s">
        <v>85</v>
      </c>
      <c r="Q44" s="4" t="s">
        <v>84</v>
      </c>
      <c r="R44" s="4" t="s">
        <v>295</v>
      </c>
      <c r="S44" s="4" t="s">
        <v>85</v>
      </c>
      <c r="V44" s="4" t="s">
        <v>107</v>
      </c>
      <c r="W44" s="4" t="s">
        <v>55</v>
      </c>
      <c r="X44" s="4" t="s">
        <v>30</v>
      </c>
      <c r="AA44" s="4" t="s">
        <v>84</v>
      </c>
      <c r="AB44" s="4" t="s">
        <v>446</v>
      </c>
      <c r="AC44" s="4" t="s">
        <v>449</v>
      </c>
      <c r="AF44" s="4" t="s">
        <v>105</v>
      </c>
      <c r="AG44" s="4" t="s">
        <v>515</v>
      </c>
      <c r="AH44" s="4" t="s">
        <v>516</v>
      </c>
      <c r="AK44" s="4" t="s">
        <v>101</v>
      </c>
      <c r="AL44" s="4" t="s">
        <v>441</v>
      </c>
      <c r="AM44" s="4" t="s">
        <v>30</v>
      </c>
      <c r="AP44" s="4" t="s">
        <v>84</v>
      </c>
      <c r="AQ44" s="4" t="s">
        <v>446</v>
      </c>
      <c r="AR44" s="4" t="s">
        <v>639</v>
      </c>
      <c r="AZ44" s="4" t="s">
        <v>84</v>
      </c>
      <c r="BA44" s="4" t="s">
        <v>346</v>
      </c>
      <c r="BB44" s="4" t="s">
        <v>639</v>
      </c>
      <c r="BE44" s="4" t="s">
        <v>94</v>
      </c>
      <c r="BF44" s="4" t="s">
        <v>441</v>
      </c>
      <c r="BG44" s="4" t="s">
        <v>643</v>
      </c>
      <c r="BJ44" s="11" t="s">
        <v>101</v>
      </c>
      <c r="BK44" s="11" t="s">
        <v>441</v>
      </c>
      <c r="BL44" s="11" t="s">
        <v>735</v>
      </c>
      <c r="BT44" s="4" t="s">
        <v>108</v>
      </c>
      <c r="BU44" s="4" t="s">
        <v>438</v>
      </c>
      <c r="BV44" s="4" t="s">
        <v>886</v>
      </c>
      <c r="BY44" s="4" t="s">
        <v>116</v>
      </c>
      <c r="BZ44" s="4" t="s">
        <v>441</v>
      </c>
      <c r="CA44" s="4" t="s">
        <v>652</v>
      </c>
      <c r="CD44" s="4" t="s">
        <v>101</v>
      </c>
      <c r="CE44" s="4" t="s">
        <v>298</v>
      </c>
      <c r="CF44" s="4" t="s">
        <v>980</v>
      </c>
      <c r="CX44" s="4" t="s">
        <v>118</v>
      </c>
      <c r="CY44" s="4" t="s">
        <v>1553</v>
      </c>
      <c r="CZ44" s="4" t="s">
        <v>1554</v>
      </c>
      <c r="DC44" s="4" t="s">
        <v>99</v>
      </c>
      <c r="DD44" s="4" t="s">
        <v>441</v>
      </c>
      <c r="DE44" s="4" t="s">
        <v>1281</v>
      </c>
      <c r="DH44" s="4" t="s">
        <v>105</v>
      </c>
      <c r="DI44" s="4" t="s">
        <v>360</v>
      </c>
      <c r="DJ44" s="4" t="s">
        <v>1340</v>
      </c>
      <c r="DM44" s="4" t="s">
        <v>107</v>
      </c>
      <c r="DN44" s="4" t="s">
        <v>441</v>
      </c>
      <c r="DO44" s="4" t="s">
        <v>647</v>
      </c>
      <c r="DR44" s="4" t="s">
        <v>105</v>
      </c>
      <c r="DS44" s="4" t="s">
        <v>517</v>
      </c>
      <c r="DT44" s="4" t="s">
        <v>1435</v>
      </c>
    </row>
    <row r="45" spans="2:124">
      <c r="B45" s="4" t="s">
        <v>103</v>
      </c>
      <c r="C45" s="4" t="s">
        <v>104</v>
      </c>
      <c r="D45" s="4" t="s">
        <v>30</v>
      </c>
      <c r="G45" s="4" t="s">
        <v>103</v>
      </c>
      <c r="H45" s="4" t="s">
        <v>298</v>
      </c>
      <c r="I45" s="4" t="s">
        <v>30</v>
      </c>
      <c r="L45" s="4" t="s">
        <v>86</v>
      </c>
      <c r="M45" s="4" t="s">
        <v>77</v>
      </c>
      <c r="N45" s="4" t="s">
        <v>87</v>
      </c>
      <c r="Q45" s="4" t="s">
        <v>86</v>
      </c>
      <c r="R45" s="4" t="s">
        <v>295</v>
      </c>
      <c r="S45" s="4" t="s">
        <v>87</v>
      </c>
      <c r="V45" s="4" t="s">
        <v>108</v>
      </c>
      <c r="W45" s="4" t="s">
        <v>396</v>
      </c>
      <c r="X45" s="4" t="s">
        <v>30</v>
      </c>
      <c r="AA45" s="4" t="s">
        <v>86</v>
      </c>
      <c r="AB45" s="4" t="s">
        <v>434</v>
      </c>
      <c r="AC45" s="4" t="s">
        <v>30</v>
      </c>
      <c r="AF45" s="4" t="s">
        <v>107</v>
      </c>
      <c r="AG45" s="4" t="s">
        <v>517</v>
      </c>
      <c r="AH45" s="4" t="s">
        <v>518</v>
      </c>
      <c r="AK45" s="4" t="s">
        <v>103</v>
      </c>
      <c r="AL45" s="4" t="s">
        <v>441</v>
      </c>
      <c r="AM45" s="4" t="s">
        <v>30</v>
      </c>
      <c r="AP45" s="4" t="s">
        <v>86</v>
      </c>
      <c r="AQ45" s="4" t="s">
        <v>346</v>
      </c>
      <c r="AR45" s="4" t="s">
        <v>640</v>
      </c>
      <c r="AZ45" s="4" t="s">
        <v>86</v>
      </c>
      <c r="BA45" s="4" t="s">
        <v>346</v>
      </c>
      <c r="BB45" s="4" t="s">
        <v>640</v>
      </c>
      <c r="BE45" s="4" t="s">
        <v>96</v>
      </c>
      <c r="BF45" s="4" t="s">
        <v>445</v>
      </c>
      <c r="BG45" s="4" t="s">
        <v>644</v>
      </c>
      <c r="BJ45" s="11" t="s">
        <v>103</v>
      </c>
      <c r="BK45" s="11" t="s">
        <v>441</v>
      </c>
      <c r="BL45" s="11" t="s">
        <v>736</v>
      </c>
      <c r="BT45" s="4" t="s">
        <v>109</v>
      </c>
      <c r="BU45" s="4" t="s">
        <v>32</v>
      </c>
      <c r="BV45" s="4" t="s">
        <v>887</v>
      </c>
      <c r="BY45" s="4" t="s">
        <v>118</v>
      </c>
      <c r="BZ45" s="4" t="s">
        <v>444</v>
      </c>
      <c r="CA45" s="4" t="s">
        <v>653</v>
      </c>
      <c r="CD45" s="4" t="s">
        <v>103</v>
      </c>
      <c r="CE45" s="4" t="s">
        <v>441</v>
      </c>
      <c r="CF45" s="4" t="s">
        <v>30</v>
      </c>
      <c r="CX45" s="4" t="s">
        <v>126</v>
      </c>
      <c r="CY45" s="4" t="s">
        <v>1555</v>
      </c>
      <c r="CZ45" s="4" t="s">
        <v>1160</v>
      </c>
      <c r="DC45" s="4" t="s">
        <v>101</v>
      </c>
      <c r="DD45" s="4" t="s">
        <v>345</v>
      </c>
      <c r="DE45" s="4" t="s">
        <v>1284</v>
      </c>
      <c r="DH45" s="4" t="s">
        <v>107</v>
      </c>
      <c r="DI45" s="4" t="s">
        <v>446</v>
      </c>
      <c r="DJ45" s="4" t="s">
        <v>1341</v>
      </c>
      <c r="DM45" s="4" t="s">
        <v>108</v>
      </c>
      <c r="DN45" s="4" t="s">
        <v>441</v>
      </c>
      <c r="DO45" s="4" t="s">
        <v>647</v>
      </c>
      <c r="DR45" s="4" t="s">
        <v>107</v>
      </c>
      <c r="DS45" s="4" t="s">
        <v>517</v>
      </c>
      <c r="DT45" s="4" t="s">
        <v>1436</v>
      </c>
    </row>
    <row r="46" spans="2:124">
      <c r="B46" s="4" t="s">
        <v>105</v>
      </c>
      <c r="C46" s="4" t="s">
        <v>35</v>
      </c>
      <c r="D46" s="4" t="s">
        <v>106</v>
      </c>
      <c r="G46" s="4" t="s">
        <v>105</v>
      </c>
      <c r="H46" s="4" t="s">
        <v>290</v>
      </c>
      <c r="I46" s="4" t="s">
        <v>106</v>
      </c>
      <c r="L46" s="4" t="s">
        <v>88</v>
      </c>
      <c r="M46" s="4" t="s">
        <v>32</v>
      </c>
      <c r="N46" s="4" t="s">
        <v>30</v>
      </c>
      <c r="Q46" s="4" t="s">
        <v>88</v>
      </c>
      <c r="R46" s="4" t="s">
        <v>289</v>
      </c>
      <c r="S46" s="4" t="s">
        <v>30</v>
      </c>
      <c r="V46" s="4" t="s">
        <v>109</v>
      </c>
      <c r="W46" s="4" t="s">
        <v>385</v>
      </c>
      <c r="X46" s="4" t="s">
        <v>110</v>
      </c>
      <c r="AA46" s="4" t="s">
        <v>88</v>
      </c>
      <c r="AB46" s="4" t="s">
        <v>360</v>
      </c>
      <c r="AC46" s="4" t="s">
        <v>30</v>
      </c>
      <c r="AF46" s="4" t="s">
        <v>108</v>
      </c>
      <c r="AG46" s="4" t="s">
        <v>362</v>
      </c>
      <c r="AH46" s="4" t="s">
        <v>519</v>
      </c>
      <c r="AK46" s="4" t="s">
        <v>105</v>
      </c>
      <c r="AL46" s="4" t="s">
        <v>441</v>
      </c>
      <c r="AM46" s="4" t="s">
        <v>30</v>
      </c>
      <c r="AP46" s="4" t="s">
        <v>88</v>
      </c>
      <c r="AQ46" s="4" t="s">
        <v>441</v>
      </c>
      <c r="AR46" s="4" t="s">
        <v>632</v>
      </c>
      <c r="AZ46" s="4" t="s">
        <v>88</v>
      </c>
      <c r="BA46" s="4" t="s">
        <v>345</v>
      </c>
      <c r="BB46" s="4" t="s">
        <v>732</v>
      </c>
      <c r="BE46" s="4" t="s">
        <v>99</v>
      </c>
      <c r="BF46" s="4" t="s">
        <v>441</v>
      </c>
      <c r="BG46" s="4" t="s">
        <v>645</v>
      </c>
      <c r="BJ46" s="11" t="s">
        <v>105</v>
      </c>
      <c r="BK46" s="11" t="s">
        <v>441</v>
      </c>
      <c r="BL46" s="11" t="s">
        <v>737</v>
      </c>
      <c r="BT46" s="4" t="s">
        <v>111</v>
      </c>
      <c r="BU46" s="4" t="s">
        <v>444</v>
      </c>
      <c r="BV46" s="4" t="s">
        <v>888</v>
      </c>
      <c r="BY46" s="4" t="s">
        <v>121</v>
      </c>
      <c r="BZ46" s="4" t="s">
        <v>441</v>
      </c>
      <c r="CA46" s="4" t="s">
        <v>654</v>
      </c>
      <c r="CD46" s="4" t="s">
        <v>105</v>
      </c>
      <c r="CE46" s="4" t="s">
        <v>298</v>
      </c>
      <c r="CF46" s="4" t="s">
        <v>980</v>
      </c>
      <c r="CX46" s="4" t="s">
        <v>128</v>
      </c>
      <c r="CY46" s="4" t="s">
        <v>1556</v>
      </c>
      <c r="CZ46" s="4" t="s">
        <v>1162</v>
      </c>
      <c r="DC46" s="4" t="s">
        <v>105</v>
      </c>
      <c r="DD46" s="4" t="s">
        <v>345</v>
      </c>
      <c r="DE46" s="4" t="s">
        <v>1285</v>
      </c>
      <c r="DH46" s="4" t="s">
        <v>108</v>
      </c>
      <c r="DI46" s="4" t="s">
        <v>360</v>
      </c>
      <c r="DJ46" s="4" t="s">
        <v>1342</v>
      </c>
      <c r="DM46" s="4" t="s">
        <v>109</v>
      </c>
      <c r="DN46" s="4" t="s">
        <v>441</v>
      </c>
      <c r="DO46" s="4" t="s">
        <v>648</v>
      </c>
      <c r="DR46" s="4" t="s">
        <v>108</v>
      </c>
      <c r="DS46" s="4" t="s">
        <v>362</v>
      </c>
      <c r="DT46" s="4" t="s">
        <v>1437</v>
      </c>
    </row>
    <row r="47" spans="2:124">
      <c r="B47" s="4" t="s">
        <v>107</v>
      </c>
      <c r="C47" s="4" t="s">
        <v>32</v>
      </c>
      <c r="D47" s="4" t="s">
        <v>30</v>
      </c>
      <c r="G47" s="4" t="s">
        <v>107</v>
      </c>
      <c r="H47" s="4" t="s">
        <v>289</v>
      </c>
      <c r="I47" s="4" t="s">
        <v>30</v>
      </c>
      <c r="L47" s="4" t="s">
        <v>89</v>
      </c>
      <c r="M47" s="4" t="s">
        <v>90</v>
      </c>
      <c r="N47" s="4" t="s">
        <v>30</v>
      </c>
      <c r="Q47" s="4" t="s">
        <v>89</v>
      </c>
      <c r="R47" s="4" t="s">
        <v>296</v>
      </c>
      <c r="S47" s="4" t="s">
        <v>30</v>
      </c>
      <c r="V47" s="4" t="s">
        <v>111</v>
      </c>
      <c r="W47" s="4" t="s">
        <v>397</v>
      </c>
      <c r="X47" s="4" t="s">
        <v>30</v>
      </c>
      <c r="AA47" s="4" t="s">
        <v>89</v>
      </c>
      <c r="AB47" s="4" t="s">
        <v>436</v>
      </c>
      <c r="AC47" s="4" t="s">
        <v>30</v>
      </c>
      <c r="AF47" s="4" t="s">
        <v>109</v>
      </c>
      <c r="AG47" s="4" t="s">
        <v>513</v>
      </c>
      <c r="AH47" s="4" t="s">
        <v>110</v>
      </c>
      <c r="AK47" s="4" t="s">
        <v>107</v>
      </c>
      <c r="AL47" s="4" t="s">
        <v>441</v>
      </c>
      <c r="AM47" s="4" t="s">
        <v>30</v>
      </c>
      <c r="AP47" s="4" t="s">
        <v>89</v>
      </c>
      <c r="AQ47" s="4" t="s">
        <v>444</v>
      </c>
      <c r="AR47" s="4" t="s">
        <v>641</v>
      </c>
      <c r="AZ47" s="4" t="s">
        <v>89</v>
      </c>
      <c r="BA47" s="4" t="s">
        <v>444</v>
      </c>
      <c r="BB47" s="4" t="s">
        <v>641</v>
      </c>
      <c r="BE47" s="4" t="s">
        <v>101</v>
      </c>
      <c r="BF47" s="4" t="s">
        <v>441</v>
      </c>
      <c r="BG47" s="4" t="s">
        <v>646</v>
      </c>
      <c r="BJ47" s="11" t="s">
        <v>107</v>
      </c>
      <c r="BK47" s="11" t="s">
        <v>441</v>
      </c>
      <c r="BL47" s="11" t="s">
        <v>737</v>
      </c>
      <c r="BT47" s="4" t="s">
        <v>112</v>
      </c>
      <c r="BU47" s="4" t="s">
        <v>289</v>
      </c>
      <c r="BV47" s="4" t="s">
        <v>889</v>
      </c>
      <c r="BY47" s="4" t="s">
        <v>123</v>
      </c>
      <c r="BZ47" s="4" t="s">
        <v>441</v>
      </c>
      <c r="CA47" s="4" t="s">
        <v>654</v>
      </c>
      <c r="CD47" s="4" t="s">
        <v>107</v>
      </c>
      <c r="CE47" s="4" t="s">
        <v>298</v>
      </c>
      <c r="CF47" s="4" t="s">
        <v>974</v>
      </c>
      <c r="CX47" s="4" t="s">
        <v>130</v>
      </c>
      <c r="CY47" s="4" t="s">
        <v>1557</v>
      </c>
      <c r="CZ47" s="4" t="s">
        <v>1164</v>
      </c>
      <c r="DC47" s="4" t="s">
        <v>107</v>
      </c>
      <c r="DD47" s="4" t="s">
        <v>441</v>
      </c>
      <c r="DE47" s="4" t="s">
        <v>1281</v>
      </c>
      <c r="DH47" s="4" t="s">
        <v>109</v>
      </c>
      <c r="DI47" s="4" t="s">
        <v>345</v>
      </c>
      <c r="DJ47" s="4" t="s">
        <v>1343</v>
      </c>
      <c r="DM47" s="4" t="s">
        <v>111</v>
      </c>
      <c r="DN47" s="4" t="s">
        <v>441</v>
      </c>
      <c r="DO47" s="4" t="s">
        <v>649</v>
      </c>
      <c r="DR47" s="4" t="s">
        <v>109</v>
      </c>
      <c r="DS47" s="4" t="s">
        <v>513</v>
      </c>
      <c r="DT47" s="4" t="s">
        <v>110</v>
      </c>
    </row>
    <row r="48" spans="2:124">
      <c r="B48" s="4" t="s">
        <v>108</v>
      </c>
      <c r="C48" s="4" t="s">
        <v>32</v>
      </c>
      <c r="D48" s="4" t="s">
        <v>30</v>
      </c>
      <c r="G48" s="4" t="s">
        <v>108</v>
      </c>
      <c r="H48" s="4" t="s">
        <v>289</v>
      </c>
      <c r="I48" s="4" t="s">
        <v>30</v>
      </c>
      <c r="L48" s="4" t="s">
        <v>91</v>
      </c>
      <c r="M48" s="4" t="s">
        <v>29</v>
      </c>
      <c r="N48" s="4" t="s">
        <v>92</v>
      </c>
      <c r="Q48" s="4" t="s">
        <v>91</v>
      </c>
      <c r="R48" s="4" t="s">
        <v>288</v>
      </c>
      <c r="S48" s="4" t="s">
        <v>92</v>
      </c>
      <c r="V48" s="4" t="s">
        <v>112</v>
      </c>
      <c r="W48" s="4" t="s">
        <v>398</v>
      </c>
      <c r="X48" s="4" t="s">
        <v>399</v>
      </c>
      <c r="AA48" s="4" t="s">
        <v>91</v>
      </c>
      <c r="AB48" s="4" t="s">
        <v>446</v>
      </c>
      <c r="AC48" s="4" t="s">
        <v>92</v>
      </c>
      <c r="AF48" s="4" t="s">
        <v>111</v>
      </c>
      <c r="AG48" s="4" t="s">
        <v>445</v>
      </c>
      <c r="AH48" s="4" t="s">
        <v>520</v>
      </c>
      <c r="AK48" s="4" t="s">
        <v>108</v>
      </c>
      <c r="AL48" s="4" t="s">
        <v>441</v>
      </c>
      <c r="AM48" s="4" t="s">
        <v>30</v>
      </c>
      <c r="AP48" s="4" t="s">
        <v>91</v>
      </c>
      <c r="AQ48" s="4" t="s">
        <v>446</v>
      </c>
      <c r="AR48" s="4" t="s">
        <v>642</v>
      </c>
      <c r="AZ48" s="4" t="s">
        <v>91</v>
      </c>
      <c r="BA48" s="4" t="s">
        <v>346</v>
      </c>
      <c r="BB48" s="4" t="s">
        <v>642</v>
      </c>
      <c r="BE48" s="4" t="s">
        <v>105</v>
      </c>
      <c r="BF48" s="4" t="s">
        <v>441</v>
      </c>
      <c r="BG48" s="4" t="s">
        <v>647</v>
      </c>
      <c r="BJ48" s="11" t="s">
        <v>108</v>
      </c>
      <c r="BK48" s="11" t="s">
        <v>441</v>
      </c>
      <c r="BL48" s="11" t="s">
        <v>737</v>
      </c>
      <c r="BT48" s="4" t="s">
        <v>114</v>
      </c>
      <c r="BU48" s="4" t="s">
        <v>319</v>
      </c>
      <c r="BV48" s="4" t="s">
        <v>890</v>
      </c>
      <c r="BY48" s="4" t="s">
        <v>124</v>
      </c>
      <c r="BZ48" s="4" t="s">
        <v>441</v>
      </c>
      <c r="CA48" s="4" t="s">
        <v>654</v>
      </c>
      <c r="CD48" s="4" t="s">
        <v>108</v>
      </c>
      <c r="CE48" s="4" t="s">
        <v>298</v>
      </c>
      <c r="CF48" s="4" t="s">
        <v>972</v>
      </c>
      <c r="CX48" s="4" t="s">
        <v>132</v>
      </c>
      <c r="CY48" s="4" t="s">
        <v>1558</v>
      </c>
      <c r="CZ48" s="4" t="s">
        <v>1166</v>
      </c>
      <c r="DC48" s="4" t="s">
        <v>108</v>
      </c>
      <c r="DD48" s="4" t="s">
        <v>345</v>
      </c>
      <c r="DE48" s="4" t="s">
        <v>1286</v>
      </c>
      <c r="DH48" s="4" t="s">
        <v>111</v>
      </c>
      <c r="DI48" s="4" t="s">
        <v>441</v>
      </c>
      <c r="DJ48" s="4" t="s">
        <v>649</v>
      </c>
      <c r="DM48" s="4" t="s">
        <v>112</v>
      </c>
      <c r="DN48" s="4" t="s">
        <v>441</v>
      </c>
      <c r="DO48" s="4" t="s">
        <v>650</v>
      </c>
      <c r="DR48" s="4" t="s">
        <v>111</v>
      </c>
      <c r="DS48" s="4" t="s">
        <v>445</v>
      </c>
      <c r="DT48" s="4" t="s">
        <v>1438</v>
      </c>
    </row>
    <row r="49" spans="2:124">
      <c r="B49" s="4" t="s">
        <v>109</v>
      </c>
      <c r="C49" s="4" t="s">
        <v>55</v>
      </c>
      <c r="D49" s="4" t="s">
        <v>110</v>
      </c>
      <c r="G49" s="4" t="s">
        <v>109</v>
      </c>
      <c r="H49" s="4" t="s">
        <v>293</v>
      </c>
      <c r="I49" s="4" t="s">
        <v>110</v>
      </c>
      <c r="L49" s="4" t="s">
        <v>93</v>
      </c>
      <c r="M49" s="4" t="s">
        <v>35</v>
      </c>
      <c r="N49" s="4" t="s">
        <v>92</v>
      </c>
      <c r="Q49" s="4" t="s">
        <v>93</v>
      </c>
      <c r="R49" s="4" t="s">
        <v>290</v>
      </c>
      <c r="S49" s="4" t="s">
        <v>92</v>
      </c>
      <c r="V49" s="4" t="s">
        <v>114</v>
      </c>
      <c r="W49" s="4" t="s">
        <v>400</v>
      </c>
      <c r="X49" s="4" t="s">
        <v>401</v>
      </c>
      <c r="AA49" s="4" t="s">
        <v>93</v>
      </c>
      <c r="AB49" s="4" t="s">
        <v>446</v>
      </c>
      <c r="AC49" s="4" t="s">
        <v>92</v>
      </c>
      <c r="AF49" s="4" t="s">
        <v>112</v>
      </c>
      <c r="AG49" s="4" t="s">
        <v>521</v>
      </c>
      <c r="AH49" s="4" t="s">
        <v>522</v>
      </c>
      <c r="AK49" s="4" t="s">
        <v>109</v>
      </c>
      <c r="AL49" s="4" t="s">
        <v>441</v>
      </c>
      <c r="AM49" s="4" t="s">
        <v>30</v>
      </c>
      <c r="AP49" s="4" t="s">
        <v>93</v>
      </c>
      <c r="AQ49" s="4" t="s">
        <v>360</v>
      </c>
      <c r="AR49" s="4" t="s">
        <v>642</v>
      </c>
      <c r="AZ49" s="4" t="s">
        <v>93</v>
      </c>
      <c r="BA49" s="4" t="s">
        <v>346</v>
      </c>
      <c r="BB49" s="4" t="s">
        <v>642</v>
      </c>
      <c r="BE49" s="4" t="s">
        <v>107</v>
      </c>
      <c r="BF49" s="4" t="s">
        <v>441</v>
      </c>
      <c r="BG49" s="4" t="s">
        <v>647</v>
      </c>
      <c r="BJ49" s="11" t="s">
        <v>109</v>
      </c>
      <c r="BK49" s="11" t="s">
        <v>441</v>
      </c>
      <c r="BL49" s="11" t="s">
        <v>738</v>
      </c>
      <c r="BT49" s="4" t="s">
        <v>116</v>
      </c>
      <c r="BU49" s="4" t="s">
        <v>289</v>
      </c>
      <c r="BV49" s="4" t="s">
        <v>891</v>
      </c>
      <c r="BY49" s="4" t="s">
        <v>125</v>
      </c>
      <c r="BZ49" s="4" t="s">
        <v>441</v>
      </c>
      <c r="CA49" s="4" t="s">
        <v>654</v>
      </c>
      <c r="CD49" s="4" t="s">
        <v>109</v>
      </c>
      <c r="CE49" s="4" t="s">
        <v>434</v>
      </c>
      <c r="CF49" s="4" t="s">
        <v>30</v>
      </c>
      <c r="CX49" s="4" t="s">
        <v>134</v>
      </c>
      <c r="CY49" s="4" t="s">
        <v>1559</v>
      </c>
      <c r="CZ49" s="4" t="s">
        <v>1168</v>
      </c>
      <c r="DC49" s="4" t="s">
        <v>109</v>
      </c>
      <c r="DD49" s="4" t="s">
        <v>441</v>
      </c>
      <c r="DE49" s="4" t="s">
        <v>1281</v>
      </c>
      <c r="DH49" s="4" t="s">
        <v>112</v>
      </c>
      <c r="DI49" s="4" t="s">
        <v>345</v>
      </c>
      <c r="DJ49" s="4" t="s">
        <v>1344</v>
      </c>
      <c r="DM49" s="4" t="s">
        <v>114</v>
      </c>
      <c r="DN49" s="4" t="s">
        <v>441</v>
      </c>
      <c r="DO49" s="4" t="s">
        <v>651</v>
      </c>
      <c r="DR49" s="4" t="s">
        <v>112</v>
      </c>
      <c r="DS49" s="4" t="s">
        <v>521</v>
      </c>
      <c r="DT49" s="4" t="s">
        <v>1439</v>
      </c>
    </row>
    <row r="50" spans="2:124">
      <c r="B50" s="4" t="s">
        <v>111</v>
      </c>
      <c r="C50" s="4" t="s">
        <v>32</v>
      </c>
      <c r="D50" s="4" t="s">
        <v>30</v>
      </c>
      <c r="G50" s="4" t="s">
        <v>111</v>
      </c>
      <c r="H50" s="4" t="s">
        <v>289</v>
      </c>
      <c r="I50" s="4" t="s">
        <v>30</v>
      </c>
      <c r="L50" s="4" t="s">
        <v>94</v>
      </c>
      <c r="M50" s="4" t="s">
        <v>35</v>
      </c>
      <c r="N50" s="4" t="s">
        <v>95</v>
      </c>
      <c r="Q50" s="4" t="s">
        <v>94</v>
      </c>
      <c r="R50" s="4" t="s">
        <v>290</v>
      </c>
      <c r="S50" s="4" t="s">
        <v>95</v>
      </c>
      <c r="V50" s="4" t="s">
        <v>116</v>
      </c>
      <c r="W50" s="4" t="s">
        <v>402</v>
      </c>
      <c r="X50" s="4" t="s">
        <v>117</v>
      </c>
      <c r="AA50" s="4" t="s">
        <v>94</v>
      </c>
      <c r="AB50" s="4" t="s">
        <v>360</v>
      </c>
      <c r="AC50" s="4" t="s">
        <v>30</v>
      </c>
      <c r="AF50" s="4" t="s">
        <v>114</v>
      </c>
      <c r="AG50" s="4" t="s">
        <v>523</v>
      </c>
      <c r="AH50" s="4" t="s">
        <v>524</v>
      </c>
      <c r="AK50" s="4" t="s">
        <v>111</v>
      </c>
      <c r="AL50" s="4" t="s">
        <v>441</v>
      </c>
      <c r="AM50" s="4" t="s">
        <v>30</v>
      </c>
      <c r="AP50" s="4" t="s">
        <v>94</v>
      </c>
      <c r="AQ50" s="4" t="s">
        <v>441</v>
      </c>
      <c r="AR50" s="4" t="s">
        <v>643</v>
      </c>
      <c r="AZ50" s="4" t="s">
        <v>94</v>
      </c>
      <c r="BA50" s="4" t="s">
        <v>345</v>
      </c>
      <c r="BB50" s="4" t="s">
        <v>733</v>
      </c>
      <c r="BE50" s="4" t="s">
        <v>108</v>
      </c>
      <c r="BF50" s="4" t="s">
        <v>441</v>
      </c>
      <c r="BG50" s="4" t="s">
        <v>647</v>
      </c>
      <c r="BJ50" s="11" t="s">
        <v>111</v>
      </c>
      <c r="BK50" s="11" t="s">
        <v>441</v>
      </c>
      <c r="BL50" s="11" t="s">
        <v>739</v>
      </c>
      <c r="BT50" s="4" t="s">
        <v>118</v>
      </c>
      <c r="BU50" s="4" t="s">
        <v>365</v>
      </c>
      <c r="BV50" s="4" t="s">
        <v>892</v>
      </c>
      <c r="BY50" s="4" t="s">
        <v>126</v>
      </c>
      <c r="BZ50" s="4" t="s">
        <v>441</v>
      </c>
      <c r="CA50" s="4" t="s">
        <v>655</v>
      </c>
      <c r="CD50" s="4" t="s">
        <v>111</v>
      </c>
      <c r="CE50" s="4" t="s">
        <v>450</v>
      </c>
      <c r="CF50" s="4" t="s">
        <v>30</v>
      </c>
      <c r="CX50" s="4" t="s">
        <v>136</v>
      </c>
      <c r="CY50" s="4" t="s">
        <v>1560</v>
      </c>
      <c r="CZ50" s="4" t="s">
        <v>1170</v>
      </c>
      <c r="DC50" s="4" t="s">
        <v>111</v>
      </c>
      <c r="DD50" s="4" t="s">
        <v>441</v>
      </c>
      <c r="DE50" s="4" t="s">
        <v>1281</v>
      </c>
      <c r="DH50" s="4" t="s">
        <v>114</v>
      </c>
      <c r="DI50" s="4" t="s">
        <v>441</v>
      </c>
      <c r="DJ50" s="4" t="s">
        <v>651</v>
      </c>
      <c r="DM50" s="4" t="s">
        <v>116</v>
      </c>
      <c r="DN50" s="4" t="s">
        <v>441</v>
      </c>
      <c r="DO50" s="4" t="s">
        <v>652</v>
      </c>
      <c r="DR50" s="4" t="s">
        <v>114</v>
      </c>
      <c r="DS50" s="4" t="s">
        <v>1440</v>
      </c>
      <c r="DT50" s="4" t="s">
        <v>1441</v>
      </c>
    </row>
    <row r="51" spans="2:124">
      <c r="B51" s="4" t="s">
        <v>112</v>
      </c>
      <c r="C51" s="4" t="s">
        <v>45</v>
      </c>
      <c r="D51" s="4" t="s">
        <v>113</v>
      </c>
      <c r="G51" s="4" t="s">
        <v>112</v>
      </c>
      <c r="H51" s="4" t="s">
        <v>292</v>
      </c>
      <c r="I51" s="4" t="s">
        <v>113</v>
      </c>
      <c r="L51" s="4" t="s">
        <v>96</v>
      </c>
      <c r="M51" s="4" t="s">
        <v>325</v>
      </c>
      <c r="N51" s="4" t="s">
        <v>98</v>
      </c>
      <c r="Q51" s="4" t="s">
        <v>96</v>
      </c>
      <c r="R51" s="4" t="s">
        <v>340</v>
      </c>
      <c r="S51" s="4" t="s">
        <v>98</v>
      </c>
      <c r="V51" s="4" t="s">
        <v>118</v>
      </c>
      <c r="W51" s="4" t="s">
        <v>403</v>
      </c>
      <c r="X51" s="4" t="s">
        <v>404</v>
      </c>
      <c r="AA51" s="4" t="s">
        <v>96</v>
      </c>
      <c r="AB51" s="4" t="s">
        <v>290</v>
      </c>
      <c r="AC51" s="4" t="s">
        <v>30</v>
      </c>
      <c r="AF51" s="4" t="s">
        <v>116</v>
      </c>
      <c r="AG51" s="4" t="s">
        <v>396</v>
      </c>
      <c r="AH51" s="4" t="s">
        <v>525</v>
      </c>
      <c r="AK51" s="4" t="s">
        <v>112</v>
      </c>
      <c r="AL51" s="4" t="s">
        <v>441</v>
      </c>
      <c r="AM51" s="4" t="s">
        <v>30</v>
      </c>
      <c r="AP51" s="4" t="s">
        <v>96</v>
      </c>
      <c r="AQ51" s="4" t="s">
        <v>445</v>
      </c>
      <c r="AR51" s="4" t="s">
        <v>644</v>
      </c>
      <c r="AZ51" s="4" t="s">
        <v>96</v>
      </c>
      <c r="BA51" s="4" t="s">
        <v>293</v>
      </c>
      <c r="BB51" s="4" t="s">
        <v>644</v>
      </c>
      <c r="BE51" s="4" t="s">
        <v>109</v>
      </c>
      <c r="BF51" s="4" t="s">
        <v>441</v>
      </c>
      <c r="BG51" s="4" t="s">
        <v>648</v>
      </c>
      <c r="BJ51" s="11" t="s">
        <v>112</v>
      </c>
      <c r="BK51" s="11" t="s">
        <v>441</v>
      </c>
      <c r="BL51" s="11" t="s">
        <v>740</v>
      </c>
      <c r="BT51" s="4" t="s">
        <v>126</v>
      </c>
      <c r="BU51" s="4" t="s">
        <v>445</v>
      </c>
      <c r="BV51" s="4" t="s">
        <v>893</v>
      </c>
      <c r="BY51" s="4" t="s">
        <v>128</v>
      </c>
      <c r="BZ51" s="4" t="s">
        <v>441</v>
      </c>
      <c r="CA51" s="4" t="s">
        <v>656</v>
      </c>
      <c r="CD51" s="4" t="s">
        <v>112</v>
      </c>
      <c r="CE51" s="4" t="s">
        <v>360</v>
      </c>
      <c r="CF51" s="4" t="s">
        <v>30</v>
      </c>
      <c r="CX51" s="4" t="s">
        <v>138</v>
      </c>
      <c r="CY51" s="4" t="s">
        <v>1561</v>
      </c>
      <c r="CZ51" s="4" t="s">
        <v>1172</v>
      </c>
      <c r="DC51" s="4" t="s">
        <v>112</v>
      </c>
      <c r="DD51" s="4" t="s">
        <v>345</v>
      </c>
      <c r="DE51" s="4" t="s">
        <v>1284</v>
      </c>
      <c r="DH51" s="4" t="s">
        <v>116</v>
      </c>
      <c r="DI51" s="4" t="s">
        <v>360</v>
      </c>
      <c r="DJ51" s="4" t="s">
        <v>1345</v>
      </c>
      <c r="DM51" s="4" t="s">
        <v>118</v>
      </c>
      <c r="DN51" s="4" t="s">
        <v>298</v>
      </c>
      <c r="DO51" s="4" t="s">
        <v>653</v>
      </c>
      <c r="DR51" s="4" t="s">
        <v>116</v>
      </c>
      <c r="DS51" s="4" t="s">
        <v>396</v>
      </c>
      <c r="DT51" s="4" t="s">
        <v>1442</v>
      </c>
    </row>
    <row r="52" spans="2:124">
      <c r="B52" s="4" t="s">
        <v>114</v>
      </c>
      <c r="C52" s="4" t="s">
        <v>29</v>
      </c>
      <c r="D52" s="4" t="s">
        <v>115</v>
      </c>
      <c r="G52" s="4" t="s">
        <v>114</v>
      </c>
      <c r="H52" s="4" t="s">
        <v>288</v>
      </c>
      <c r="I52" s="4" t="s">
        <v>115</v>
      </c>
      <c r="L52" s="4" t="s">
        <v>99</v>
      </c>
      <c r="M52" s="4" t="s">
        <v>326</v>
      </c>
      <c r="N52" s="4" t="s">
        <v>100</v>
      </c>
      <c r="Q52" s="4" t="s">
        <v>99</v>
      </c>
      <c r="R52" s="4" t="s">
        <v>341</v>
      </c>
      <c r="S52" s="4" t="s">
        <v>100</v>
      </c>
      <c r="V52" s="4" t="s">
        <v>126</v>
      </c>
      <c r="W52" s="4" t="s">
        <v>296</v>
      </c>
      <c r="X52" s="4" t="s">
        <v>405</v>
      </c>
      <c r="AA52" s="4" t="s">
        <v>99</v>
      </c>
      <c r="AB52" s="4" t="s">
        <v>360</v>
      </c>
      <c r="AC52" s="4" t="s">
        <v>30</v>
      </c>
      <c r="AF52" s="4" t="s">
        <v>118</v>
      </c>
      <c r="AG52" s="4" t="s">
        <v>526</v>
      </c>
      <c r="AH52" s="4" t="s">
        <v>527</v>
      </c>
      <c r="AK52" s="4" t="s">
        <v>114</v>
      </c>
      <c r="AL52" s="4" t="s">
        <v>441</v>
      </c>
      <c r="AM52" s="4" t="s">
        <v>30</v>
      </c>
      <c r="AP52" s="4" t="s">
        <v>99</v>
      </c>
      <c r="AQ52" s="4" t="s">
        <v>441</v>
      </c>
      <c r="AR52" s="4" t="s">
        <v>645</v>
      </c>
      <c r="AZ52" s="4" t="s">
        <v>99</v>
      </c>
      <c r="BA52" s="4" t="s">
        <v>345</v>
      </c>
      <c r="BB52" s="4" t="s">
        <v>734</v>
      </c>
      <c r="BE52" s="4" t="s">
        <v>111</v>
      </c>
      <c r="BF52" s="4" t="s">
        <v>441</v>
      </c>
      <c r="BG52" s="4" t="s">
        <v>649</v>
      </c>
      <c r="BJ52" s="11" t="s">
        <v>114</v>
      </c>
      <c r="BK52" s="11" t="s">
        <v>441</v>
      </c>
      <c r="BL52" s="11" t="s">
        <v>741</v>
      </c>
      <c r="BT52" s="4" t="s">
        <v>128</v>
      </c>
      <c r="BU52" s="4" t="s">
        <v>289</v>
      </c>
      <c r="BV52" s="4" t="s">
        <v>894</v>
      </c>
      <c r="BY52" s="4" t="s">
        <v>130</v>
      </c>
      <c r="BZ52" s="4" t="s">
        <v>441</v>
      </c>
      <c r="CA52" s="4" t="s">
        <v>657</v>
      </c>
      <c r="CD52" s="4" t="s">
        <v>114</v>
      </c>
      <c r="CE52" s="4" t="s">
        <v>346</v>
      </c>
      <c r="CF52" s="4" t="s">
        <v>993</v>
      </c>
      <c r="CX52" s="4" t="s">
        <v>140</v>
      </c>
      <c r="CY52" s="4" t="s">
        <v>1562</v>
      </c>
      <c r="CZ52" s="4" t="s">
        <v>1174</v>
      </c>
      <c r="DC52" s="4" t="s">
        <v>114</v>
      </c>
      <c r="DD52" s="4" t="s">
        <v>345</v>
      </c>
      <c r="DE52" s="4" t="s">
        <v>1287</v>
      </c>
      <c r="DH52" s="4" t="s">
        <v>118</v>
      </c>
      <c r="DI52" s="4" t="s">
        <v>288</v>
      </c>
      <c r="DJ52" s="4" t="s">
        <v>1346</v>
      </c>
      <c r="DM52" s="4" t="s">
        <v>121</v>
      </c>
      <c r="DN52" s="4" t="s">
        <v>441</v>
      </c>
      <c r="DO52" s="4" t="s">
        <v>654</v>
      </c>
      <c r="DR52" s="4" t="s">
        <v>118</v>
      </c>
      <c r="DS52" s="4" t="s">
        <v>1443</v>
      </c>
      <c r="DT52" s="4" t="s">
        <v>1444</v>
      </c>
    </row>
    <row r="53" spans="2:124">
      <c r="B53" s="4" t="s">
        <v>116</v>
      </c>
      <c r="C53" s="4" t="s">
        <v>55</v>
      </c>
      <c r="D53" s="4" t="s">
        <v>117</v>
      </c>
      <c r="G53" s="4" t="s">
        <v>116</v>
      </c>
      <c r="H53" s="4" t="s">
        <v>293</v>
      </c>
      <c r="I53" s="4" t="s">
        <v>117</v>
      </c>
      <c r="L53" s="4" t="s">
        <v>101</v>
      </c>
      <c r="M53" s="4" t="s">
        <v>45</v>
      </c>
      <c r="N53" s="4" t="s">
        <v>102</v>
      </c>
      <c r="Q53" s="4" t="s">
        <v>101</v>
      </c>
      <c r="R53" s="4" t="s">
        <v>292</v>
      </c>
      <c r="S53" s="4" t="s">
        <v>102</v>
      </c>
      <c r="V53" s="4" t="s">
        <v>128</v>
      </c>
      <c r="W53" s="4" t="s">
        <v>406</v>
      </c>
      <c r="X53" s="4" t="s">
        <v>129</v>
      </c>
      <c r="AA53" s="4" t="s">
        <v>101</v>
      </c>
      <c r="AB53" s="4" t="s">
        <v>360</v>
      </c>
      <c r="AC53" s="4" t="s">
        <v>30</v>
      </c>
      <c r="AF53" s="4" t="s">
        <v>126</v>
      </c>
      <c r="AG53" s="4" t="s">
        <v>472</v>
      </c>
      <c r="AH53" s="4" t="s">
        <v>528</v>
      </c>
      <c r="AK53" s="4" t="s">
        <v>116</v>
      </c>
      <c r="AL53" s="4" t="s">
        <v>441</v>
      </c>
      <c r="AM53" s="4" t="s">
        <v>30</v>
      </c>
      <c r="AP53" s="4" t="s">
        <v>101</v>
      </c>
      <c r="AQ53" s="4" t="s">
        <v>441</v>
      </c>
      <c r="AR53" s="4" t="s">
        <v>646</v>
      </c>
      <c r="AZ53" s="4" t="s">
        <v>101</v>
      </c>
      <c r="BA53" s="4" t="s">
        <v>345</v>
      </c>
      <c r="BB53" s="4" t="s">
        <v>735</v>
      </c>
      <c r="BE53" s="4" t="s">
        <v>112</v>
      </c>
      <c r="BF53" s="4" t="s">
        <v>441</v>
      </c>
      <c r="BG53" s="4" t="s">
        <v>650</v>
      </c>
      <c r="BJ53" s="11" t="s">
        <v>116</v>
      </c>
      <c r="BK53" s="11" t="s">
        <v>441</v>
      </c>
      <c r="BL53" s="11" t="s">
        <v>742</v>
      </c>
      <c r="BT53" s="4" t="s">
        <v>130</v>
      </c>
      <c r="BU53" s="4" t="s">
        <v>533</v>
      </c>
      <c r="BV53" s="4" t="s">
        <v>895</v>
      </c>
      <c r="BY53" s="4" t="s">
        <v>132</v>
      </c>
      <c r="BZ53" s="4" t="s">
        <v>441</v>
      </c>
      <c r="CA53" s="4" t="s">
        <v>658</v>
      </c>
      <c r="CD53" s="4" t="s">
        <v>116</v>
      </c>
      <c r="CE53" s="4" t="s">
        <v>298</v>
      </c>
      <c r="CF53" s="4" t="s">
        <v>980</v>
      </c>
      <c r="CX53" s="4" t="s">
        <v>142</v>
      </c>
      <c r="CY53" s="4" t="s">
        <v>1563</v>
      </c>
      <c r="CZ53" s="4" t="s">
        <v>1176</v>
      </c>
      <c r="DC53" s="4" t="s">
        <v>116</v>
      </c>
      <c r="DD53" s="4" t="s">
        <v>441</v>
      </c>
      <c r="DE53" s="4" t="s">
        <v>1281</v>
      </c>
      <c r="DH53" s="4" t="s">
        <v>121</v>
      </c>
      <c r="DI53" s="4" t="s">
        <v>441</v>
      </c>
      <c r="DJ53" s="4" t="s">
        <v>654</v>
      </c>
      <c r="DM53" s="4" t="s">
        <v>123</v>
      </c>
      <c r="DN53" s="4" t="s">
        <v>441</v>
      </c>
      <c r="DO53" s="4" t="s">
        <v>654</v>
      </c>
      <c r="DR53" s="4" t="s">
        <v>126</v>
      </c>
      <c r="DS53" s="4" t="s">
        <v>288</v>
      </c>
      <c r="DT53" s="4" t="s">
        <v>1445</v>
      </c>
    </row>
    <row r="54" spans="2:124">
      <c r="B54" s="4" t="s">
        <v>118</v>
      </c>
      <c r="C54" s="4" t="s">
        <v>119</v>
      </c>
      <c r="D54" s="4" t="s">
        <v>120</v>
      </c>
      <c r="G54" s="4" t="s">
        <v>118</v>
      </c>
      <c r="H54" s="4" t="s">
        <v>299</v>
      </c>
      <c r="I54" s="4" t="s">
        <v>120</v>
      </c>
      <c r="L54" s="4" t="s">
        <v>103</v>
      </c>
      <c r="M54" s="4" t="s">
        <v>104</v>
      </c>
      <c r="N54" s="4" t="s">
        <v>30</v>
      </c>
      <c r="Q54" s="4" t="s">
        <v>103</v>
      </c>
      <c r="R54" s="4" t="s">
        <v>298</v>
      </c>
      <c r="S54" s="4" t="s">
        <v>30</v>
      </c>
      <c r="V54" s="4" t="s">
        <v>130</v>
      </c>
      <c r="W54" s="4" t="s">
        <v>407</v>
      </c>
      <c r="X54" s="4" t="s">
        <v>408</v>
      </c>
      <c r="AA54" s="4" t="s">
        <v>103</v>
      </c>
      <c r="AB54" s="4" t="s">
        <v>345</v>
      </c>
      <c r="AC54" s="4" t="s">
        <v>30</v>
      </c>
      <c r="AF54" s="4" t="s">
        <v>128</v>
      </c>
      <c r="AG54" s="4" t="s">
        <v>55</v>
      </c>
      <c r="AH54" s="4" t="s">
        <v>529</v>
      </c>
      <c r="AK54" s="4" t="s">
        <v>118</v>
      </c>
      <c r="AL54" s="4" t="s">
        <v>441</v>
      </c>
      <c r="AM54" s="4" t="s">
        <v>30</v>
      </c>
      <c r="AP54" s="4" t="s">
        <v>105</v>
      </c>
      <c r="AQ54" s="4" t="s">
        <v>441</v>
      </c>
      <c r="AR54" s="4" t="s">
        <v>647</v>
      </c>
      <c r="AZ54" s="4" t="s">
        <v>103</v>
      </c>
      <c r="BA54" s="4" t="s">
        <v>441</v>
      </c>
      <c r="BB54" s="4" t="s">
        <v>736</v>
      </c>
      <c r="BE54" s="4" t="s">
        <v>114</v>
      </c>
      <c r="BF54" s="4" t="s">
        <v>441</v>
      </c>
      <c r="BG54" s="4" t="s">
        <v>651</v>
      </c>
      <c r="BJ54" s="11" t="s">
        <v>118</v>
      </c>
      <c r="BK54" s="11" t="s">
        <v>441</v>
      </c>
      <c r="BL54" s="11" t="s">
        <v>796</v>
      </c>
      <c r="BT54" s="4" t="s">
        <v>132</v>
      </c>
      <c r="BU54" s="4" t="s">
        <v>896</v>
      </c>
      <c r="BV54" s="4" t="s">
        <v>897</v>
      </c>
      <c r="BY54" s="4" t="s">
        <v>134</v>
      </c>
      <c r="BZ54" s="4" t="s">
        <v>345</v>
      </c>
      <c r="CA54" s="4" t="s">
        <v>963</v>
      </c>
      <c r="CD54" s="4" t="s">
        <v>118</v>
      </c>
      <c r="CE54" s="4" t="s">
        <v>32</v>
      </c>
      <c r="CF54" s="4" t="s">
        <v>981</v>
      </c>
      <c r="CX54" s="4" t="s">
        <v>144</v>
      </c>
      <c r="CY54" s="4" t="s">
        <v>1564</v>
      </c>
      <c r="CZ54" s="4" t="s">
        <v>1178</v>
      </c>
      <c r="DC54" s="4" t="s">
        <v>118</v>
      </c>
      <c r="DD54" s="4" t="s">
        <v>345</v>
      </c>
      <c r="DE54" s="4" t="s">
        <v>1288</v>
      </c>
      <c r="DH54" s="4" t="s">
        <v>123</v>
      </c>
      <c r="DI54" s="4" t="s">
        <v>441</v>
      </c>
      <c r="DJ54" s="4" t="s">
        <v>654</v>
      </c>
      <c r="DM54" s="4" t="s">
        <v>124</v>
      </c>
      <c r="DN54" s="4" t="s">
        <v>441</v>
      </c>
      <c r="DO54" s="4" t="s">
        <v>654</v>
      </c>
      <c r="DR54" s="4" t="s">
        <v>128</v>
      </c>
      <c r="DS54" s="4" t="s">
        <v>55</v>
      </c>
      <c r="DT54" s="4" t="s">
        <v>1446</v>
      </c>
    </row>
    <row r="55" spans="2:124">
      <c r="B55" s="4" t="s">
        <v>121</v>
      </c>
      <c r="C55" s="4" t="s">
        <v>32</v>
      </c>
      <c r="D55" s="4" t="s">
        <v>122</v>
      </c>
      <c r="G55" s="4" t="s">
        <v>121</v>
      </c>
      <c r="H55" s="4" t="s">
        <v>289</v>
      </c>
      <c r="I55" s="4" t="s">
        <v>122</v>
      </c>
      <c r="L55" s="4" t="s">
        <v>105</v>
      </c>
      <c r="M55" s="4" t="s">
        <v>35</v>
      </c>
      <c r="N55" s="4" t="s">
        <v>106</v>
      </c>
      <c r="Q55" s="4" t="s">
        <v>105</v>
      </c>
      <c r="R55" s="4" t="s">
        <v>290</v>
      </c>
      <c r="S55" s="4" t="s">
        <v>106</v>
      </c>
      <c r="V55" s="4" t="s">
        <v>132</v>
      </c>
      <c r="W55" s="4" t="s">
        <v>409</v>
      </c>
      <c r="X55" s="4" t="s">
        <v>410</v>
      </c>
      <c r="AA55" s="4" t="s">
        <v>105</v>
      </c>
      <c r="AB55" s="4" t="s">
        <v>360</v>
      </c>
      <c r="AC55" s="4" t="s">
        <v>30</v>
      </c>
      <c r="AF55" s="4" t="s">
        <v>130</v>
      </c>
      <c r="AG55" s="4" t="s">
        <v>530</v>
      </c>
      <c r="AH55" s="4" t="s">
        <v>531</v>
      </c>
      <c r="AK55" s="4" t="s">
        <v>121</v>
      </c>
      <c r="AL55" s="4" t="s">
        <v>441</v>
      </c>
      <c r="AM55" s="4" t="s">
        <v>30</v>
      </c>
      <c r="AP55" s="4" t="s">
        <v>107</v>
      </c>
      <c r="AQ55" s="4" t="s">
        <v>441</v>
      </c>
      <c r="AR55" s="4" t="s">
        <v>647</v>
      </c>
      <c r="AZ55" s="4" t="s">
        <v>105</v>
      </c>
      <c r="BA55" s="4" t="s">
        <v>345</v>
      </c>
      <c r="BB55" s="4" t="s">
        <v>737</v>
      </c>
      <c r="BE55" s="4" t="s">
        <v>116</v>
      </c>
      <c r="BF55" s="4" t="s">
        <v>441</v>
      </c>
      <c r="BG55" s="4" t="s">
        <v>652</v>
      </c>
      <c r="BJ55" s="11" t="s">
        <v>121</v>
      </c>
      <c r="BK55" s="11" t="s">
        <v>441</v>
      </c>
      <c r="BL55" s="11" t="s">
        <v>743</v>
      </c>
      <c r="BT55" s="4" t="s">
        <v>134</v>
      </c>
      <c r="BU55" s="4" t="s">
        <v>898</v>
      </c>
      <c r="BV55" s="4" t="s">
        <v>899</v>
      </c>
      <c r="BY55" s="4" t="s">
        <v>136</v>
      </c>
      <c r="BZ55" s="4" t="s">
        <v>345</v>
      </c>
      <c r="CA55" s="4" t="s">
        <v>660</v>
      </c>
      <c r="CD55" s="4" t="s">
        <v>121</v>
      </c>
      <c r="CE55" s="4" t="s">
        <v>441</v>
      </c>
      <c r="CF55" s="4" t="s">
        <v>30</v>
      </c>
      <c r="CX55" s="4" t="s">
        <v>146</v>
      </c>
      <c r="CY55" s="4" t="s">
        <v>1565</v>
      </c>
      <c r="CZ55" s="4" t="s">
        <v>1180</v>
      </c>
      <c r="DC55" s="4" t="s">
        <v>126</v>
      </c>
      <c r="DD55" s="4" t="s">
        <v>441</v>
      </c>
      <c r="DE55" s="4" t="s">
        <v>1281</v>
      </c>
      <c r="DH55" s="4" t="s">
        <v>124</v>
      </c>
      <c r="DI55" s="4" t="s">
        <v>441</v>
      </c>
      <c r="DJ55" s="4" t="s">
        <v>654</v>
      </c>
      <c r="DM55" s="4" t="s">
        <v>125</v>
      </c>
      <c r="DN55" s="4" t="s">
        <v>441</v>
      </c>
      <c r="DO55" s="4" t="s">
        <v>654</v>
      </c>
      <c r="DR55" s="4" t="s">
        <v>130</v>
      </c>
      <c r="DS55" s="4" t="s">
        <v>530</v>
      </c>
      <c r="DT55" s="4" t="s">
        <v>1447</v>
      </c>
    </row>
    <row r="56" spans="2:124">
      <c r="B56" s="4" t="s">
        <v>123</v>
      </c>
      <c r="C56" s="4" t="s">
        <v>32</v>
      </c>
      <c r="D56" s="4" t="s">
        <v>122</v>
      </c>
      <c r="G56" s="4" t="s">
        <v>123</v>
      </c>
      <c r="H56" s="4" t="s">
        <v>289</v>
      </c>
      <c r="I56" s="4" t="s">
        <v>122</v>
      </c>
      <c r="L56" s="4" t="s">
        <v>107</v>
      </c>
      <c r="M56" s="4" t="s">
        <v>32</v>
      </c>
      <c r="N56" s="4" t="s">
        <v>30</v>
      </c>
      <c r="Q56" s="4" t="s">
        <v>107</v>
      </c>
      <c r="R56" s="4" t="s">
        <v>289</v>
      </c>
      <c r="S56" s="4" t="s">
        <v>30</v>
      </c>
      <c r="V56" s="4" t="s">
        <v>134</v>
      </c>
      <c r="W56" s="4" t="s">
        <v>411</v>
      </c>
      <c r="X56" s="4" t="s">
        <v>412</v>
      </c>
      <c r="AA56" s="4" t="s">
        <v>107</v>
      </c>
      <c r="AB56" s="4" t="s">
        <v>360</v>
      </c>
      <c r="AC56" s="4" t="s">
        <v>30</v>
      </c>
      <c r="AF56" s="4" t="s">
        <v>132</v>
      </c>
      <c r="AG56" s="4" t="s">
        <v>489</v>
      </c>
      <c r="AH56" s="4" t="s">
        <v>532</v>
      </c>
      <c r="AK56" s="4" t="s">
        <v>123</v>
      </c>
      <c r="AL56" s="4" t="s">
        <v>441</v>
      </c>
      <c r="AM56" s="4" t="s">
        <v>30</v>
      </c>
      <c r="AP56" s="4" t="s">
        <v>108</v>
      </c>
      <c r="AQ56" s="4" t="s">
        <v>441</v>
      </c>
      <c r="AR56" s="4" t="s">
        <v>647</v>
      </c>
      <c r="AZ56" s="4" t="s">
        <v>107</v>
      </c>
      <c r="BA56" s="4" t="s">
        <v>345</v>
      </c>
      <c r="BB56" s="4" t="s">
        <v>737</v>
      </c>
      <c r="BE56" s="4" t="s">
        <v>118</v>
      </c>
      <c r="BF56" s="4" t="s">
        <v>444</v>
      </c>
      <c r="BG56" s="4" t="s">
        <v>653</v>
      </c>
      <c r="BJ56" s="11" t="s">
        <v>123</v>
      </c>
      <c r="BK56" s="11" t="s">
        <v>441</v>
      </c>
      <c r="BL56" s="11" t="s">
        <v>743</v>
      </c>
      <c r="BT56" s="4" t="s">
        <v>136</v>
      </c>
      <c r="BU56" s="4" t="s">
        <v>898</v>
      </c>
      <c r="BV56" s="4" t="s">
        <v>900</v>
      </c>
      <c r="BY56" s="4" t="s">
        <v>138</v>
      </c>
      <c r="BZ56" s="4" t="s">
        <v>441</v>
      </c>
      <c r="CA56" s="4" t="s">
        <v>661</v>
      </c>
      <c r="CD56" s="4" t="s">
        <v>123</v>
      </c>
      <c r="CE56" s="4" t="s">
        <v>441</v>
      </c>
      <c r="CF56" s="4" t="s">
        <v>30</v>
      </c>
      <c r="CX56" s="4" t="s">
        <v>148</v>
      </c>
      <c r="CY56" s="4" t="s">
        <v>1566</v>
      </c>
      <c r="CZ56" s="4" t="s">
        <v>1182</v>
      </c>
      <c r="DC56" s="4" t="s">
        <v>128</v>
      </c>
      <c r="DD56" s="4" t="s">
        <v>441</v>
      </c>
      <c r="DE56" s="4" t="s">
        <v>1281</v>
      </c>
      <c r="DH56" s="4" t="s">
        <v>125</v>
      </c>
      <c r="DI56" s="4" t="s">
        <v>441</v>
      </c>
      <c r="DJ56" s="4" t="s">
        <v>654</v>
      </c>
      <c r="DM56" s="4" t="s">
        <v>126</v>
      </c>
      <c r="DN56" s="4" t="s">
        <v>441</v>
      </c>
      <c r="DO56" s="4" t="s">
        <v>655</v>
      </c>
      <c r="DR56" s="4" t="s">
        <v>132</v>
      </c>
      <c r="DS56" s="4" t="s">
        <v>1448</v>
      </c>
      <c r="DT56" s="4" t="s">
        <v>532</v>
      </c>
    </row>
    <row r="57" spans="2:124">
      <c r="B57" s="4" t="s">
        <v>124</v>
      </c>
      <c r="C57" s="4" t="s">
        <v>32</v>
      </c>
      <c r="D57" s="4" t="s">
        <v>122</v>
      </c>
      <c r="G57" s="4" t="s">
        <v>124</v>
      </c>
      <c r="H57" s="4" t="s">
        <v>289</v>
      </c>
      <c r="I57" s="4" t="s">
        <v>122</v>
      </c>
      <c r="L57" s="4" t="s">
        <v>108</v>
      </c>
      <c r="M57" s="4" t="s">
        <v>32</v>
      </c>
      <c r="N57" s="4" t="s">
        <v>30</v>
      </c>
      <c r="Q57" s="4" t="s">
        <v>108</v>
      </c>
      <c r="R57" s="4" t="s">
        <v>289</v>
      </c>
      <c r="S57" s="4" t="s">
        <v>30</v>
      </c>
      <c r="V57" s="4" t="s">
        <v>136</v>
      </c>
      <c r="W57" s="4" t="s">
        <v>413</v>
      </c>
      <c r="X57" s="4" t="s">
        <v>414</v>
      </c>
      <c r="AA57" s="4" t="s">
        <v>108</v>
      </c>
      <c r="AB57" s="4" t="s">
        <v>360</v>
      </c>
      <c r="AC57" s="4" t="s">
        <v>30</v>
      </c>
      <c r="AF57" s="4" t="s">
        <v>134</v>
      </c>
      <c r="AG57" s="4" t="s">
        <v>533</v>
      </c>
      <c r="AH57" s="4" t="s">
        <v>534</v>
      </c>
      <c r="AK57" s="4" t="s">
        <v>124</v>
      </c>
      <c r="AL57" s="4" t="s">
        <v>441</v>
      </c>
      <c r="AM57" s="4" t="s">
        <v>30</v>
      </c>
      <c r="AP57" s="4" t="s">
        <v>109</v>
      </c>
      <c r="AQ57" s="4" t="s">
        <v>441</v>
      </c>
      <c r="AR57" s="4" t="s">
        <v>648</v>
      </c>
      <c r="AZ57" s="4" t="s">
        <v>108</v>
      </c>
      <c r="BA57" s="4" t="s">
        <v>345</v>
      </c>
      <c r="BB57" s="4" t="s">
        <v>737</v>
      </c>
      <c r="BE57" s="4" t="s">
        <v>121</v>
      </c>
      <c r="BF57" s="4" t="s">
        <v>441</v>
      </c>
      <c r="BG57" s="4" t="s">
        <v>654</v>
      </c>
      <c r="BJ57" s="11" t="s">
        <v>124</v>
      </c>
      <c r="BK57" s="11" t="s">
        <v>441</v>
      </c>
      <c r="BL57" s="11" t="s">
        <v>743</v>
      </c>
      <c r="BT57" s="4" t="s">
        <v>138</v>
      </c>
      <c r="BU57" s="4" t="s">
        <v>411</v>
      </c>
      <c r="BV57" s="4" t="s">
        <v>901</v>
      </c>
      <c r="BY57" s="4" t="s">
        <v>140</v>
      </c>
      <c r="BZ57" s="4" t="s">
        <v>441</v>
      </c>
      <c r="CA57" s="4" t="s">
        <v>662</v>
      </c>
      <c r="CD57" s="4" t="s">
        <v>124</v>
      </c>
      <c r="CE57" s="4" t="s">
        <v>441</v>
      </c>
      <c r="CF57" s="4" t="s">
        <v>30</v>
      </c>
      <c r="CX57" s="4" t="s">
        <v>150</v>
      </c>
      <c r="CY57" s="4" t="s">
        <v>1183</v>
      </c>
      <c r="CZ57" s="4" t="s">
        <v>1184</v>
      </c>
      <c r="DC57" s="4" t="s">
        <v>130</v>
      </c>
      <c r="DD57" s="4" t="s">
        <v>441</v>
      </c>
      <c r="DE57" s="4" t="s">
        <v>1281</v>
      </c>
      <c r="DH57" s="4" t="s">
        <v>126</v>
      </c>
      <c r="DI57" s="4" t="s">
        <v>346</v>
      </c>
      <c r="DJ57" s="4" t="s">
        <v>1347</v>
      </c>
      <c r="DM57" s="4" t="s">
        <v>128</v>
      </c>
      <c r="DN57" s="4" t="s">
        <v>441</v>
      </c>
      <c r="DO57" s="4" t="s">
        <v>656</v>
      </c>
      <c r="DR57" s="4" t="s">
        <v>134</v>
      </c>
      <c r="DS57" s="4" t="s">
        <v>296</v>
      </c>
      <c r="DT57" s="4" t="s">
        <v>1449</v>
      </c>
    </row>
    <row r="58" spans="2:124">
      <c r="B58" s="4" t="s">
        <v>125</v>
      </c>
      <c r="C58" s="4" t="s">
        <v>32</v>
      </c>
      <c r="D58" s="4" t="s">
        <v>122</v>
      </c>
      <c r="G58" s="4" t="s">
        <v>125</v>
      </c>
      <c r="H58" s="4" t="s">
        <v>289</v>
      </c>
      <c r="I58" s="4" t="s">
        <v>122</v>
      </c>
      <c r="L58" s="4" t="s">
        <v>109</v>
      </c>
      <c r="M58" s="4" t="s">
        <v>55</v>
      </c>
      <c r="N58" s="4" t="s">
        <v>110</v>
      </c>
      <c r="Q58" s="4" t="s">
        <v>109</v>
      </c>
      <c r="R58" s="4" t="s">
        <v>293</v>
      </c>
      <c r="S58" s="4" t="s">
        <v>110</v>
      </c>
      <c r="V58" s="4" t="s">
        <v>138</v>
      </c>
      <c r="W58" s="4" t="s">
        <v>415</v>
      </c>
      <c r="X58" s="4" t="s">
        <v>416</v>
      </c>
      <c r="AA58" s="4" t="s">
        <v>109</v>
      </c>
      <c r="AB58" s="4" t="s">
        <v>360</v>
      </c>
      <c r="AC58" s="4" t="s">
        <v>30</v>
      </c>
      <c r="AF58" s="4" t="s">
        <v>136</v>
      </c>
      <c r="AG58" s="4" t="s">
        <v>326</v>
      </c>
      <c r="AH58" s="4" t="s">
        <v>535</v>
      </c>
      <c r="AK58" s="4" t="s">
        <v>125</v>
      </c>
      <c r="AL58" s="4" t="s">
        <v>441</v>
      </c>
      <c r="AM58" s="4" t="s">
        <v>30</v>
      </c>
      <c r="AP58" s="4" t="s">
        <v>111</v>
      </c>
      <c r="AQ58" s="4" t="s">
        <v>441</v>
      </c>
      <c r="AR58" s="4" t="s">
        <v>649</v>
      </c>
      <c r="AZ58" s="4" t="s">
        <v>109</v>
      </c>
      <c r="BA58" s="4" t="s">
        <v>345</v>
      </c>
      <c r="BB58" s="4" t="s">
        <v>738</v>
      </c>
      <c r="BE58" s="4" t="s">
        <v>123</v>
      </c>
      <c r="BF58" s="4" t="s">
        <v>441</v>
      </c>
      <c r="BG58" s="4" t="s">
        <v>654</v>
      </c>
      <c r="BJ58" s="11" t="s">
        <v>125</v>
      </c>
      <c r="BK58" s="11" t="s">
        <v>441</v>
      </c>
      <c r="BL58" s="11" t="s">
        <v>743</v>
      </c>
      <c r="BT58" s="4" t="s">
        <v>140</v>
      </c>
      <c r="BU58" s="4" t="s">
        <v>350</v>
      </c>
      <c r="BV58" s="4" t="s">
        <v>902</v>
      </c>
      <c r="BY58" s="4" t="s">
        <v>142</v>
      </c>
      <c r="BZ58" s="4" t="s">
        <v>441</v>
      </c>
      <c r="CA58" s="4" t="s">
        <v>640</v>
      </c>
      <c r="CD58" s="4" t="s">
        <v>125</v>
      </c>
      <c r="CE58" s="4" t="s">
        <v>441</v>
      </c>
      <c r="CF58" s="4" t="s">
        <v>30</v>
      </c>
      <c r="CX58" s="4" t="s">
        <v>152</v>
      </c>
      <c r="CY58" s="4" t="s">
        <v>1567</v>
      </c>
      <c r="CZ58" s="4" t="s">
        <v>1186</v>
      </c>
      <c r="DC58" s="4" t="s">
        <v>132</v>
      </c>
      <c r="DD58" s="4" t="s">
        <v>441</v>
      </c>
      <c r="DE58" s="4" t="s">
        <v>1281</v>
      </c>
      <c r="DH58" s="4" t="s">
        <v>128</v>
      </c>
      <c r="DI58" s="4" t="s">
        <v>345</v>
      </c>
      <c r="DJ58" s="4" t="s">
        <v>1348</v>
      </c>
      <c r="DM58" s="4" t="s">
        <v>130</v>
      </c>
      <c r="DN58" s="4" t="s">
        <v>441</v>
      </c>
      <c r="DO58" s="4" t="s">
        <v>657</v>
      </c>
      <c r="DR58" s="4" t="s">
        <v>136</v>
      </c>
      <c r="DS58" s="4" t="s">
        <v>1415</v>
      </c>
      <c r="DT58" s="4" t="s">
        <v>1450</v>
      </c>
    </row>
    <row r="59" spans="2:124">
      <c r="B59" s="4" t="s">
        <v>126</v>
      </c>
      <c r="C59" s="4" t="s">
        <v>29</v>
      </c>
      <c r="D59" s="4" t="s">
        <v>127</v>
      </c>
      <c r="G59" s="4" t="s">
        <v>126</v>
      </c>
      <c r="H59" s="4" t="s">
        <v>288</v>
      </c>
      <c r="I59" s="4" t="s">
        <v>127</v>
      </c>
      <c r="L59" s="4" t="s">
        <v>111</v>
      </c>
      <c r="M59" s="4" t="s">
        <v>32</v>
      </c>
      <c r="N59" s="4" t="s">
        <v>30</v>
      </c>
      <c r="Q59" s="4" t="s">
        <v>111</v>
      </c>
      <c r="R59" s="4" t="s">
        <v>289</v>
      </c>
      <c r="S59" s="4" t="s">
        <v>30</v>
      </c>
      <c r="V59" s="4" t="s">
        <v>140</v>
      </c>
      <c r="W59" s="4" t="s">
        <v>417</v>
      </c>
      <c r="X59" s="4" t="s">
        <v>418</v>
      </c>
      <c r="AA59" s="4" t="s">
        <v>111</v>
      </c>
      <c r="AB59" s="4" t="s">
        <v>360</v>
      </c>
      <c r="AC59" s="4" t="s">
        <v>30</v>
      </c>
      <c r="AF59" s="4" t="s">
        <v>138</v>
      </c>
      <c r="AG59" s="4" t="s">
        <v>536</v>
      </c>
      <c r="AH59" s="4" t="s">
        <v>537</v>
      </c>
      <c r="AK59" s="4" t="s">
        <v>126</v>
      </c>
      <c r="AL59" s="4" t="s">
        <v>441</v>
      </c>
      <c r="AM59" s="4" t="s">
        <v>30</v>
      </c>
      <c r="AP59" s="4" t="s">
        <v>112</v>
      </c>
      <c r="AQ59" s="4" t="s">
        <v>441</v>
      </c>
      <c r="AR59" s="4" t="s">
        <v>650</v>
      </c>
      <c r="AZ59" s="4" t="s">
        <v>111</v>
      </c>
      <c r="BA59" s="4" t="s">
        <v>345</v>
      </c>
      <c r="BB59" s="4" t="s">
        <v>739</v>
      </c>
      <c r="BE59" s="4" t="s">
        <v>124</v>
      </c>
      <c r="BF59" s="4" t="s">
        <v>441</v>
      </c>
      <c r="BG59" s="4" t="s">
        <v>654</v>
      </c>
      <c r="BJ59" s="11" t="s">
        <v>126</v>
      </c>
      <c r="BK59" s="11" t="s">
        <v>441</v>
      </c>
      <c r="BL59" s="11" t="s">
        <v>744</v>
      </c>
      <c r="BT59" s="4" t="s">
        <v>142</v>
      </c>
      <c r="BU59" s="4" t="s">
        <v>293</v>
      </c>
      <c r="BV59" s="4" t="s">
        <v>903</v>
      </c>
      <c r="BY59" s="4" t="s">
        <v>144</v>
      </c>
      <c r="BZ59" s="4" t="s">
        <v>441</v>
      </c>
      <c r="CA59" s="4" t="s">
        <v>663</v>
      </c>
      <c r="CD59" s="4" t="s">
        <v>126</v>
      </c>
      <c r="CE59" s="4" t="s">
        <v>446</v>
      </c>
      <c r="CF59" s="4" t="s">
        <v>30</v>
      </c>
      <c r="CX59" s="4" t="s">
        <v>154</v>
      </c>
      <c r="CY59" s="4" t="s">
        <v>1568</v>
      </c>
      <c r="CZ59" s="4" t="s">
        <v>1188</v>
      </c>
      <c r="DC59" s="4" t="s">
        <v>134</v>
      </c>
      <c r="DD59" s="4" t="s">
        <v>441</v>
      </c>
      <c r="DE59" s="4" t="s">
        <v>1281</v>
      </c>
      <c r="DH59" s="4" t="s">
        <v>130</v>
      </c>
      <c r="DI59" s="4" t="s">
        <v>441</v>
      </c>
      <c r="DJ59" s="4" t="s">
        <v>657</v>
      </c>
      <c r="DM59" s="4" t="s">
        <v>132</v>
      </c>
      <c r="DN59" s="4" t="s">
        <v>441</v>
      </c>
      <c r="DO59" s="4" t="s">
        <v>658</v>
      </c>
      <c r="DR59" s="4" t="s">
        <v>138</v>
      </c>
      <c r="DS59" s="4" t="s">
        <v>411</v>
      </c>
      <c r="DT59" s="4" t="s">
        <v>1451</v>
      </c>
    </row>
    <row r="60" spans="2:124">
      <c r="B60" s="4" t="s">
        <v>128</v>
      </c>
      <c r="C60" s="4" t="s">
        <v>35</v>
      </c>
      <c r="D60" s="4" t="s">
        <v>129</v>
      </c>
      <c r="G60" s="4" t="s">
        <v>128</v>
      </c>
      <c r="H60" s="4" t="s">
        <v>290</v>
      </c>
      <c r="I60" s="4" t="s">
        <v>129</v>
      </c>
      <c r="L60" s="4" t="s">
        <v>112</v>
      </c>
      <c r="M60" s="4" t="s">
        <v>45</v>
      </c>
      <c r="N60" s="4" t="s">
        <v>113</v>
      </c>
      <c r="Q60" s="4" t="s">
        <v>112</v>
      </c>
      <c r="R60" s="4" t="s">
        <v>292</v>
      </c>
      <c r="S60" s="4" t="s">
        <v>113</v>
      </c>
      <c r="V60" s="4" t="s">
        <v>142</v>
      </c>
      <c r="W60" s="4" t="s">
        <v>393</v>
      </c>
      <c r="X60" s="4" t="s">
        <v>419</v>
      </c>
      <c r="AA60" s="4" t="s">
        <v>112</v>
      </c>
      <c r="AB60" s="4" t="s">
        <v>360</v>
      </c>
      <c r="AC60" s="4" t="s">
        <v>30</v>
      </c>
      <c r="AF60" s="4" t="s">
        <v>140</v>
      </c>
      <c r="AG60" s="4" t="s">
        <v>361</v>
      </c>
      <c r="AH60" s="4" t="s">
        <v>538</v>
      </c>
      <c r="AK60" s="4" t="s">
        <v>128</v>
      </c>
      <c r="AL60" s="4" t="s">
        <v>441</v>
      </c>
      <c r="AM60" s="4" t="s">
        <v>30</v>
      </c>
      <c r="AP60" s="4" t="s">
        <v>114</v>
      </c>
      <c r="AQ60" s="4" t="s">
        <v>441</v>
      </c>
      <c r="AR60" s="4" t="s">
        <v>651</v>
      </c>
      <c r="AZ60" s="4" t="s">
        <v>112</v>
      </c>
      <c r="BA60" s="4" t="s">
        <v>345</v>
      </c>
      <c r="BB60" s="4" t="s">
        <v>740</v>
      </c>
      <c r="BE60" s="4" t="s">
        <v>125</v>
      </c>
      <c r="BF60" s="4" t="s">
        <v>441</v>
      </c>
      <c r="BG60" s="4" t="s">
        <v>654</v>
      </c>
      <c r="BJ60" s="11" t="s">
        <v>128</v>
      </c>
      <c r="BK60" s="11" t="s">
        <v>441</v>
      </c>
      <c r="BL60" s="11" t="s">
        <v>745</v>
      </c>
      <c r="BT60" s="4" t="s">
        <v>144</v>
      </c>
      <c r="BU60" s="4" t="s">
        <v>898</v>
      </c>
      <c r="BV60" s="4" t="s">
        <v>904</v>
      </c>
      <c r="BY60" s="4" t="s">
        <v>146</v>
      </c>
      <c r="BZ60" s="4" t="s">
        <v>441</v>
      </c>
      <c r="CA60" s="4" t="s">
        <v>664</v>
      </c>
      <c r="CD60" s="4" t="s">
        <v>128</v>
      </c>
      <c r="CE60" s="4" t="s">
        <v>360</v>
      </c>
      <c r="CF60" s="4" t="s">
        <v>30</v>
      </c>
      <c r="CX60" s="4" t="s">
        <v>156</v>
      </c>
      <c r="CY60" s="4" t="s">
        <v>1189</v>
      </c>
      <c r="CZ60" s="4" t="s">
        <v>1190</v>
      </c>
      <c r="DC60" s="4" t="s">
        <v>136</v>
      </c>
      <c r="DD60" s="4" t="s">
        <v>441</v>
      </c>
      <c r="DE60" s="4" t="s">
        <v>1281</v>
      </c>
      <c r="DH60" s="4" t="s">
        <v>132</v>
      </c>
      <c r="DI60" s="4" t="s">
        <v>360</v>
      </c>
      <c r="DJ60" s="4" t="s">
        <v>1349</v>
      </c>
      <c r="DM60" s="4" t="s">
        <v>134</v>
      </c>
      <c r="DN60" s="4" t="s">
        <v>441</v>
      </c>
      <c r="DO60" s="4" t="s">
        <v>659</v>
      </c>
      <c r="DR60" s="4" t="s">
        <v>140</v>
      </c>
      <c r="DS60" s="4" t="s">
        <v>361</v>
      </c>
      <c r="DT60" s="4" t="s">
        <v>1452</v>
      </c>
    </row>
    <row r="61" spans="2:124">
      <c r="B61" s="4" t="s">
        <v>130</v>
      </c>
      <c r="C61" s="4" t="s">
        <v>35</v>
      </c>
      <c r="D61" s="4" t="s">
        <v>131</v>
      </c>
      <c r="G61" s="4" t="s">
        <v>130</v>
      </c>
      <c r="H61" s="4" t="s">
        <v>290</v>
      </c>
      <c r="I61" s="4" t="s">
        <v>131</v>
      </c>
      <c r="L61" s="4" t="s">
        <v>114</v>
      </c>
      <c r="M61" s="4" t="s">
        <v>29</v>
      </c>
      <c r="N61" s="4" t="s">
        <v>115</v>
      </c>
      <c r="Q61" s="4" t="s">
        <v>114</v>
      </c>
      <c r="R61" s="4" t="s">
        <v>288</v>
      </c>
      <c r="S61" s="4" t="s">
        <v>115</v>
      </c>
      <c r="V61" s="4" t="s">
        <v>144</v>
      </c>
      <c r="W61" s="4" t="s">
        <v>420</v>
      </c>
      <c r="X61" s="4" t="s">
        <v>145</v>
      </c>
      <c r="AA61" s="4" t="s">
        <v>114</v>
      </c>
      <c r="AB61" s="4" t="s">
        <v>360</v>
      </c>
      <c r="AC61" s="4" t="s">
        <v>30</v>
      </c>
      <c r="AF61" s="4" t="s">
        <v>142</v>
      </c>
      <c r="AG61" s="4" t="s">
        <v>539</v>
      </c>
      <c r="AH61" s="4" t="s">
        <v>540</v>
      </c>
      <c r="AK61" s="4" t="s">
        <v>130</v>
      </c>
      <c r="AL61" s="4" t="s">
        <v>441</v>
      </c>
      <c r="AM61" s="4" t="s">
        <v>30</v>
      </c>
      <c r="AP61" s="4" t="s">
        <v>116</v>
      </c>
      <c r="AQ61" s="4" t="s">
        <v>441</v>
      </c>
      <c r="AR61" s="4" t="s">
        <v>652</v>
      </c>
      <c r="AZ61" s="4" t="s">
        <v>114</v>
      </c>
      <c r="BA61" s="4" t="s">
        <v>345</v>
      </c>
      <c r="BB61" s="4" t="s">
        <v>741</v>
      </c>
      <c r="BE61" s="4" t="s">
        <v>126</v>
      </c>
      <c r="BF61" s="4" t="s">
        <v>441</v>
      </c>
      <c r="BG61" s="4" t="s">
        <v>655</v>
      </c>
      <c r="BJ61" s="11" t="s">
        <v>130</v>
      </c>
      <c r="BK61" s="11" t="s">
        <v>441</v>
      </c>
      <c r="BL61" s="11" t="s">
        <v>746</v>
      </c>
      <c r="BT61" s="4" t="s">
        <v>146</v>
      </c>
      <c r="BU61" s="4" t="s">
        <v>361</v>
      </c>
      <c r="BV61" s="4" t="s">
        <v>905</v>
      </c>
      <c r="BY61" s="4" t="s">
        <v>148</v>
      </c>
      <c r="BZ61" s="4" t="s">
        <v>441</v>
      </c>
      <c r="CA61" s="4" t="s">
        <v>665</v>
      </c>
      <c r="CD61" s="4" t="s">
        <v>130</v>
      </c>
      <c r="CE61" s="4" t="s">
        <v>298</v>
      </c>
      <c r="CF61" s="4" t="s">
        <v>982</v>
      </c>
      <c r="CX61" s="4" t="s">
        <v>160</v>
      </c>
      <c r="CY61" s="4" t="s">
        <v>1569</v>
      </c>
      <c r="CZ61" s="4" t="s">
        <v>1192</v>
      </c>
      <c r="DC61" s="4" t="s">
        <v>138</v>
      </c>
      <c r="DD61" s="4" t="s">
        <v>441</v>
      </c>
      <c r="DE61" s="4" t="s">
        <v>1281</v>
      </c>
      <c r="DH61" s="4" t="s">
        <v>134</v>
      </c>
      <c r="DI61" s="4" t="s">
        <v>360</v>
      </c>
      <c r="DJ61" s="4" t="s">
        <v>1350</v>
      </c>
      <c r="DM61" s="4" t="s">
        <v>136</v>
      </c>
      <c r="DN61" s="4" t="s">
        <v>345</v>
      </c>
      <c r="DO61" s="4" t="s">
        <v>660</v>
      </c>
      <c r="DR61" s="4" t="s">
        <v>142</v>
      </c>
      <c r="DS61" s="4" t="s">
        <v>573</v>
      </c>
      <c r="DT61" s="4" t="s">
        <v>1453</v>
      </c>
    </row>
    <row r="62" spans="2:124">
      <c r="B62" s="4" t="s">
        <v>132</v>
      </c>
      <c r="C62" s="4" t="s">
        <v>35</v>
      </c>
      <c r="D62" s="4" t="s">
        <v>133</v>
      </c>
      <c r="G62" s="4" t="s">
        <v>132</v>
      </c>
      <c r="H62" s="4" t="s">
        <v>290</v>
      </c>
      <c r="I62" s="4" t="s">
        <v>133</v>
      </c>
      <c r="L62" s="4" t="s">
        <v>116</v>
      </c>
      <c r="M62" s="4" t="s">
        <v>55</v>
      </c>
      <c r="N62" s="4" t="s">
        <v>117</v>
      </c>
      <c r="Q62" s="4" t="s">
        <v>116</v>
      </c>
      <c r="R62" s="4" t="s">
        <v>293</v>
      </c>
      <c r="S62" s="4" t="s">
        <v>117</v>
      </c>
      <c r="V62" s="4" t="s">
        <v>146</v>
      </c>
      <c r="W62" s="4" t="s">
        <v>359</v>
      </c>
      <c r="X62" s="4" t="s">
        <v>421</v>
      </c>
      <c r="AA62" s="4" t="s">
        <v>116</v>
      </c>
      <c r="AB62" s="4" t="s">
        <v>360</v>
      </c>
      <c r="AC62" s="4" t="s">
        <v>30</v>
      </c>
      <c r="AF62" s="4" t="s">
        <v>144</v>
      </c>
      <c r="AG62" s="4" t="s">
        <v>24</v>
      </c>
      <c r="AH62" s="4" t="s">
        <v>541</v>
      </c>
      <c r="AK62" s="4" t="s">
        <v>132</v>
      </c>
      <c r="AL62" s="4" t="s">
        <v>441</v>
      </c>
      <c r="AM62" s="4" t="s">
        <v>30</v>
      </c>
      <c r="AP62" s="4" t="s">
        <v>118</v>
      </c>
      <c r="AQ62" s="4" t="s">
        <v>298</v>
      </c>
      <c r="AR62" s="4" t="s">
        <v>653</v>
      </c>
      <c r="AZ62" s="4" t="s">
        <v>116</v>
      </c>
      <c r="BA62" s="4" t="s">
        <v>345</v>
      </c>
      <c r="BB62" s="4" t="s">
        <v>742</v>
      </c>
      <c r="BE62" s="4" t="s">
        <v>128</v>
      </c>
      <c r="BF62" s="4" t="s">
        <v>441</v>
      </c>
      <c r="BG62" s="4" t="s">
        <v>656</v>
      </c>
      <c r="BJ62" s="11" t="s">
        <v>132</v>
      </c>
      <c r="BK62" s="11" t="s">
        <v>441</v>
      </c>
      <c r="BL62" s="11" t="s">
        <v>747</v>
      </c>
      <c r="BT62" s="4" t="s">
        <v>148</v>
      </c>
      <c r="BU62" s="4" t="s">
        <v>377</v>
      </c>
      <c r="BV62" s="4" t="s">
        <v>906</v>
      </c>
      <c r="BY62" s="4" t="s">
        <v>150</v>
      </c>
      <c r="BZ62" s="4" t="s">
        <v>441</v>
      </c>
      <c r="CA62" s="4" t="s">
        <v>785</v>
      </c>
      <c r="CD62" s="4" t="s">
        <v>132</v>
      </c>
      <c r="CE62" s="4" t="s">
        <v>444</v>
      </c>
      <c r="CF62" s="4" t="s">
        <v>983</v>
      </c>
      <c r="CX62" s="4" t="s">
        <v>164</v>
      </c>
      <c r="CY62" s="4" t="s">
        <v>1570</v>
      </c>
      <c r="CZ62" s="4" t="s">
        <v>1194</v>
      </c>
      <c r="DC62" s="4" t="s">
        <v>140</v>
      </c>
      <c r="DD62" s="4" t="s">
        <v>441</v>
      </c>
      <c r="DE62" s="4" t="s">
        <v>1281</v>
      </c>
      <c r="DH62" s="4" t="s">
        <v>136</v>
      </c>
      <c r="DI62" s="4" t="s">
        <v>345</v>
      </c>
      <c r="DJ62" s="4" t="s">
        <v>660</v>
      </c>
      <c r="DM62" s="4" t="s">
        <v>138</v>
      </c>
      <c r="DN62" s="4" t="s">
        <v>441</v>
      </c>
      <c r="DO62" s="4" t="s">
        <v>661</v>
      </c>
      <c r="DR62" s="4" t="s">
        <v>144</v>
      </c>
      <c r="DS62" s="4" t="s">
        <v>24</v>
      </c>
      <c r="DT62" s="4" t="s">
        <v>1454</v>
      </c>
    </row>
    <row r="63" spans="2:124">
      <c r="B63" s="4" t="s">
        <v>134</v>
      </c>
      <c r="C63" s="4" t="s">
        <v>55</v>
      </c>
      <c r="D63" s="4" t="s">
        <v>135</v>
      </c>
      <c r="G63" s="4" t="s">
        <v>134</v>
      </c>
      <c r="H63" s="4" t="s">
        <v>293</v>
      </c>
      <c r="I63" s="4" t="s">
        <v>135</v>
      </c>
      <c r="L63" s="4" t="s">
        <v>118</v>
      </c>
      <c r="M63" s="4" t="s">
        <v>119</v>
      </c>
      <c r="N63" s="4" t="s">
        <v>120</v>
      </c>
      <c r="Q63" s="4" t="s">
        <v>118</v>
      </c>
      <c r="R63" s="4" t="s">
        <v>299</v>
      </c>
      <c r="S63" s="4" t="s">
        <v>120</v>
      </c>
      <c r="V63" s="4" t="s">
        <v>148</v>
      </c>
      <c r="W63" s="4" t="s">
        <v>292</v>
      </c>
      <c r="X63" s="4" t="s">
        <v>149</v>
      </c>
      <c r="AA63" s="4" t="s">
        <v>118</v>
      </c>
      <c r="AB63" s="4" t="s">
        <v>377</v>
      </c>
      <c r="AC63" s="4" t="s">
        <v>451</v>
      </c>
      <c r="AF63" s="4" t="s">
        <v>146</v>
      </c>
      <c r="AG63" s="4" t="s">
        <v>485</v>
      </c>
      <c r="AH63" s="4" t="s">
        <v>542</v>
      </c>
      <c r="AK63" s="4" t="s">
        <v>134</v>
      </c>
      <c r="AL63" s="4" t="s">
        <v>441</v>
      </c>
      <c r="AM63" s="4" t="s">
        <v>30</v>
      </c>
      <c r="AP63" s="4" t="s">
        <v>121</v>
      </c>
      <c r="AQ63" s="4" t="s">
        <v>441</v>
      </c>
      <c r="AR63" s="4" t="s">
        <v>654</v>
      </c>
      <c r="AZ63" s="4" t="s">
        <v>118</v>
      </c>
      <c r="BA63" s="4" t="s">
        <v>444</v>
      </c>
      <c r="BB63" s="4" t="s">
        <v>653</v>
      </c>
      <c r="BE63" s="4" t="s">
        <v>130</v>
      </c>
      <c r="BF63" s="4" t="s">
        <v>441</v>
      </c>
      <c r="BG63" s="4" t="s">
        <v>657</v>
      </c>
      <c r="BJ63" s="11" t="s">
        <v>134</v>
      </c>
      <c r="BK63" s="11" t="s">
        <v>441</v>
      </c>
      <c r="BL63" s="11" t="s">
        <v>748</v>
      </c>
      <c r="BT63" s="4" t="s">
        <v>150</v>
      </c>
      <c r="BU63" s="4" t="s">
        <v>356</v>
      </c>
      <c r="BV63" s="4" t="s">
        <v>907</v>
      </c>
      <c r="BY63" s="4" t="s">
        <v>152</v>
      </c>
      <c r="BZ63" s="4" t="s">
        <v>441</v>
      </c>
      <c r="CA63" s="4" t="s">
        <v>667</v>
      </c>
      <c r="CD63" s="4" t="s">
        <v>134</v>
      </c>
      <c r="CE63" s="4" t="s">
        <v>444</v>
      </c>
      <c r="CF63" s="4" t="s">
        <v>972</v>
      </c>
      <c r="CX63" s="4" t="s">
        <v>166</v>
      </c>
      <c r="CY63" s="4" t="s">
        <v>1571</v>
      </c>
      <c r="CZ63" s="4" t="s">
        <v>1196</v>
      </c>
      <c r="DC63" s="4" t="s">
        <v>142</v>
      </c>
      <c r="DD63" s="4" t="s">
        <v>441</v>
      </c>
      <c r="DE63" s="4" t="s">
        <v>1281</v>
      </c>
      <c r="DH63" s="4" t="s">
        <v>138</v>
      </c>
      <c r="DI63" s="4" t="s">
        <v>441</v>
      </c>
      <c r="DJ63" s="4" t="s">
        <v>661</v>
      </c>
      <c r="DM63" s="4" t="s">
        <v>140</v>
      </c>
      <c r="DN63" s="4" t="s">
        <v>441</v>
      </c>
      <c r="DO63" s="4" t="s">
        <v>662</v>
      </c>
      <c r="DR63" s="4" t="s">
        <v>146</v>
      </c>
      <c r="DS63" s="4" t="s">
        <v>1271</v>
      </c>
      <c r="DT63" s="4" t="s">
        <v>1455</v>
      </c>
    </row>
    <row r="64" spans="2:124">
      <c r="B64" s="4" t="s">
        <v>136</v>
      </c>
      <c r="C64" s="4" t="s">
        <v>24</v>
      </c>
      <c r="D64" s="4" t="s">
        <v>137</v>
      </c>
      <c r="G64" s="4" t="s">
        <v>136</v>
      </c>
      <c r="H64" s="4" t="s">
        <v>286</v>
      </c>
      <c r="I64" s="4" t="s">
        <v>137</v>
      </c>
      <c r="L64" s="4" t="s">
        <v>121</v>
      </c>
      <c r="M64" s="4" t="s">
        <v>32</v>
      </c>
      <c r="N64" s="4" t="s">
        <v>311</v>
      </c>
      <c r="Q64" s="4" t="s">
        <v>121</v>
      </c>
      <c r="R64" s="4" t="s">
        <v>289</v>
      </c>
      <c r="S64" s="4" t="s">
        <v>311</v>
      </c>
      <c r="V64" s="4" t="s">
        <v>150</v>
      </c>
      <c r="W64" s="4" t="s">
        <v>422</v>
      </c>
      <c r="X64" s="4" t="s">
        <v>423</v>
      </c>
      <c r="AA64" s="4" t="s">
        <v>121</v>
      </c>
      <c r="AB64" s="4" t="s">
        <v>346</v>
      </c>
      <c r="AC64" s="4" t="s">
        <v>122</v>
      </c>
      <c r="AF64" s="4" t="s">
        <v>148</v>
      </c>
      <c r="AG64" s="4" t="s">
        <v>445</v>
      </c>
      <c r="AH64" s="4" t="s">
        <v>543</v>
      </c>
      <c r="AK64" s="4" t="s">
        <v>136</v>
      </c>
      <c r="AL64" s="4" t="s">
        <v>441</v>
      </c>
      <c r="AM64" s="4" t="s">
        <v>30</v>
      </c>
      <c r="AP64" s="4" t="s">
        <v>123</v>
      </c>
      <c r="AQ64" s="4" t="s">
        <v>441</v>
      </c>
      <c r="AR64" s="4" t="s">
        <v>654</v>
      </c>
      <c r="AZ64" s="4" t="s">
        <v>121</v>
      </c>
      <c r="BA64" s="4" t="s">
        <v>345</v>
      </c>
      <c r="BB64" s="4" t="s">
        <v>743</v>
      </c>
      <c r="BE64" s="4" t="s">
        <v>132</v>
      </c>
      <c r="BF64" s="4" t="s">
        <v>441</v>
      </c>
      <c r="BG64" s="4" t="s">
        <v>658</v>
      </c>
      <c r="BJ64" s="11" t="s">
        <v>136</v>
      </c>
      <c r="BK64" s="11" t="s">
        <v>441</v>
      </c>
      <c r="BL64" s="11" t="s">
        <v>797</v>
      </c>
      <c r="BT64" s="4" t="s">
        <v>152</v>
      </c>
      <c r="BU64" s="4" t="s">
        <v>614</v>
      </c>
      <c r="BV64" s="4" t="s">
        <v>908</v>
      </c>
      <c r="BY64" s="4" t="s">
        <v>154</v>
      </c>
      <c r="BZ64" s="4" t="s">
        <v>441</v>
      </c>
      <c r="CA64" s="4" t="s">
        <v>668</v>
      </c>
      <c r="CD64" s="4" t="s">
        <v>136</v>
      </c>
      <c r="CE64" s="4" t="s">
        <v>450</v>
      </c>
      <c r="CF64" s="4" t="s">
        <v>984</v>
      </c>
      <c r="CX64" s="4" t="s">
        <v>168</v>
      </c>
      <c r="CY64" s="4" t="s">
        <v>1197</v>
      </c>
      <c r="CZ64" s="4" t="s">
        <v>1198</v>
      </c>
      <c r="DC64" s="4" t="s">
        <v>144</v>
      </c>
      <c r="DD64" s="4" t="s">
        <v>441</v>
      </c>
      <c r="DE64" s="4" t="s">
        <v>1281</v>
      </c>
      <c r="DH64" s="4" t="s">
        <v>140</v>
      </c>
      <c r="DI64" s="4" t="s">
        <v>441</v>
      </c>
      <c r="DJ64" s="4" t="s">
        <v>662</v>
      </c>
      <c r="DM64" s="4" t="s">
        <v>142</v>
      </c>
      <c r="DN64" s="4" t="s">
        <v>441</v>
      </c>
      <c r="DO64" s="4" t="s">
        <v>640</v>
      </c>
      <c r="DR64" s="4" t="s">
        <v>148</v>
      </c>
      <c r="DS64" s="4" t="s">
        <v>445</v>
      </c>
      <c r="DT64" s="4" t="s">
        <v>1456</v>
      </c>
    </row>
    <row r="65" spans="2:124">
      <c r="B65" s="4" t="s">
        <v>138</v>
      </c>
      <c r="C65" s="4" t="s">
        <v>35</v>
      </c>
      <c r="D65" s="4" t="s">
        <v>139</v>
      </c>
      <c r="G65" s="4" t="s">
        <v>138</v>
      </c>
      <c r="H65" s="4" t="s">
        <v>290</v>
      </c>
      <c r="I65" s="4" t="s">
        <v>139</v>
      </c>
      <c r="L65" s="4" t="s">
        <v>123</v>
      </c>
      <c r="M65" s="4" t="s">
        <v>32</v>
      </c>
      <c r="N65" s="4" t="s">
        <v>311</v>
      </c>
      <c r="Q65" s="4" t="s">
        <v>123</v>
      </c>
      <c r="R65" s="4" t="s">
        <v>289</v>
      </c>
      <c r="S65" s="4" t="s">
        <v>311</v>
      </c>
      <c r="V65" s="4" t="s">
        <v>152</v>
      </c>
      <c r="W65" s="4" t="s">
        <v>424</v>
      </c>
      <c r="X65" s="4" t="s">
        <v>425</v>
      </c>
      <c r="AA65" s="4" t="s">
        <v>123</v>
      </c>
      <c r="AB65" s="4" t="s">
        <v>346</v>
      </c>
      <c r="AC65" s="4" t="s">
        <v>122</v>
      </c>
      <c r="AF65" s="4" t="s">
        <v>150</v>
      </c>
      <c r="AG65" s="4" t="s">
        <v>544</v>
      </c>
      <c r="AH65" s="4" t="s">
        <v>545</v>
      </c>
      <c r="AK65" s="4" t="s">
        <v>138</v>
      </c>
      <c r="AL65" s="4" t="s">
        <v>441</v>
      </c>
      <c r="AM65" s="4" t="s">
        <v>30</v>
      </c>
      <c r="AP65" s="4" t="s">
        <v>124</v>
      </c>
      <c r="AQ65" s="4" t="s">
        <v>441</v>
      </c>
      <c r="AR65" s="4" t="s">
        <v>654</v>
      </c>
      <c r="AZ65" s="4" t="s">
        <v>123</v>
      </c>
      <c r="BA65" s="4" t="s">
        <v>345</v>
      </c>
      <c r="BB65" s="4" t="s">
        <v>743</v>
      </c>
      <c r="BE65" s="4" t="s">
        <v>134</v>
      </c>
      <c r="BF65" s="4" t="s">
        <v>345</v>
      </c>
      <c r="BG65" s="4" t="s">
        <v>784</v>
      </c>
      <c r="BJ65" s="11" t="s">
        <v>138</v>
      </c>
      <c r="BK65" s="11" t="s">
        <v>441</v>
      </c>
      <c r="BL65" s="11" t="s">
        <v>749</v>
      </c>
      <c r="BT65" s="4" t="s">
        <v>154</v>
      </c>
      <c r="BU65" s="4" t="s">
        <v>444</v>
      </c>
      <c r="BV65" s="4" t="s">
        <v>909</v>
      </c>
      <c r="BY65" s="4" t="s">
        <v>156</v>
      </c>
      <c r="BZ65" s="4" t="s">
        <v>441</v>
      </c>
      <c r="CA65" s="4" t="s">
        <v>669</v>
      </c>
      <c r="CD65" s="4" t="s">
        <v>138</v>
      </c>
      <c r="CE65" s="4" t="s">
        <v>444</v>
      </c>
      <c r="CF65" s="4" t="s">
        <v>985</v>
      </c>
      <c r="CX65" s="4" t="s">
        <v>170</v>
      </c>
      <c r="CY65" s="4" t="s">
        <v>1572</v>
      </c>
      <c r="CZ65" s="4" t="s">
        <v>1200</v>
      </c>
      <c r="DC65" s="4" t="s">
        <v>146</v>
      </c>
      <c r="DD65" s="4" t="s">
        <v>441</v>
      </c>
      <c r="DE65" s="4" t="s">
        <v>1281</v>
      </c>
      <c r="DH65" s="4" t="s">
        <v>142</v>
      </c>
      <c r="DI65" s="4" t="s">
        <v>360</v>
      </c>
      <c r="DJ65" s="4" t="s">
        <v>1351</v>
      </c>
      <c r="DM65" s="4" t="s">
        <v>144</v>
      </c>
      <c r="DN65" s="4" t="s">
        <v>441</v>
      </c>
      <c r="DO65" s="4" t="s">
        <v>663</v>
      </c>
      <c r="DR65" s="4" t="s">
        <v>150</v>
      </c>
      <c r="DS65" s="4" t="s">
        <v>1078</v>
      </c>
      <c r="DT65" s="4" t="s">
        <v>1457</v>
      </c>
    </row>
    <row r="66" spans="2:124">
      <c r="B66" s="4" t="s">
        <v>140</v>
      </c>
      <c r="C66" s="4" t="s">
        <v>29</v>
      </c>
      <c r="D66" s="4" t="s">
        <v>141</v>
      </c>
      <c r="G66" s="4" t="s">
        <v>140</v>
      </c>
      <c r="H66" s="4" t="s">
        <v>288</v>
      </c>
      <c r="I66" s="4" t="s">
        <v>141</v>
      </c>
      <c r="L66" s="4" t="s">
        <v>124</v>
      </c>
      <c r="M66" s="4" t="s">
        <v>32</v>
      </c>
      <c r="N66" s="4" t="s">
        <v>311</v>
      </c>
      <c r="Q66" s="4" t="s">
        <v>124</v>
      </c>
      <c r="R66" s="4" t="s">
        <v>289</v>
      </c>
      <c r="S66" s="4" t="s">
        <v>311</v>
      </c>
      <c r="V66" s="4" t="s">
        <v>154</v>
      </c>
      <c r="W66" s="4" t="s">
        <v>293</v>
      </c>
      <c r="X66" s="4" t="s">
        <v>155</v>
      </c>
      <c r="AA66" s="4" t="s">
        <v>124</v>
      </c>
      <c r="AB66" s="4" t="s">
        <v>346</v>
      </c>
      <c r="AC66" s="4" t="s">
        <v>122</v>
      </c>
      <c r="AF66" s="4" t="s">
        <v>152</v>
      </c>
      <c r="AG66" s="4" t="s">
        <v>424</v>
      </c>
      <c r="AH66" s="4" t="s">
        <v>546</v>
      </c>
      <c r="AK66" s="4" t="s">
        <v>140</v>
      </c>
      <c r="AL66" s="4" t="s">
        <v>441</v>
      </c>
      <c r="AM66" s="4" t="s">
        <v>30</v>
      </c>
      <c r="AP66" s="4" t="s">
        <v>125</v>
      </c>
      <c r="AQ66" s="4" t="s">
        <v>441</v>
      </c>
      <c r="AR66" s="4" t="s">
        <v>654</v>
      </c>
      <c r="AZ66" s="4" t="s">
        <v>124</v>
      </c>
      <c r="BA66" s="4" t="s">
        <v>345</v>
      </c>
      <c r="BB66" s="4" t="s">
        <v>743</v>
      </c>
      <c r="BE66" s="4" t="s">
        <v>136</v>
      </c>
      <c r="BF66" s="4" t="s">
        <v>345</v>
      </c>
      <c r="BG66" s="4" t="s">
        <v>660</v>
      </c>
      <c r="BJ66" s="11" t="s">
        <v>140</v>
      </c>
      <c r="BK66" s="11" t="s">
        <v>441</v>
      </c>
      <c r="BL66" s="11" t="s">
        <v>750</v>
      </c>
      <c r="BT66" s="4" t="s">
        <v>156</v>
      </c>
      <c r="BU66" s="4" t="s">
        <v>345</v>
      </c>
      <c r="BV66" s="4" t="s">
        <v>910</v>
      </c>
      <c r="BY66" s="4" t="s">
        <v>157</v>
      </c>
      <c r="BZ66" s="4" t="s">
        <v>441</v>
      </c>
      <c r="CA66" s="4" t="s">
        <v>670</v>
      </c>
      <c r="CD66" s="4" t="s">
        <v>140</v>
      </c>
      <c r="CE66" s="4" t="s">
        <v>446</v>
      </c>
      <c r="CF66" s="4" t="s">
        <v>30</v>
      </c>
      <c r="CX66" s="4" t="s">
        <v>172</v>
      </c>
      <c r="CY66" s="4" t="s">
        <v>1201</v>
      </c>
      <c r="CZ66" s="4" t="s">
        <v>1202</v>
      </c>
      <c r="DC66" s="4" t="s">
        <v>148</v>
      </c>
      <c r="DD66" s="4" t="s">
        <v>441</v>
      </c>
      <c r="DE66" s="4" t="s">
        <v>1281</v>
      </c>
      <c r="DH66" s="4" t="s">
        <v>144</v>
      </c>
      <c r="DI66" s="4" t="s">
        <v>360</v>
      </c>
      <c r="DJ66" s="4" t="s">
        <v>1352</v>
      </c>
      <c r="DM66" s="4" t="s">
        <v>146</v>
      </c>
      <c r="DN66" s="4" t="s">
        <v>441</v>
      </c>
      <c r="DO66" s="4" t="s">
        <v>664</v>
      </c>
      <c r="DR66" s="4" t="s">
        <v>152</v>
      </c>
      <c r="DS66" s="4" t="s">
        <v>293</v>
      </c>
      <c r="DT66" s="4" t="s">
        <v>1458</v>
      </c>
    </row>
    <row r="67" spans="2:124">
      <c r="B67" s="4" t="s">
        <v>142</v>
      </c>
      <c r="C67" s="4" t="s">
        <v>55</v>
      </c>
      <c r="D67" s="4" t="s">
        <v>143</v>
      </c>
      <c r="G67" s="4" t="s">
        <v>142</v>
      </c>
      <c r="H67" s="4" t="s">
        <v>293</v>
      </c>
      <c r="I67" s="4" t="s">
        <v>143</v>
      </c>
      <c r="L67" s="4" t="s">
        <v>125</v>
      </c>
      <c r="M67" s="4" t="s">
        <v>32</v>
      </c>
      <c r="N67" s="4" t="s">
        <v>311</v>
      </c>
      <c r="Q67" s="4" t="s">
        <v>125</v>
      </c>
      <c r="R67" s="4" t="s">
        <v>289</v>
      </c>
      <c r="S67" s="4" t="s">
        <v>311</v>
      </c>
      <c r="V67" s="4" t="s">
        <v>156</v>
      </c>
      <c r="W67" s="4" t="s">
        <v>345</v>
      </c>
      <c r="X67" s="4" t="s">
        <v>30</v>
      </c>
      <c r="AA67" s="4" t="s">
        <v>125</v>
      </c>
      <c r="AB67" s="4" t="s">
        <v>346</v>
      </c>
      <c r="AC67" s="4" t="s">
        <v>122</v>
      </c>
      <c r="AF67" s="4" t="s">
        <v>154</v>
      </c>
      <c r="AG67" s="4" t="s">
        <v>350</v>
      </c>
      <c r="AH67" s="4" t="s">
        <v>547</v>
      </c>
      <c r="AK67" s="4" t="s">
        <v>142</v>
      </c>
      <c r="AL67" s="4" t="s">
        <v>441</v>
      </c>
      <c r="AM67" s="4" t="s">
        <v>30</v>
      </c>
      <c r="AP67" s="4" t="s">
        <v>126</v>
      </c>
      <c r="AQ67" s="4" t="s">
        <v>441</v>
      </c>
      <c r="AR67" s="4" t="s">
        <v>655</v>
      </c>
      <c r="AZ67" s="4" t="s">
        <v>125</v>
      </c>
      <c r="BA67" s="4" t="s">
        <v>345</v>
      </c>
      <c r="BB67" s="4" t="s">
        <v>743</v>
      </c>
      <c r="BE67" s="4" t="s">
        <v>138</v>
      </c>
      <c r="BF67" s="4" t="s">
        <v>441</v>
      </c>
      <c r="BG67" s="4" t="s">
        <v>661</v>
      </c>
      <c r="BJ67" s="11" t="s">
        <v>142</v>
      </c>
      <c r="BK67" s="11" t="s">
        <v>441</v>
      </c>
      <c r="BL67" s="11" t="s">
        <v>751</v>
      </c>
      <c r="BT67" s="4" t="s">
        <v>157</v>
      </c>
      <c r="BU67" s="4" t="s">
        <v>345</v>
      </c>
      <c r="BV67" s="4" t="s">
        <v>911</v>
      </c>
      <c r="BY67" s="4" t="s">
        <v>160</v>
      </c>
      <c r="BZ67" s="4" t="s">
        <v>441</v>
      </c>
      <c r="CA67" s="4" t="s">
        <v>671</v>
      </c>
      <c r="CD67" s="4" t="s">
        <v>142</v>
      </c>
      <c r="CE67" s="4" t="s">
        <v>298</v>
      </c>
      <c r="CF67" s="4" t="s">
        <v>986</v>
      </c>
      <c r="CX67" s="4" t="s">
        <v>174</v>
      </c>
      <c r="CY67" s="4" t="s">
        <v>1573</v>
      </c>
      <c r="CZ67" s="4" t="s">
        <v>1204</v>
      </c>
      <c r="DC67" s="4" t="s">
        <v>150</v>
      </c>
      <c r="DD67" s="4" t="s">
        <v>441</v>
      </c>
      <c r="DE67" s="4" t="s">
        <v>1281</v>
      </c>
      <c r="DH67" s="4" t="s">
        <v>146</v>
      </c>
      <c r="DI67" s="4" t="s">
        <v>360</v>
      </c>
      <c r="DJ67" s="4" t="s">
        <v>1353</v>
      </c>
      <c r="DM67" s="4" t="s">
        <v>148</v>
      </c>
      <c r="DN67" s="4" t="s">
        <v>441</v>
      </c>
      <c r="DO67" s="4" t="s">
        <v>665</v>
      </c>
      <c r="DR67" s="4" t="s">
        <v>154</v>
      </c>
      <c r="DS67" s="4" t="s">
        <v>350</v>
      </c>
      <c r="DT67" s="4" t="s">
        <v>1459</v>
      </c>
    </row>
    <row r="68" spans="2:124">
      <c r="B68" s="4" t="s">
        <v>144</v>
      </c>
      <c r="C68" s="4" t="s">
        <v>45</v>
      </c>
      <c r="D68" s="4" t="s">
        <v>145</v>
      </c>
      <c r="G68" s="4" t="s">
        <v>144</v>
      </c>
      <c r="H68" s="4" t="s">
        <v>292</v>
      </c>
      <c r="I68" s="4" t="s">
        <v>145</v>
      </c>
      <c r="L68" s="4" t="s">
        <v>126</v>
      </c>
      <c r="M68" s="4" t="s">
        <v>29</v>
      </c>
      <c r="N68" s="4" t="s">
        <v>127</v>
      </c>
      <c r="Q68" s="4" t="s">
        <v>126</v>
      </c>
      <c r="R68" s="4" t="s">
        <v>288</v>
      </c>
      <c r="S68" s="4" t="s">
        <v>127</v>
      </c>
      <c r="V68" s="4" t="s">
        <v>157</v>
      </c>
      <c r="W68" s="4" t="s">
        <v>345</v>
      </c>
      <c r="X68" s="4" t="s">
        <v>426</v>
      </c>
      <c r="AA68" s="4" t="s">
        <v>126</v>
      </c>
      <c r="AB68" s="4" t="s">
        <v>360</v>
      </c>
      <c r="AC68" s="4" t="s">
        <v>30</v>
      </c>
      <c r="AF68" s="4" t="s">
        <v>156</v>
      </c>
      <c r="AG68" s="4" t="s">
        <v>345</v>
      </c>
      <c r="AH68" s="4" t="s">
        <v>30</v>
      </c>
      <c r="AK68" s="4" t="s">
        <v>144</v>
      </c>
      <c r="AL68" s="4" t="s">
        <v>441</v>
      </c>
      <c r="AM68" s="4" t="s">
        <v>30</v>
      </c>
      <c r="AP68" s="4" t="s">
        <v>128</v>
      </c>
      <c r="AQ68" s="4" t="s">
        <v>441</v>
      </c>
      <c r="AR68" s="4" t="s">
        <v>656</v>
      </c>
      <c r="AZ68" s="4" t="s">
        <v>126</v>
      </c>
      <c r="BA68" s="4" t="s">
        <v>345</v>
      </c>
      <c r="BB68" s="4" t="s">
        <v>744</v>
      </c>
      <c r="BE68" s="4" t="s">
        <v>140</v>
      </c>
      <c r="BF68" s="4" t="s">
        <v>441</v>
      </c>
      <c r="BG68" s="4" t="s">
        <v>662</v>
      </c>
      <c r="BJ68" s="11" t="s">
        <v>144</v>
      </c>
      <c r="BK68" s="11" t="s">
        <v>441</v>
      </c>
      <c r="BL68" s="11" t="s">
        <v>752</v>
      </c>
      <c r="BT68" s="4" t="s">
        <v>160</v>
      </c>
      <c r="BU68" s="4" t="s">
        <v>104</v>
      </c>
      <c r="BV68" s="4" t="s">
        <v>912</v>
      </c>
      <c r="BY68" s="4" t="s">
        <v>162</v>
      </c>
      <c r="BZ68" s="4" t="s">
        <v>441</v>
      </c>
      <c r="CA68" s="4" t="s">
        <v>672</v>
      </c>
      <c r="CD68" s="4" t="s">
        <v>144</v>
      </c>
      <c r="CE68" s="4" t="s">
        <v>298</v>
      </c>
      <c r="CF68" s="4" t="s">
        <v>980</v>
      </c>
      <c r="CX68" s="4" t="s">
        <v>176</v>
      </c>
      <c r="CY68" s="4" t="s">
        <v>1205</v>
      </c>
      <c r="CZ68" s="4" t="s">
        <v>1206</v>
      </c>
      <c r="DC68" s="4" t="s">
        <v>152</v>
      </c>
      <c r="DD68" s="4" t="s">
        <v>441</v>
      </c>
      <c r="DE68" s="4" t="s">
        <v>1281</v>
      </c>
      <c r="DH68" s="4" t="s">
        <v>148</v>
      </c>
      <c r="DI68" s="4" t="s">
        <v>441</v>
      </c>
      <c r="DJ68" s="4" t="s">
        <v>665</v>
      </c>
      <c r="DM68" s="4" t="s">
        <v>150</v>
      </c>
      <c r="DN68" s="4" t="s">
        <v>441</v>
      </c>
      <c r="DO68" s="4" t="s">
        <v>785</v>
      </c>
      <c r="DR68" s="4" t="s">
        <v>156</v>
      </c>
      <c r="DS68" s="4" t="s">
        <v>345</v>
      </c>
      <c r="DT68" s="4" t="s">
        <v>1460</v>
      </c>
    </row>
    <row r="69" spans="2:124">
      <c r="B69" s="4" t="s">
        <v>146</v>
      </c>
      <c r="C69" s="4" t="s">
        <v>45</v>
      </c>
      <c r="D69" s="4" t="s">
        <v>147</v>
      </c>
      <c r="G69" s="4" t="s">
        <v>146</v>
      </c>
      <c r="H69" s="4" t="s">
        <v>292</v>
      </c>
      <c r="I69" s="4" t="s">
        <v>147</v>
      </c>
      <c r="L69" s="4" t="s">
        <v>128</v>
      </c>
      <c r="M69" s="4" t="s">
        <v>35</v>
      </c>
      <c r="N69" s="4" t="s">
        <v>129</v>
      </c>
      <c r="Q69" s="4" t="s">
        <v>128</v>
      </c>
      <c r="R69" s="4" t="s">
        <v>290</v>
      </c>
      <c r="S69" s="4" t="s">
        <v>129</v>
      </c>
      <c r="V69" s="4" t="s">
        <v>160</v>
      </c>
      <c r="W69" s="4" t="s">
        <v>296</v>
      </c>
      <c r="X69" s="4" t="s">
        <v>427</v>
      </c>
      <c r="AA69" s="4" t="s">
        <v>128</v>
      </c>
      <c r="AB69" s="4" t="s">
        <v>360</v>
      </c>
      <c r="AC69" s="4" t="s">
        <v>30</v>
      </c>
      <c r="AF69" s="4" t="s">
        <v>157</v>
      </c>
      <c r="AG69" s="4" t="s">
        <v>350</v>
      </c>
      <c r="AH69" s="4" t="s">
        <v>548</v>
      </c>
      <c r="AK69" s="4" t="s">
        <v>146</v>
      </c>
      <c r="AL69" s="4" t="s">
        <v>441</v>
      </c>
      <c r="AM69" s="4" t="s">
        <v>30</v>
      </c>
      <c r="AP69" s="4" t="s">
        <v>130</v>
      </c>
      <c r="AQ69" s="4" t="s">
        <v>441</v>
      </c>
      <c r="AR69" s="4" t="s">
        <v>657</v>
      </c>
      <c r="AZ69" s="4" t="s">
        <v>128</v>
      </c>
      <c r="BA69" s="4" t="s">
        <v>345</v>
      </c>
      <c r="BB69" s="4" t="s">
        <v>745</v>
      </c>
      <c r="BE69" s="4" t="s">
        <v>142</v>
      </c>
      <c r="BF69" s="4" t="s">
        <v>441</v>
      </c>
      <c r="BG69" s="4" t="s">
        <v>640</v>
      </c>
      <c r="BJ69" s="11" t="s">
        <v>146</v>
      </c>
      <c r="BK69" s="11" t="s">
        <v>441</v>
      </c>
      <c r="BL69" s="11" t="s">
        <v>753</v>
      </c>
      <c r="BT69" s="4" t="s">
        <v>164</v>
      </c>
      <c r="BU69" s="4" t="s">
        <v>497</v>
      </c>
      <c r="BV69" s="4" t="s">
        <v>913</v>
      </c>
      <c r="BY69" s="4" t="s">
        <v>164</v>
      </c>
      <c r="BZ69" s="4" t="s">
        <v>360</v>
      </c>
      <c r="CA69" s="4" t="s">
        <v>673</v>
      </c>
      <c r="CD69" s="4" t="s">
        <v>146</v>
      </c>
      <c r="CE69" s="4" t="s">
        <v>298</v>
      </c>
      <c r="CF69" s="4" t="s">
        <v>987</v>
      </c>
      <c r="CX69" s="4" t="s">
        <v>178</v>
      </c>
      <c r="CY69" s="4" t="s">
        <v>1207</v>
      </c>
      <c r="CZ69" s="4" t="s">
        <v>1208</v>
      </c>
      <c r="DC69" s="4" t="s">
        <v>154</v>
      </c>
      <c r="DD69" s="4" t="s">
        <v>441</v>
      </c>
      <c r="DE69" s="4" t="s">
        <v>1281</v>
      </c>
      <c r="DH69" s="4" t="s">
        <v>150</v>
      </c>
      <c r="DI69" s="4" t="s">
        <v>345</v>
      </c>
      <c r="DJ69" s="4" t="s">
        <v>1354</v>
      </c>
      <c r="DM69" s="4" t="s">
        <v>152</v>
      </c>
      <c r="DN69" s="4" t="s">
        <v>441</v>
      </c>
      <c r="DO69" s="4" t="s">
        <v>667</v>
      </c>
      <c r="DR69" s="4" t="s">
        <v>157</v>
      </c>
      <c r="DS69" s="4" t="s">
        <v>350</v>
      </c>
      <c r="DT69" s="4" t="s">
        <v>1461</v>
      </c>
    </row>
    <row r="70" spans="2:124">
      <c r="B70" s="4" t="s">
        <v>148</v>
      </c>
      <c r="C70" s="4" t="s">
        <v>55</v>
      </c>
      <c r="D70" s="4" t="s">
        <v>149</v>
      </c>
      <c r="G70" s="4" t="s">
        <v>148</v>
      </c>
      <c r="H70" s="4" t="s">
        <v>293</v>
      </c>
      <c r="I70" s="4" t="s">
        <v>149</v>
      </c>
      <c r="L70" s="4" t="s">
        <v>130</v>
      </c>
      <c r="M70" s="4" t="s">
        <v>35</v>
      </c>
      <c r="N70" s="4" t="s">
        <v>131</v>
      </c>
      <c r="Q70" s="4" t="s">
        <v>130</v>
      </c>
      <c r="R70" s="4" t="s">
        <v>290</v>
      </c>
      <c r="S70" s="4" t="s">
        <v>131</v>
      </c>
      <c r="V70" s="4" t="s">
        <v>164</v>
      </c>
      <c r="W70" s="4" t="s">
        <v>428</v>
      </c>
      <c r="X70" s="4" t="s">
        <v>429</v>
      </c>
      <c r="AA70" s="4" t="s">
        <v>130</v>
      </c>
      <c r="AB70" s="4" t="s">
        <v>360</v>
      </c>
      <c r="AC70" s="4" t="s">
        <v>30</v>
      </c>
      <c r="AF70" s="4" t="s">
        <v>160</v>
      </c>
      <c r="AG70" s="4" t="s">
        <v>445</v>
      </c>
      <c r="AH70" s="4" t="s">
        <v>549</v>
      </c>
      <c r="AK70" s="4" t="s">
        <v>148</v>
      </c>
      <c r="AL70" s="4" t="s">
        <v>441</v>
      </c>
      <c r="AM70" s="4" t="s">
        <v>30</v>
      </c>
      <c r="AP70" s="4" t="s">
        <v>132</v>
      </c>
      <c r="AQ70" s="4" t="s">
        <v>441</v>
      </c>
      <c r="AR70" s="4" t="s">
        <v>658</v>
      </c>
      <c r="AZ70" s="4" t="s">
        <v>130</v>
      </c>
      <c r="BA70" s="4" t="s">
        <v>345</v>
      </c>
      <c r="BB70" s="4" t="s">
        <v>746</v>
      </c>
      <c r="BE70" s="4" t="s">
        <v>144</v>
      </c>
      <c r="BF70" s="4" t="s">
        <v>441</v>
      </c>
      <c r="BG70" s="4" t="s">
        <v>663</v>
      </c>
      <c r="BJ70" s="11" t="s">
        <v>148</v>
      </c>
      <c r="BK70" s="11" t="s">
        <v>441</v>
      </c>
      <c r="BL70" s="11" t="s">
        <v>754</v>
      </c>
      <c r="BT70" s="4" t="s">
        <v>166</v>
      </c>
      <c r="BU70" s="4" t="s">
        <v>521</v>
      </c>
      <c r="BV70" s="4" t="s">
        <v>914</v>
      </c>
      <c r="BY70" s="4" t="s">
        <v>166</v>
      </c>
      <c r="BZ70" s="4" t="s">
        <v>441</v>
      </c>
      <c r="CA70" s="4" t="s">
        <v>674</v>
      </c>
      <c r="CD70" s="4" t="s">
        <v>148</v>
      </c>
      <c r="CE70" s="4" t="s">
        <v>446</v>
      </c>
      <c r="CF70" s="4" t="s">
        <v>988</v>
      </c>
      <c r="CX70" s="4" t="s">
        <v>182</v>
      </c>
      <c r="CY70" s="4" t="s">
        <v>1574</v>
      </c>
      <c r="CZ70" s="4" t="s">
        <v>1210</v>
      </c>
      <c r="DC70" s="4" t="s">
        <v>156</v>
      </c>
      <c r="DD70" s="4" t="s">
        <v>441</v>
      </c>
      <c r="DE70" s="4" t="s">
        <v>1281</v>
      </c>
      <c r="DH70" s="4" t="s">
        <v>152</v>
      </c>
      <c r="DI70" s="4" t="s">
        <v>441</v>
      </c>
      <c r="DJ70" s="4" t="s">
        <v>667</v>
      </c>
      <c r="DM70" s="4" t="s">
        <v>154</v>
      </c>
      <c r="DN70" s="4" t="s">
        <v>441</v>
      </c>
      <c r="DO70" s="4" t="s">
        <v>668</v>
      </c>
      <c r="DR70" s="4" t="s">
        <v>160</v>
      </c>
      <c r="DS70" s="4" t="s">
        <v>445</v>
      </c>
      <c r="DT70" s="4" t="s">
        <v>1462</v>
      </c>
    </row>
    <row r="71" spans="2:124">
      <c r="B71" s="4" t="s">
        <v>150</v>
      </c>
      <c r="C71" s="4" t="s">
        <v>35</v>
      </c>
      <c r="D71" s="4" t="s">
        <v>151</v>
      </c>
      <c r="G71" s="4" t="s">
        <v>150</v>
      </c>
      <c r="H71" s="4" t="s">
        <v>290</v>
      </c>
      <c r="I71" s="4" t="s">
        <v>151</v>
      </c>
      <c r="L71" s="4" t="s">
        <v>132</v>
      </c>
      <c r="M71" s="4" t="s">
        <v>35</v>
      </c>
      <c r="N71" s="4" t="s">
        <v>133</v>
      </c>
      <c r="Q71" s="4" t="s">
        <v>132</v>
      </c>
      <c r="R71" s="4" t="s">
        <v>290</v>
      </c>
      <c r="S71" s="4" t="s">
        <v>133</v>
      </c>
      <c r="V71" s="4" t="s">
        <v>166</v>
      </c>
      <c r="W71" s="4" t="s">
        <v>430</v>
      </c>
      <c r="X71" s="4" t="s">
        <v>431</v>
      </c>
      <c r="AA71" s="4" t="s">
        <v>132</v>
      </c>
      <c r="AB71" s="4" t="s">
        <v>360</v>
      </c>
      <c r="AC71" s="4" t="s">
        <v>30</v>
      </c>
      <c r="AF71" s="4" t="s">
        <v>164</v>
      </c>
      <c r="AG71" s="4" t="s">
        <v>550</v>
      </c>
      <c r="AH71" s="4" t="s">
        <v>551</v>
      </c>
      <c r="AK71" s="4" t="s">
        <v>150</v>
      </c>
      <c r="AL71" s="4" t="s">
        <v>441</v>
      </c>
      <c r="AM71" s="4" t="s">
        <v>30</v>
      </c>
      <c r="AP71" s="4" t="s">
        <v>134</v>
      </c>
      <c r="AQ71" s="4" t="s">
        <v>441</v>
      </c>
      <c r="AR71" s="4" t="s">
        <v>659</v>
      </c>
      <c r="AZ71" s="4" t="s">
        <v>132</v>
      </c>
      <c r="BA71" s="4" t="s">
        <v>345</v>
      </c>
      <c r="BB71" s="4" t="s">
        <v>747</v>
      </c>
      <c r="BE71" s="4" t="s">
        <v>146</v>
      </c>
      <c r="BF71" s="4" t="s">
        <v>441</v>
      </c>
      <c r="BG71" s="4" t="s">
        <v>664</v>
      </c>
      <c r="BJ71" s="11" t="s">
        <v>150</v>
      </c>
      <c r="BK71" s="11" t="s">
        <v>441</v>
      </c>
      <c r="BL71" s="11" t="s">
        <v>755</v>
      </c>
      <c r="BT71" s="4" t="s">
        <v>168</v>
      </c>
      <c r="BU71" s="4" t="s">
        <v>593</v>
      </c>
      <c r="BV71" s="4" t="s">
        <v>915</v>
      </c>
      <c r="BY71" s="4" t="s">
        <v>168</v>
      </c>
      <c r="BZ71" s="4" t="s">
        <v>441</v>
      </c>
      <c r="CA71" s="4" t="s">
        <v>787</v>
      </c>
      <c r="CD71" s="4" t="s">
        <v>150</v>
      </c>
      <c r="CE71" s="4" t="s">
        <v>298</v>
      </c>
      <c r="CF71" s="4" t="s">
        <v>989</v>
      </c>
      <c r="CX71" s="4" t="s">
        <v>184</v>
      </c>
      <c r="CY71" s="4" t="s">
        <v>1211</v>
      </c>
      <c r="CZ71" s="4" t="s">
        <v>1212</v>
      </c>
      <c r="DC71" s="4" t="s">
        <v>157</v>
      </c>
      <c r="DD71" s="4" t="s">
        <v>441</v>
      </c>
      <c r="DE71" s="4" t="s">
        <v>1281</v>
      </c>
      <c r="DH71" s="4" t="s">
        <v>154</v>
      </c>
      <c r="DI71" s="4" t="s">
        <v>441</v>
      </c>
      <c r="DJ71" s="4" t="s">
        <v>668</v>
      </c>
      <c r="DM71" s="4" t="s">
        <v>156</v>
      </c>
      <c r="DN71" s="4" t="s">
        <v>441</v>
      </c>
      <c r="DO71" s="4" t="s">
        <v>669</v>
      </c>
      <c r="DR71" s="4" t="s">
        <v>164</v>
      </c>
      <c r="DS71" s="4" t="s">
        <v>1463</v>
      </c>
      <c r="DT71" s="4" t="s">
        <v>1464</v>
      </c>
    </row>
    <row r="72" spans="2:124">
      <c r="B72" s="4" t="s">
        <v>152</v>
      </c>
      <c r="C72" s="4" t="s">
        <v>55</v>
      </c>
      <c r="D72" s="4" t="s">
        <v>153</v>
      </c>
      <c r="G72" s="4" t="s">
        <v>152</v>
      </c>
      <c r="H72" s="4" t="s">
        <v>293</v>
      </c>
      <c r="I72" s="4" t="s">
        <v>153</v>
      </c>
      <c r="L72" s="4" t="s">
        <v>134</v>
      </c>
      <c r="M72" s="4" t="s">
        <v>55</v>
      </c>
      <c r="N72" s="4" t="s">
        <v>135</v>
      </c>
      <c r="Q72" s="4" t="s">
        <v>134</v>
      </c>
      <c r="R72" s="4" t="s">
        <v>293</v>
      </c>
      <c r="S72" s="4" t="s">
        <v>135</v>
      </c>
      <c r="V72" s="4" t="s">
        <v>168</v>
      </c>
      <c r="W72" s="4" t="s">
        <v>432</v>
      </c>
      <c r="X72" s="4" t="s">
        <v>433</v>
      </c>
      <c r="AA72" s="4" t="s">
        <v>134</v>
      </c>
      <c r="AB72" s="4" t="s">
        <v>360</v>
      </c>
      <c r="AC72" s="4" t="s">
        <v>30</v>
      </c>
      <c r="AF72" s="4" t="s">
        <v>166</v>
      </c>
      <c r="AG72" s="4" t="s">
        <v>286</v>
      </c>
      <c r="AH72" s="4" t="s">
        <v>552</v>
      </c>
      <c r="AK72" s="4" t="s">
        <v>152</v>
      </c>
      <c r="AL72" s="4" t="s">
        <v>441</v>
      </c>
      <c r="AM72" s="4" t="s">
        <v>30</v>
      </c>
      <c r="AP72" s="4" t="s">
        <v>136</v>
      </c>
      <c r="AQ72" s="4" t="s">
        <v>345</v>
      </c>
      <c r="AR72" s="4" t="s">
        <v>660</v>
      </c>
      <c r="AZ72" s="4" t="s">
        <v>134</v>
      </c>
      <c r="BA72" s="4" t="s">
        <v>345</v>
      </c>
      <c r="BB72" s="4" t="s">
        <v>748</v>
      </c>
      <c r="BE72" s="4" t="s">
        <v>148</v>
      </c>
      <c r="BF72" s="4" t="s">
        <v>441</v>
      </c>
      <c r="BG72" s="4" t="s">
        <v>665</v>
      </c>
      <c r="BJ72" s="11" t="s">
        <v>152</v>
      </c>
      <c r="BK72" s="11" t="s">
        <v>441</v>
      </c>
      <c r="BL72" s="11" t="s">
        <v>756</v>
      </c>
      <c r="BT72" s="4" t="s">
        <v>170</v>
      </c>
      <c r="BU72" s="4" t="s">
        <v>555</v>
      </c>
      <c r="BV72" s="4" t="s">
        <v>916</v>
      </c>
      <c r="BY72" s="4" t="s">
        <v>170</v>
      </c>
      <c r="BZ72" s="4" t="s">
        <v>345</v>
      </c>
      <c r="CA72" s="4" t="s">
        <v>676</v>
      </c>
      <c r="CD72" s="4" t="s">
        <v>152</v>
      </c>
      <c r="CE72" s="4" t="s">
        <v>360</v>
      </c>
      <c r="CF72" s="4" t="s">
        <v>981</v>
      </c>
      <c r="CX72" s="4" t="s">
        <v>188</v>
      </c>
      <c r="CY72" s="4" t="s">
        <v>1213</v>
      </c>
      <c r="CZ72" s="4" t="s">
        <v>1214</v>
      </c>
      <c r="DC72" s="4" t="s">
        <v>159</v>
      </c>
      <c r="DD72" s="4" t="s">
        <v>441</v>
      </c>
      <c r="DE72" s="4" t="s">
        <v>1281</v>
      </c>
      <c r="DH72" s="4" t="s">
        <v>156</v>
      </c>
      <c r="DI72" s="4" t="s">
        <v>360</v>
      </c>
      <c r="DJ72" s="4" t="s">
        <v>1355</v>
      </c>
      <c r="DM72" s="4" t="s">
        <v>157</v>
      </c>
      <c r="DN72" s="4" t="s">
        <v>441</v>
      </c>
      <c r="DO72" s="4" t="s">
        <v>670</v>
      </c>
      <c r="DR72" s="4" t="s">
        <v>166</v>
      </c>
      <c r="DS72" s="4" t="s">
        <v>286</v>
      </c>
      <c r="DT72" s="4" t="s">
        <v>1465</v>
      </c>
    </row>
    <row r="73" spans="2:124">
      <c r="B73" s="4" t="s">
        <v>154</v>
      </c>
      <c r="C73" s="4" t="s">
        <v>55</v>
      </c>
      <c r="D73" s="4" t="s">
        <v>155</v>
      </c>
      <c r="G73" s="4" t="s">
        <v>154</v>
      </c>
      <c r="H73" s="4" t="s">
        <v>293</v>
      </c>
      <c r="I73" s="4" t="s">
        <v>155</v>
      </c>
      <c r="L73" s="4" t="s">
        <v>136</v>
      </c>
      <c r="M73" s="4" t="s">
        <v>24</v>
      </c>
      <c r="N73" s="4" t="s">
        <v>137</v>
      </c>
      <c r="Q73" s="4" t="s">
        <v>136</v>
      </c>
      <c r="R73" s="4" t="s">
        <v>286</v>
      </c>
      <c r="S73" s="4" t="s">
        <v>137</v>
      </c>
      <c r="V73" s="4" t="s">
        <v>170</v>
      </c>
      <c r="W73" s="4" t="s">
        <v>434</v>
      </c>
      <c r="X73" s="4" t="s">
        <v>435</v>
      </c>
      <c r="AA73" s="4" t="s">
        <v>136</v>
      </c>
      <c r="AB73" s="4" t="s">
        <v>434</v>
      </c>
      <c r="AC73" s="4" t="s">
        <v>30</v>
      </c>
      <c r="AF73" s="4" t="s">
        <v>168</v>
      </c>
      <c r="AG73" s="4" t="s">
        <v>77</v>
      </c>
      <c r="AH73" s="4" t="s">
        <v>553</v>
      </c>
      <c r="AK73" s="4" t="s">
        <v>154</v>
      </c>
      <c r="AL73" s="4" t="s">
        <v>441</v>
      </c>
      <c r="AM73" s="4" t="s">
        <v>30</v>
      </c>
      <c r="AP73" s="4" t="s">
        <v>138</v>
      </c>
      <c r="AQ73" s="4" t="s">
        <v>441</v>
      </c>
      <c r="AR73" s="4" t="s">
        <v>661</v>
      </c>
      <c r="AZ73" s="4" t="s">
        <v>136</v>
      </c>
      <c r="BA73" s="4" t="s">
        <v>346</v>
      </c>
      <c r="BB73" s="4" t="s">
        <v>660</v>
      </c>
      <c r="BE73" s="4" t="s">
        <v>150</v>
      </c>
      <c r="BF73" s="4" t="s">
        <v>441</v>
      </c>
      <c r="BG73" s="4" t="s">
        <v>785</v>
      </c>
      <c r="BJ73" s="11" t="s">
        <v>154</v>
      </c>
      <c r="BK73" s="11" t="s">
        <v>441</v>
      </c>
      <c r="BL73" s="11" t="s">
        <v>757</v>
      </c>
      <c r="BT73" s="4" t="s">
        <v>172</v>
      </c>
      <c r="BU73" s="4" t="s">
        <v>603</v>
      </c>
      <c r="BV73" s="4" t="s">
        <v>917</v>
      </c>
      <c r="BY73" s="4" t="s">
        <v>172</v>
      </c>
      <c r="BZ73" s="4" t="s">
        <v>441</v>
      </c>
      <c r="CA73" s="4" t="s">
        <v>677</v>
      </c>
      <c r="CD73" s="4" t="s">
        <v>154</v>
      </c>
      <c r="CE73" s="4" t="s">
        <v>434</v>
      </c>
      <c r="CF73" s="4" t="s">
        <v>990</v>
      </c>
      <c r="CX73" s="4" t="s">
        <v>190</v>
      </c>
      <c r="CY73" s="4" t="s">
        <v>1215</v>
      </c>
      <c r="CZ73" s="4" t="s">
        <v>1216</v>
      </c>
      <c r="DC73" s="4" t="s">
        <v>160</v>
      </c>
      <c r="DD73" s="4" t="s">
        <v>441</v>
      </c>
      <c r="DE73" s="4" t="s">
        <v>1281</v>
      </c>
      <c r="DH73" s="4" t="s">
        <v>157</v>
      </c>
      <c r="DI73" s="4" t="s">
        <v>441</v>
      </c>
      <c r="DJ73" s="4" t="s">
        <v>670</v>
      </c>
      <c r="DM73" s="4" t="s">
        <v>160</v>
      </c>
      <c r="DN73" s="4" t="s">
        <v>346</v>
      </c>
      <c r="DO73" s="4" t="s">
        <v>1387</v>
      </c>
      <c r="DR73" s="4" t="s">
        <v>168</v>
      </c>
      <c r="DS73" s="4" t="s">
        <v>77</v>
      </c>
      <c r="DT73" s="4" t="s">
        <v>1466</v>
      </c>
    </row>
    <row r="74" spans="2:124">
      <c r="B74" s="4" t="s">
        <v>156</v>
      </c>
      <c r="C74" s="4" t="s">
        <v>32</v>
      </c>
      <c r="D74" s="4" t="s">
        <v>30</v>
      </c>
      <c r="G74" s="4" t="s">
        <v>156</v>
      </c>
      <c r="H74" s="4" t="s">
        <v>289</v>
      </c>
      <c r="I74" s="4" t="s">
        <v>30</v>
      </c>
      <c r="L74" s="4" t="s">
        <v>138</v>
      </c>
      <c r="M74" s="4" t="s">
        <v>35</v>
      </c>
      <c r="N74" s="4" t="s">
        <v>139</v>
      </c>
      <c r="Q74" s="4" t="s">
        <v>138</v>
      </c>
      <c r="R74" s="4" t="s">
        <v>290</v>
      </c>
      <c r="S74" s="4" t="s">
        <v>139</v>
      </c>
      <c r="V74" s="4" t="s">
        <v>172</v>
      </c>
      <c r="W74" s="4" t="s">
        <v>436</v>
      </c>
      <c r="X74" s="4" t="s">
        <v>437</v>
      </c>
      <c r="AA74" s="4" t="s">
        <v>138</v>
      </c>
      <c r="AB74" s="4" t="s">
        <v>360</v>
      </c>
      <c r="AC74" s="4" t="s">
        <v>30</v>
      </c>
      <c r="AF74" s="4" t="s">
        <v>170</v>
      </c>
      <c r="AG74" s="4" t="s">
        <v>513</v>
      </c>
      <c r="AH74" s="4" t="s">
        <v>554</v>
      </c>
      <c r="AK74" s="4" t="s">
        <v>156</v>
      </c>
      <c r="AL74" s="4" t="s">
        <v>441</v>
      </c>
      <c r="AM74" s="4" t="s">
        <v>30</v>
      </c>
      <c r="AP74" s="4" t="s">
        <v>140</v>
      </c>
      <c r="AQ74" s="4" t="s">
        <v>441</v>
      </c>
      <c r="AR74" s="4" t="s">
        <v>662</v>
      </c>
      <c r="AZ74" s="4" t="s">
        <v>138</v>
      </c>
      <c r="BA74" s="4" t="s">
        <v>345</v>
      </c>
      <c r="BB74" s="4" t="s">
        <v>749</v>
      </c>
      <c r="BE74" s="4" t="s">
        <v>152</v>
      </c>
      <c r="BF74" s="4" t="s">
        <v>441</v>
      </c>
      <c r="BG74" s="4" t="s">
        <v>667</v>
      </c>
      <c r="BJ74" s="11" t="s">
        <v>156</v>
      </c>
      <c r="BK74" s="11" t="s">
        <v>441</v>
      </c>
      <c r="BL74" s="11" t="s">
        <v>758</v>
      </c>
      <c r="BT74" s="4" t="s">
        <v>174</v>
      </c>
      <c r="BU74" s="4" t="s">
        <v>350</v>
      </c>
      <c r="BV74" s="4" t="s">
        <v>918</v>
      </c>
      <c r="BY74" s="4" t="s">
        <v>174</v>
      </c>
      <c r="BZ74" s="4" t="s">
        <v>441</v>
      </c>
      <c r="CA74" s="4" t="s">
        <v>678</v>
      </c>
      <c r="CD74" s="4" t="s">
        <v>156</v>
      </c>
      <c r="CE74" s="4" t="s">
        <v>298</v>
      </c>
      <c r="CF74" s="4" t="s">
        <v>991</v>
      </c>
      <c r="CX74" s="4" t="s">
        <v>196</v>
      </c>
      <c r="CY74" s="4" t="s">
        <v>1217</v>
      </c>
      <c r="CZ74" s="4" t="s">
        <v>1218</v>
      </c>
      <c r="DC74" s="4" t="s">
        <v>162</v>
      </c>
      <c r="DD74" s="4" t="s">
        <v>441</v>
      </c>
      <c r="DE74" s="4" t="s">
        <v>1281</v>
      </c>
      <c r="DH74" s="4" t="s">
        <v>160</v>
      </c>
      <c r="DI74" s="4" t="s">
        <v>446</v>
      </c>
      <c r="DJ74" s="4" t="s">
        <v>1356</v>
      </c>
      <c r="DM74" s="4" t="s">
        <v>162</v>
      </c>
      <c r="DN74" s="4" t="s">
        <v>441</v>
      </c>
      <c r="DO74" s="4" t="s">
        <v>672</v>
      </c>
      <c r="DR74" s="4" t="s">
        <v>170</v>
      </c>
      <c r="DS74" s="4" t="s">
        <v>513</v>
      </c>
      <c r="DT74" s="4" t="s">
        <v>1467</v>
      </c>
    </row>
    <row r="75" spans="2:124">
      <c r="B75" s="4" t="s">
        <v>157</v>
      </c>
      <c r="C75" s="4" t="s">
        <v>55</v>
      </c>
      <c r="D75" s="4" t="s">
        <v>158</v>
      </c>
      <c r="G75" s="4" t="s">
        <v>157</v>
      </c>
      <c r="H75" s="4" t="s">
        <v>293</v>
      </c>
      <c r="I75" s="4" t="s">
        <v>158</v>
      </c>
      <c r="L75" s="4" t="s">
        <v>140</v>
      </c>
      <c r="M75" s="4" t="s">
        <v>29</v>
      </c>
      <c r="N75" s="4" t="s">
        <v>141</v>
      </c>
      <c r="Q75" s="4" t="s">
        <v>140</v>
      </c>
      <c r="R75" s="4" t="s">
        <v>288</v>
      </c>
      <c r="S75" s="4" t="s">
        <v>141</v>
      </c>
      <c r="V75" s="4" t="s">
        <v>174</v>
      </c>
      <c r="W75" s="4" t="s">
        <v>438</v>
      </c>
      <c r="X75" s="4" t="s">
        <v>439</v>
      </c>
      <c r="AA75" s="4" t="s">
        <v>140</v>
      </c>
      <c r="AB75" s="4" t="s">
        <v>360</v>
      </c>
      <c r="AC75" s="4" t="s">
        <v>30</v>
      </c>
      <c r="AF75" s="4" t="s">
        <v>172</v>
      </c>
      <c r="AG75" s="4" t="s">
        <v>555</v>
      </c>
      <c r="AH75" s="4" t="s">
        <v>556</v>
      </c>
      <c r="AK75" s="4" t="s">
        <v>157</v>
      </c>
      <c r="AL75" s="4" t="s">
        <v>441</v>
      </c>
      <c r="AM75" s="4" t="s">
        <v>30</v>
      </c>
      <c r="AP75" s="4" t="s">
        <v>142</v>
      </c>
      <c r="AQ75" s="4" t="s">
        <v>441</v>
      </c>
      <c r="AR75" s="4" t="s">
        <v>640</v>
      </c>
      <c r="AZ75" s="4" t="s">
        <v>140</v>
      </c>
      <c r="BA75" s="4" t="s">
        <v>345</v>
      </c>
      <c r="BB75" s="4" t="s">
        <v>750</v>
      </c>
      <c r="BE75" s="4" t="s">
        <v>154</v>
      </c>
      <c r="BF75" s="4" t="s">
        <v>441</v>
      </c>
      <c r="BG75" s="4" t="s">
        <v>668</v>
      </c>
      <c r="BJ75" s="11" t="s">
        <v>157</v>
      </c>
      <c r="BK75" s="11" t="s">
        <v>441</v>
      </c>
      <c r="BL75" s="11" t="s">
        <v>759</v>
      </c>
      <c r="BT75" s="4" t="s">
        <v>176</v>
      </c>
      <c r="BU75" s="4" t="s">
        <v>444</v>
      </c>
      <c r="BV75" s="4" t="s">
        <v>919</v>
      </c>
      <c r="BY75" s="4" t="s">
        <v>176</v>
      </c>
      <c r="BZ75" s="4" t="s">
        <v>345</v>
      </c>
      <c r="CA75" s="4" t="s">
        <v>679</v>
      </c>
      <c r="CD75" s="4" t="s">
        <v>157</v>
      </c>
      <c r="CE75" s="4" t="s">
        <v>345</v>
      </c>
      <c r="CF75" s="4" t="s">
        <v>992</v>
      </c>
      <c r="CX75" s="4" t="s">
        <v>198</v>
      </c>
      <c r="CY75" s="4" t="s">
        <v>1219</v>
      </c>
      <c r="CZ75" s="4" t="s">
        <v>1220</v>
      </c>
      <c r="DC75" s="4" t="s">
        <v>164</v>
      </c>
      <c r="DD75" s="4" t="s">
        <v>441</v>
      </c>
      <c r="DE75" s="4" t="s">
        <v>1281</v>
      </c>
      <c r="DH75" s="4" t="s">
        <v>162</v>
      </c>
      <c r="DI75" s="4" t="s">
        <v>441</v>
      </c>
      <c r="DJ75" s="4" t="s">
        <v>672</v>
      </c>
      <c r="DM75" s="4" t="s">
        <v>164</v>
      </c>
      <c r="DN75" s="4" t="s">
        <v>346</v>
      </c>
      <c r="DO75" s="4" t="s">
        <v>673</v>
      </c>
      <c r="DR75" s="4" t="s">
        <v>172</v>
      </c>
      <c r="DS75" s="4" t="s">
        <v>555</v>
      </c>
      <c r="DT75" s="4" t="s">
        <v>1468</v>
      </c>
    </row>
    <row r="76" spans="2:124">
      <c r="B76" s="4" t="s">
        <v>159</v>
      </c>
      <c r="C76" s="4" t="s">
        <v>104</v>
      </c>
      <c r="D76" s="4" t="s">
        <v>30</v>
      </c>
      <c r="G76" s="4" t="s">
        <v>159</v>
      </c>
      <c r="H76" s="4" t="s">
        <v>298</v>
      </c>
      <c r="I76" s="4" t="s">
        <v>30</v>
      </c>
      <c r="L76" s="4" t="s">
        <v>142</v>
      </c>
      <c r="M76" s="4" t="s">
        <v>55</v>
      </c>
      <c r="N76" s="4" t="s">
        <v>143</v>
      </c>
      <c r="Q76" s="4" t="s">
        <v>142</v>
      </c>
      <c r="R76" s="4" t="s">
        <v>293</v>
      </c>
      <c r="S76" s="4" t="s">
        <v>143</v>
      </c>
      <c r="V76" s="4" t="s">
        <v>336</v>
      </c>
      <c r="W76" s="4" t="s">
        <v>104</v>
      </c>
      <c r="X76" s="4" t="s">
        <v>30</v>
      </c>
      <c r="AA76" s="4" t="s">
        <v>142</v>
      </c>
      <c r="AB76" s="4" t="s">
        <v>360</v>
      </c>
      <c r="AC76" s="4" t="s">
        <v>30</v>
      </c>
      <c r="AF76" s="4" t="s">
        <v>174</v>
      </c>
      <c r="AG76" s="4" t="s">
        <v>440</v>
      </c>
      <c r="AH76" s="4" t="s">
        <v>557</v>
      </c>
      <c r="AK76" s="4" t="s">
        <v>159</v>
      </c>
      <c r="AL76" s="4" t="s">
        <v>441</v>
      </c>
      <c r="AM76" s="4" t="s">
        <v>30</v>
      </c>
      <c r="AP76" s="4" t="s">
        <v>144</v>
      </c>
      <c r="AQ76" s="4" t="s">
        <v>441</v>
      </c>
      <c r="AR76" s="4" t="s">
        <v>663</v>
      </c>
      <c r="AZ76" s="4" t="s">
        <v>142</v>
      </c>
      <c r="BA76" s="4" t="s">
        <v>345</v>
      </c>
      <c r="BB76" s="4" t="s">
        <v>751</v>
      </c>
      <c r="BE76" s="4" t="s">
        <v>156</v>
      </c>
      <c r="BF76" s="4" t="s">
        <v>441</v>
      </c>
      <c r="BG76" s="4" t="s">
        <v>669</v>
      </c>
      <c r="BJ76" s="11" t="s">
        <v>159</v>
      </c>
      <c r="BK76" s="11" t="s">
        <v>441</v>
      </c>
      <c r="BL76" s="11" t="s">
        <v>760</v>
      </c>
      <c r="BT76" s="4" t="s">
        <v>178</v>
      </c>
      <c r="BU76" s="4" t="s">
        <v>360</v>
      </c>
      <c r="BV76" s="4" t="s">
        <v>920</v>
      </c>
      <c r="BY76" s="4" t="s">
        <v>178</v>
      </c>
      <c r="BZ76" s="4" t="s">
        <v>441</v>
      </c>
      <c r="CA76" s="4" t="s">
        <v>680</v>
      </c>
      <c r="CD76" s="4" t="s">
        <v>159</v>
      </c>
      <c r="CE76" s="4" t="s">
        <v>441</v>
      </c>
      <c r="CF76" s="4" t="s">
        <v>30</v>
      </c>
      <c r="CX76" s="4" t="s">
        <v>200</v>
      </c>
      <c r="CY76" s="4" t="s">
        <v>1221</v>
      </c>
      <c r="CZ76" s="4" t="s">
        <v>1222</v>
      </c>
      <c r="DC76" s="4" t="s">
        <v>166</v>
      </c>
      <c r="DD76" s="4" t="s">
        <v>441</v>
      </c>
      <c r="DE76" s="4" t="s">
        <v>1281</v>
      </c>
      <c r="DH76" s="4" t="s">
        <v>164</v>
      </c>
      <c r="DI76" s="4" t="s">
        <v>446</v>
      </c>
      <c r="DJ76" s="4" t="s">
        <v>1357</v>
      </c>
      <c r="DM76" s="4" t="s">
        <v>166</v>
      </c>
      <c r="DN76" s="4" t="s">
        <v>441</v>
      </c>
      <c r="DO76" s="4" t="s">
        <v>674</v>
      </c>
      <c r="DR76" s="4" t="s">
        <v>174</v>
      </c>
      <c r="DS76" s="4" t="s">
        <v>881</v>
      </c>
      <c r="DT76" s="4" t="s">
        <v>1469</v>
      </c>
    </row>
    <row r="77" spans="2:124">
      <c r="B77" s="4" t="s">
        <v>160</v>
      </c>
      <c r="C77" s="4" t="s">
        <v>77</v>
      </c>
      <c r="D77" s="4" t="s">
        <v>161</v>
      </c>
      <c r="G77" s="4" t="s">
        <v>160</v>
      </c>
      <c r="H77" s="4" t="s">
        <v>295</v>
      </c>
      <c r="I77" s="4" t="s">
        <v>161</v>
      </c>
      <c r="L77" s="4" t="s">
        <v>144</v>
      </c>
      <c r="M77" s="4" t="s">
        <v>45</v>
      </c>
      <c r="N77" s="4" t="s">
        <v>145</v>
      </c>
      <c r="Q77" s="4" t="s">
        <v>144</v>
      </c>
      <c r="R77" s="4" t="s">
        <v>292</v>
      </c>
      <c r="S77" s="4" t="s">
        <v>145</v>
      </c>
      <c r="V77" s="4" t="s">
        <v>337</v>
      </c>
      <c r="W77" s="4" t="s">
        <v>440</v>
      </c>
      <c r="X77" s="4" t="s">
        <v>30</v>
      </c>
      <c r="AA77" s="4" t="s">
        <v>144</v>
      </c>
      <c r="AB77" s="4" t="s">
        <v>360</v>
      </c>
      <c r="AC77" s="4" t="s">
        <v>30</v>
      </c>
      <c r="AF77" s="4" t="s">
        <v>176</v>
      </c>
      <c r="AG77" s="4" t="s">
        <v>436</v>
      </c>
      <c r="AH77" s="4" t="s">
        <v>558</v>
      </c>
      <c r="AK77" s="4" t="s">
        <v>160</v>
      </c>
      <c r="AL77" s="4" t="s">
        <v>441</v>
      </c>
      <c r="AM77" s="4" t="s">
        <v>30</v>
      </c>
      <c r="AP77" s="4" t="s">
        <v>146</v>
      </c>
      <c r="AQ77" s="4" t="s">
        <v>441</v>
      </c>
      <c r="AR77" s="4" t="s">
        <v>664</v>
      </c>
      <c r="AZ77" s="4" t="s">
        <v>144</v>
      </c>
      <c r="BA77" s="4" t="s">
        <v>345</v>
      </c>
      <c r="BB77" s="4" t="s">
        <v>752</v>
      </c>
      <c r="BE77" s="4" t="s">
        <v>157</v>
      </c>
      <c r="BF77" s="4" t="s">
        <v>441</v>
      </c>
      <c r="BG77" s="4" t="s">
        <v>670</v>
      </c>
      <c r="BJ77" s="11" t="s">
        <v>160</v>
      </c>
      <c r="BK77" s="11" t="s">
        <v>441</v>
      </c>
      <c r="BL77" s="11" t="s">
        <v>761</v>
      </c>
      <c r="BT77" s="4" t="s">
        <v>182</v>
      </c>
      <c r="BU77" s="4" t="s">
        <v>397</v>
      </c>
      <c r="BV77" s="4" t="s">
        <v>921</v>
      </c>
      <c r="BY77" s="4" t="s">
        <v>180</v>
      </c>
      <c r="BZ77" s="4" t="s">
        <v>345</v>
      </c>
      <c r="CA77" s="4" t="s">
        <v>681</v>
      </c>
      <c r="CD77" s="4" t="s">
        <v>160</v>
      </c>
      <c r="CE77" s="4" t="s">
        <v>360</v>
      </c>
      <c r="CF77" s="4" t="s">
        <v>993</v>
      </c>
      <c r="CX77" s="4" t="s">
        <v>201</v>
      </c>
      <c r="CY77" s="4" t="s">
        <v>1575</v>
      </c>
      <c r="CZ77" s="4" t="s">
        <v>1224</v>
      </c>
      <c r="DC77" s="4" t="s">
        <v>168</v>
      </c>
      <c r="DD77" s="4" t="s">
        <v>441</v>
      </c>
      <c r="DE77" s="4" t="s">
        <v>1281</v>
      </c>
      <c r="DH77" s="4" t="s">
        <v>166</v>
      </c>
      <c r="DI77" s="4" t="s">
        <v>441</v>
      </c>
      <c r="DJ77" s="4" t="s">
        <v>674</v>
      </c>
      <c r="DM77" s="4" t="s">
        <v>168</v>
      </c>
      <c r="DN77" s="4" t="s">
        <v>441</v>
      </c>
      <c r="DO77" s="4" t="s">
        <v>787</v>
      </c>
      <c r="DR77" s="4" t="s">
        <v>176</v>
      </c>
      <c r="DS77" s="4" t="s">
        <v>289</v>
      </c>
      <c r="DT77" s="4" t="s">
        <v>1470</v>
      </c>
    </row>
    <row r="78" spans="2:124">
      <c r="B78" s="4" t="s">
        <v>162</v>
      </c>
      <c r="C78" s="4" t="s">
        <v>32</v>
      </c>
      <c r="D78" s="4" t="s">
        <v>163</v>
      </c>
      <c r="G78" s="4" t="s">
        <v>162</v>
      </c>
      <c r="H78" s="4" t="s">
        <v>289</v>
      </c>
      <c r="I78" s="4" t="s">
        <v>163</v>
      </c>
      <c r="L78" s="4" t="s">
        <v>146</v>
      </c>
      <c r="M78" s="4" t="s">
        <v>45</v>
      </c>
      <c r="N78" s="4" t="s">
        <v>147</v>
      </c>
      <c r="Q78" s="4" t="s">
        <v>146</v>
      </c>
      <c r="R78" s="4" t="s">
        <v>292</v>
      </c>
      <c r="S78" s="4" t="s">
        <v>147</v>
      </c>
      <c r="V78" s="4" t="s">
        <v>338</v>
      </c>
      <c r="W78" s="4" t="s">
        <v>345</v>
      </c>
      <c r="X78" s="4" t="s">
        <v>30</v>
      </c>
      <c r="AA78" s="4" t="s">
        <v>146</v>
      </c>
      <c r="AB78" s="4" t="s">
        <v>360</v>
      </c>
      <c r="AC78" s="4" t="s">
        <v>30</v>
      </c>
      <c r="AF78" s="4" t="s">
        <v>178</v>
      </c>
      <c r="AG78" s="4" t="s">
        <v>450</v>
      </c>
      <c r="AH78" s="4" t="s">
        <v>559</v>
      </c>
      <c r="AK78" s="4" t="s">
        <v>162</v>
      </c>
      <c r="AL78" s="4" t="s">
        <v>441</v>
      </c>
      <c r="AM78" s="4" t="s">
        <v>615</v>
      </c>
      <c r="AP78" s="4" t="s">
        <v>148</v>
      </c>
      <c r="AQ78" s="4" t="s">
        <v>441</v>
      </c>
      <c r="AR78" s="4" t="s">
        <v>665</v>
      </c>
      <c r="AZ78" s="4" t="s">
        <v>146</v>
      </c>
      <c r="BA78" s="4" t="s">
        <v>345</v>
      </c>
      <c r="BB78" s="4" t="s">
        <v>753</v>
      </c>
      <c r="BE78" s="4" t="s">
        <v>160</v>
      </c>
      <c r="BF78" s="4" t="s">
        <v>345</v>
      </c>
      <c r="BG78" s="4" t="s">
        <v>786</v>
      </c>
      <c r="BJ78" s="11" t="s">
        <v>162</v>
      </c>
      <c r="BK78" s="11" t="s">
        <v>441</v>
      </c>
      <c r="BL78" s="11" t="s">
        <v>762</v>
      </c>
      <c r="BT78" s="4" t="s">
        <v>184</v>
      </c>
      <c r="BU78" s="4" t="s">
        <v>555</v>
      </c>
      <c r="BV78" s="4" t="s">
        <v>922</v>
      </c>
      <c r="BY78" s="4" t="s">
        <v>182</v>
      </c>
      <c r="BZ78" s="4" t="s">
        <v>441</v>
      </c>
      <c r="CA78" s="4" t="s">
        <v>682</v>
      </c>
      <c r="CD78" s="4" t="s">
        <v>162</v>
      </c>
      <c r="CE78" s="4" t="s">
        <v>441</v>
      </c>
      <c r="CF78" s="4" t="s">
        <v>163</v>
      </c>
      <c r="CX78" s="4" t="s">
        <v>203</v>
      </c>
      <c r="CY78" s="4" t="s">
        <v>1555</v>
      </c>
      <c r="CZ78" s="4" t="s">
        <v>1226</v>
      </c>
      <c r="DC78" s="4" t="s">
        <v>170</v>
      </c>
      <c r="DD78" s="4" t="s">
        <v>441</v>
      </c>
      <c r="DE78" s="4" t="s">
        <v>1281</v>
      </c>
      <c r="DH78" s="4" t="s">
        <v>168</v>
      </c>
      <c r="DI78" s="4" t="s">
        <v>345</v>
      </c>
      <c r="DJ78" s="4" t="s">
        <v>1358</v>
      </c>
      <c r="DM78" s="4" t="s">
        <v>170</v>
      </c>
      <c r="DN78" s="4" t="s">
        <v>441</v>
      </c>
      <c r="DO78" s="4" t="s">
        <v>1585</v>
      </c>
      <c r="DR78" s="4" t="s">
        <v>178</v>
      </c>
      <c r="DS78" s="4" t="s">
        <v>298</v>
      </c>
      <c r="DT78" s="4" t="s">
        <v>1471</v>
      </c>
    </row>
    <row r="79" spans="2:124">
      <c r="B79" s="4" t="s">
        <v>164</v>
      </c>
      <c r="C79" s="4" t="s">
        <v>24</v>
      </c>
      <c r="D79" s="4" t="s">
        <v>165</v>
      </c>
      <c r="G79" s="4" t="s">
        <v>164</v>
      </c>
      <c r="H79" s="4" t="s">
        <v>286</v>
      </c>
      <c r="I79" s="4" t="s">
        <v>165</v>
      </c>
      <c r="L79" s="4" t="s">
        <v>148</v>
      </c>
      <c r="M79" s="4" t="s">
        <v>55</v>
      </c>
      <c r="N79" s="4" t="s">
        <v>149</v>
      </c>
      <c r="Q79" s="4" t="s">
        <v>148</v>
      </c>
      <c r="R79" s="4" t="s">
        <v>293</v>
      </c>
      <c r="S79" s="4" t="s">
        <v>149</v>
      </c>
      <c r="AA79" s="4" t="s">
        <v>148</v>
      </c>
      <c r="AB79" s="4" t="s">
        <v>360</v>
      </c>
      <c r="AC79" s="4" t="s">
        <v>30</v>
      </c>
      <c r="AF79" s="4" t="s">
        <v>182</v>
      </c>
      <c r="AG79" s="4" t="s">
        <v>55</v>
      </c>
      <c r="AH79" s="4" t="s">
        <v>560</v>
      </c>
      <c r="AK79" s="4" t="s">
        <v>164</v>
      </c>
      <c r="AL79" s="4" t="s">
        <v>441</v>
      </c>
      <c r="AM79" s="4" t="s">
        <v>616</v>
      </c>
      <c r="AP79" s="4" t="s">
        <v>150</v>
      </c>
      <c r="AQ79" s="4" t="s">
        <v>345</v>
      </c>
      <c r="AR79" s="4" t="s">
        <v>666</v>
      </c>
      <c r="AZ79" s="4" t="s">
        <v>148</v>
      </c>
      <c r="BA79" s="4" t="s">
        <v>345</v>
      </c>
      <c r="BB79" s="4" t="s">
        <v>754</v>
      </c>
      <c r="BE79" s="4" t="s">
        <v>162</v>
      </c>
      <c r="BF79" s="4" t="s">
        <v>441</v>
      </c>
      <c r="BG79" s="4" t="s">
        <v>672</v>
      </c>
      <c r="BJ79" s="11" t="s">
        <v>164</v>
      </c>
      <c r="BK79" s="11" t="s">
        <v>441</v>
      </c>
      <c r="BL79" s="11" t="s">
        <v>798</v>
      </c>
      <c r="BT79" s="4" t="s">
        <v>186</v>
      </c>
      <c r="BU79" s="4" t="s">
        <v>446</v>
      </c>
      <c r="BV79" s="4" t="s">
        <v>923</v>
      </c>
      <c r="BY79" s="4" t="s">
        <v>184</v>
      </c>
      <c r="BZ79" s="4" t="s">
        <v>441</v>
      </c>
      <c r="CA79" s="4" t="s">
        <v>683</v>
      </c>
      <c r="CD79" s="4" t="s">
        <v>164</v>
      </c>
      <c r="CE79" s="4" t="s">
        <v>593</v>
      </c>
      <c r="CF79" s="4" t="s">
        <v>994</v>
      </c>
      <c r="CX79" s="4" t="s">
        <v>205</v>
      </c>
      <c r="CY79" s="4" t="s">
        <v>1227</v>
      </c>
      <c r="CZ79" s="4" t="s">
        <v>1228</v>
      </c>
      <c r="DC79" s="4" t="s">
        <v>172</v>
      </c>
      <c r="DD79" s="4" t="s">
        <v>441</v>
      </c>
      <c r="DE79" s="4" t="s">
        <v>1281</v>
      </c>
      <c r="DH79" s="4" t="s">
        <v>170</v>
      </c>
      <c r="DI79" s="4" t="s">
        <v>345</v>
      </c>
      <c r="DJ79" s="4" t="s">
        <v>676</v>
      </c>
      <c r="DM79" s="4" t="s">
        <v>172</v>
      </c>
      <c r="DN79" s="4" t="s">
        <v>441</v>
      </c>
      <c r="DO79" s="4" t="s">
        <v>677</v>
      </c>
      <c r="DR79" s="4" t="s">
        <v>182</v>
      </c>
      <c r="DS79" s="4" t="s">
        <v>361</v>
      </c>
      <c r="DT79" s="4" t="s">
        <v>1472</v>
      </c>
    </row>
    <row r="80" spans="2:124">
      <c r="B80" s="4" t="s">
        <v>166</v>
      </c>
      <c r="C80" s="4" t="s">
        <v>55</v>
      </c>
      <c r="D80" s="4" t="s">
        <v>167</v>
      </c>
      <c r="G80" s="4" t="s">
        <v>166</v>
      </c>
      <c r="H80" s="4" t="s">
        <v>293</v>
      </c>
      <c r="I80" s="4" t="s">
        <v>167</v>
      </c>
      <c r="L80" s="4" t="s">
        <v>150</v>
      </c>
      <c r="M80" s="4" t="s">
        <v>35</v>
      </c>
      <c r="N80" s="4" t="s">
        <v>151</v>
      </c>
      <c r="Q80" s="4" t="s">
        <v>150</v>
      </c>
      <c r="R80" s="4" t="s">
        <v>290</v>
      </c>
      <c r="S80" s="4" t="s">
        <v>151</v>
      </c>
      <c r="AA80" s="4" t="s">
        <v>150</v>
      </c>
      <c r="AB80" s="4" t="s">
        <v>360</v>
      </c>
      <c r="AC80" s="4" t="s">
        <v>30</v>
      </c>
      <c r="AF80" s="4" t="s">
        <v>184</v>
      </c>
      <c r="AG80" s="4" t="s">
        <v>295</v>
      </c>
      <c r="AH80" s="4" t="s">
        <v>561</v>
      </c>
      <c r="AK80" s="4" t="s">
        <v>166</v>
      </c>
      <c r="AL80" s="4" t="s">
        <v>441</v>
      </c>
      <c r="AM80" s="4" t="s">
        <v>617</v>
      </c>
      <c r="AP80" s="4" t="s">
        <v>152</v>
      </c>
      <c r="AQ80" s="4" t="s">
        <v>441</v>
      </c>
      <c r="AR80" s="4" t="s">
        <v>667</v>
      </c>
      <c r="AZ80" s="4" t="s">
        <v>150</v>
      </c>
      <c r="BA80" s="4" t="s">
        <v>345</v>
      </c>
      <c r="BB80" s="4" t="s">
        <v>755</v>
      </c>
      <c r="BE80" s="4" t="s">
        <v>164</v>
      </c>
      <c r="BF80" s="4" t="s">
        <v>346</v>
      </c>
      <c r="BG80" s="4" t="s">
        <v>673</v>
      </c>
      <c r="BJ80" s="11" t="s">
        <v>166</v>
      </c>
      <c r="BK80" s="11" t="s">
        <v>441</v>
      </c>
      <c r="BL80" s="11" t="s">
        <v>799</v>
      </c>
      <c r="BT80" s="4" t="s">
        <v>188</v>
      </c>
      <c r="BU80" s="4" t="s">
        <v>293</v>
      </c>
      <c r="BV80" s="4" t="s">
        <v>924</v>
      </c>
      <c r="BY80" s="4" t="s">
        <v>186</v>
      </c>
      <c r="BZ80" s="4" t="s">
        <v>345</v>
      </c>
      <c r="CA80" s="4" t="s">
        <v>964</v>
      </c>
      <c r="CD80" s="4" t="s">
        <v>166</v>
      </c>
      <c r="CE80" s="4" t="s">
        <v>346</v>
      </c>
      <c r="CF80" s="4" t="s">
        <v>995</v>
      </c>
      <c r="CX80" s="4" t="s">
        <v>206</v>
      </c>
      <c r="CY80" s="4" t="s">
        <v>1229</v>
      </c>
      <c r="CZ80" s="4" t="s">
        <v>1230</v>
      </c>
      <c r="DC80" s="4" t="s">
        <v>174</v>
      </c>
      <c r="DD80" s="4" t="s">
        <v>441</v>
      </c>
      <c r="DE80" s="4" t="s">
        <v>1281</v>
      </c>
      <c r="DH80" s="4" t="s">
        <v>172</v>
      </c>
      <c r="DI80" s="4" t="s">
        <v>441</v>
      </c>
      <c r="DJ80" s="4" t="s">
        <v>677</v>
      </c>
      <c r="DM80" s="4" t="s">
        <v>174</v>
      </c>
      <c r="DN80" s="4" t="s">
        <v>441</v>
      </c>
      <c r="DO80" s="4" t="s">
        <v>678</v>
      </c>
      <c r="DR80" s="4" t="s">
        <v>184</v>
      </c>
      <c r="DS80" s="4" t="s">
        <v>295</v>
      </c>
      <c r="DT80" s="4" t="s">
        <v>1473</v>
      </c>
    </row>
    <row r="81" spans="2:124">
      <c r="B81" s="4" t="s">
        <v>168</v>
      </c>
      <c r="C81" s="4" t="s">
        <v>55</v>
      </c>
      <c r="D81" s="4" t="s">
        <v>169</v>
      </c>
      <c r="G81" s="4" t="s">
        <v>168</v>
      </c>
      <c r="H81" s="4" t="s">
        <v>293</v>
      </c>
      <c r="I81" s="4" t="s">
        <v>169</v>
      </c>
      <c r="L81" s="4" t="s">
        <v>152</v>
      </c>
      <c r="M81" s="4" t="s">
        <v>55</v>
      </c>
      <c r="N81" s="4" t="s">
        <v>153</v>
      </c>
      <c r="Q81" s="4" t="s">
        <v>152</v>
      </c>
      <c r="R81" s="4" t="s">
        <v>293</v>
      </c>
      <c r="S81" s="4" t="s">
        <v>153</v>
      </c>
      <c r="AA81" s="4" t="s">
        <v>152</v>
      </c>
      <c r="AB81" s="4" t="s">
        <v>360</v>
      </c>
      <c r="AC81" s="4" t="s">
        <v>30</v>
      </c>
      <c r="AF81" s="4" t="s">
        <v>186</v>
      </c>
      <c r="AG81" s="4" t="s">
        <v>555</v>
      </c>
      <c r="AH81" s="4" t="s">
        <v>562</v>
      </c>
      <c r="AK81" s="4" t="s">
        <v>168</v>
      </c>
      <c r="AL81" s="4" t="s">
        <v>441</v>
      </c>
      <c r="AM81" s="4" t="s">
        <v>618</v>
      </c>
      <c r="AP81" s="4" t="s">
        <v>154</v>
      </c>
      <c r="AQ81" s="4" t="s">
        <v>441</v>
      </c>
      <c r="AR81" s="4" t="s">
        <v>668</v>
      </c>
      <c r="AZ81" s="4" t="s">
        <v>152</v>
      </c>
      <c r="BA81" s="4" t="s">
        <v>345</v>
      </c>
      <c r="BB81" s="4" t="s">
        <v>756</v>
      </c>
      <c r="BE81" s="4" t="s">
        <v>166</v>
      </c>
      <c r="BF81" s="4" t="s">
        <v>441</v>
      </c>
      <c r="BG81" s="4" t="s">
        <v>674</v>
      </c>
      <c r="BJ81" s="11" t="s">
        <v>168</v>
      </c>
      <c r="BK81" s="11" t="s">
        <v>441</v>
      </c>
      <c r="BL81" s="11" t="s">
        <v>763</v>
      </c>
      <c r="BT81" s="4" t="s">
        <v>190</v>
      </c>
      <c r="BU81" s="4" t="s">
        <v>441</v>
      </c>
      <c r="BV81" s="4" t="s">
        <v>925</v>
      </c>
      <c r="BY81" s="4" t="s">
        <v>188</v>
      </c>
      <c r="BZ81" s="4" t="s">
        <v>441</v>
      </c>
      <c r="CA81" s="4" t="s">
        <v>685</v>
      </c>
      <c r="CD81" s="4" t="s">
        <v>168</v>
      </c>
      <c r="CE81" s="4" t="s">
        <v>360</v>
      </c>
      <c r="CF81" s="4" t="s">
        <v>996</v>
      </c>
      <c r="CX81" s="4" t="s">
        <v>208</v>
      </c>
      <c r="CY81" s="4" t="s">
        <v>1231</v>
      </c>
      <c r="CZ81" s="4" t="s">
        <v>1232</v>
      </c>
      <c r="DC81" s="4" t="s">
        <v>176</v>
      </c>
      <c r="DD81" s="4" t="s">
        <v>441</v>
      </c>
      <c r="DE81" s="4" t="s">
        <v>1281</v>
      </c>
      <c r="DH81" s="4" t="s">
        <v>174</v>
      </c>
      <c r="DI81" s="4" t="s">
        <v>441</v>
      </c>
      <c r="DJ81" s="4" t="s">
        <v>678</v>
      </c>
      <c r="DM81" s="4" t="s">
        <v>176</v>
      </c>
      <c r="DN81" s="4" t="s">
        <v>441</v>
      </c>
      <c r="DO81" s="4" t="s">
        <v>1584</v>
      </c>
      <c r="DR81" s="4" t="s">
        <v>186</v>
      </c>
      <c r="DS81" s="4" t="s">
        <v>377</v>
      </c>
      <c r="DT81" s="4" t="s">
        <v>1474</v>
      </c>
    </row>
    <row r="82" spans="2:124">
      <c r="B82" s="4" t="s">
        <v>170</v>
      </c>
      <c r="C82" s="4" t="s">
        <v>29</v>
      </c>
      <c r="D82" s="4" t="s">
        <v>171</v>
      </c>
      <c r="G82" s="4" t="s">
        <v>170</v>
      </c>
      <c r="H82" s="4" t="s">
        <v>288</v>
      </c>
      <c r="I82" s="4" t="s">
        <v>171</v>
      </c>
      <c r="L82" s="4" t="s">
        <v>154</v>
      </c>
      <c r="M82" s="4" t="s">
        <v>55</v>
      </c>
      <c r="N82" s="4" t="s">
        <v>155</v>
      </c>
      <c r="Q82" s="4" t="s">
        <v>154</v>
      </c>
      <c r="R82" s="4" t="s">
        <v>293</v>
      </c>
      <c r="S82" s="4" t="s">
        <v>155</v>
      </c>
      <c r="AA82" s="4" t="s">
        <v>154</v>
      </c>
      <c r="AB82" s="4" t="s">
        <v>360</v>
      </c>
      <c r="AC82" s="4" t="s">
        <v>30</v>
      </c>
      <c r="AF82" s="4" t="s">
        <v>188</v>
      </c>
      <c r="AG82" s="4" t="s">
        <v>563</v>
      </c>
      <c r="AH82" s="4" t="s">
        <v>564</v>
      </c>
      <c r="AK82" s="4" t="s">
        <v>170</v>
      </c>
      <c r="AL82" s="4" t="s">
        <v>441</v>
      </c>
      <c r="AM82" s="4" t="s">
        <v>619</v>
      </c>
      <c r="AP82" s="4" t="s">
        <v>156</v>
      </c>
      <c r="AQ82" s="4" t="s">
        <v>441</v>
      </c>
      <c r="AR82" s="4" t="s">
        <v>669</v>
      </c>
      <c r="AZ82" s="4" t="s">
        <v>154</v>
      </c>
      <c r="BA82" s="4" t="s">
        <v>345</v>
      </c>
      <c r="BB82" s="4" t="s">
        <v>757</v>
      </c>
      <c r="BE82" s="4" t="s">
        <v>168</v>
      </c>
      <c r="BF82" s="4" t="s">
        <v>441</v>
      </c>
      <c r="BG82" s="4" t="s">
        <v>787</v>
      </c>
      <c r="BJ82" s="11" t="s">
        <v>170</v>
      </c>
      <c r="BK82" s="11" t="s">
        <v>441</v>
      </c>
      <c r="BL82" s="11" t="s">
        <v>800</v>
      </c>
      <c r="BT82" s="4" t="s">
        <v>196</v>
      </c>
      <c r="BU82" s="4" t="s">
        <v>298</v>
      </c>
      <c r="BV82" s="4" t="s">
        <v>926</v>
      </c>
      <c r="BY82" s="4" t="s">
        <v>190</v>
      </c>
      <c r="BZ82" s="4" t="s">
        <v>441</v>
      </c>
      <c r="CA82" s="4" t="s">
        <v>686</v>
      </c>
      <c r="CD82" s="4" t="s">
        <v>170</v>
      </c>
      <c r="CE82" s="4" t="s">
        <v>298</v>
      </c>
      <c r="CF82" s="4" t="s">
        <v>997</v>
      </c>
      <c r="CX82" s="4" t="s">
        <v>210</v>
      </c>
      <c r="CY82" s="4" t="s">
        <v>1233</v>
      </c>
      <c r="CZ82" s="4" t="s">
        <v>1234</v>
      </c>
      <c r="DC82" s="4" t="s">
        <v>178</v>
      </c>
      <c r="DD82" s="4" t="s">
        <v>441</v>
      </c>
      <c r="DE82" s="4" t="s">
        <v>1281</v>
      </c>
      <c r="DH82" s="4" t="s">
        <v>176</v>
      </c>
      <c r="DI82" s="4" t="s">
        <v>441</v>
      </c>
      <c r="DJ82" s="4" t="s">
        <v>1584</v>
      </c>
      <c r="DM82" s="4" t="s">
        <v>186</v>
      </c>
      <c r="DN82" s="4" t="s">
        <v>441</v>
      </c>
      <c r="DO82" s="4" t="s">
        <v>1388</v>
      </c>
      <c r="DR82" s="4" t="s">
        <v>188</v>
      </c>
      <c r="DS82" s="4" t="s">
        <v>563</v>
      </c>
      <c r="DT82" s="4" t="s">
        <v>1475</v>
      </c>
    </row>
    <row r="83" spans="2:124">
      <c r="B83" s="4" t="s">
        <v>172</v>
      </c>
      <c r="C83" s="4" t="s">
        <v>55</v>
      </c>
      <c r="D83" s="4" t="s">
        <v>173</v>
      </c>
      <c r="G83" s="4" t="s">
        <v>172</v>
      </c>
      <c r="H83" s="4" t="s">
        <v>293</v>
      </c>
      <c r="I83" s="4" t="s">
        <v>173</v>
      </c>
      <c r="L83" s="4" t="s">
        <v>156</v>
      </c>
      <c r="M83" s="4" t="s">
        <v>32</v>
      </c>
      <c r="N83" s="4" t="s">
        <v>30</v>
      </c>
      <c r="Q83" s="4" t="s">
        <v>156</v>
      </c>
      <c r="R83" s="4" t="s">
        <v>289</v>
      </c>
      <c r="S83" s="4" t="s">
        <v>30</v>
      </c>
      <c r="AA83" s="4" t="s">
        <v>156</v>
      </c>
      <c r="AB83" s="4" t="s">
        <v>360</v>
      </c>
      <c r="AC83" s="4" t="s">
        <v>30</v>
      </c>
      <c r="AF83" s="4" t="s">
        <v>190</v>
      </c>
      <c r="AG83" s="4" t="s">
        <v>441</v>
      </c>
      <c r="AH83" s="4" t="s">
        <v>565</v>
      </c>
      <c r="AK83" s="4" t="s">
        <v>172</v>
      </c>
      <c r="AL83" s="4" t="s">
        <v>441</v>
      </c>
      <c r="AM83" s="4" t="s">
        <v>620</v>
      </c>
      <c r="AP83" s="4" t="s">
        <v>157</v>
      </c>
      <c r="AQ83" s="4" t="s">
        <v>441</v>
      </c>
      <c r="AR83" s="4" t="s">
        <v>670</v>
      </c>
      <c r="AZ83" s="4" t="s">
        <v>156</v>
      </c>
      <c r="BA83" s="4" t="s">
        <v>345</v>
      </c>
      <c r="BB83" s="4" t="s">
        <v>758</v>
      </c>
      <c r="BE83" s="4" t="s">
        <v>170</v>
      </c>
      <c r="BF83" s="4" t="s">
        <v>345</v>
      </c>
      <c r="BG83" s="4" t="s">
        <v>676</v>
      </c>
      <c r="BJ83" s="11" t="s">
        <v>172</v>
      </c>
      <c r="BK83" s="11" t="s">
        <v>441</v>
      </c>
      <c r="BL83" s="11" t="s">
        <v>764</v>
      </c>
      <c r="BT83" s="4" t="s">
        <v>198</v>
      </c>
      <c r="BU83" s="4" t="s">
        <v>424</v>
      </c>
      <c r="BV83" s="4" t="s">
        <v>927</v>
      </c>
      <c r="BY83" s="4" t="s">
        <v>192</v>
      </c>
      <c r="BZ83" s="4" t="s">
        <v>441</v>
      </c>
      <c r="CA83" s="4" t="s">
        <v>687</v>
      </c>
      <c r="CD83" s="4" t="s">
        <v>172</v>
      </c>
      <c r="CE83" s="4" t="s">
        <v>345</v>
      </c>
      <c r="CF83" s="4" t="s">
        <v>454</v>
      </c>
      <c r="CX83" s="4" t="s">
        <v>212</v>
      </c>
      <c r="CY83" s="4" t="s">
        <v>1576</v>
      </c>
      <c r="CZ83" s="4" t="s">
        <v>1236</v>
      </c>
      <c r="DC83" s="4" t="s">
        <v>180</v>
      </c>
      <c r="DD83" s="4" t="s">
        <v>441</v>
      </c>
      <c r="DE83" s="4" t="s">
        <v>1281</v>
      </c>
      <c r="DH83" s="4" t="s">
        <v>178</v>
      </c>
      <c r="DI83" s="4" t="s">
        <v>360</v>
      </c>
      <c r="DJ83" s="4" t="s">
        <v>1359</v>
      </c>
      <c r="DM83" s="4" t="s">
        <v>194</v>
      </c>
      <c r="DN83" s="4" t="s">
        <v>441</v>
      </c>
      <c r="DO83" s="4" t="s">
        <v>688</v>
      </c>
      <c r="DR83" s="4" t="s">
        <v>190</v>
      </c>
      <c r="DS83" s="4" t="s">
        <v>441</v>
      </c>
      <c r="DT83" s="4" t="s">
        <v>1476</v>
      </c>
    </row>
    <row r="84" spans="2:124">
      <c r="B84" s="4" t="s">
        <v>174</v>
      </c>
      <c r="C84" s="4" t="s">
        <v>55</v>
      </c>
      <c r="D84" s="4" t="s">
        <v>175</v>
      </c>
      <c r="G84" s="4" t="s">
        <v>174</v>
      </c>
      <c r="H84" s="4" t="s">
        <v>293</v>
      </c>
      <c r="I84" s="4" t="s">
        <v>175</v>
      </c>
      <c r="L84" s="4" t="s">
        <v>157</v>
      </c>
      <c r="M84" s="4" t="s">
        <v>55</v>
      </c>
      <c r="N84" s="4" t="s">
        <v>158</v>
      </c>
      <c r="Q84" s="4" t="s">
        <v>157</v>
      </c>
      <c r="R84" s="4" t="s">
        <v>293</v>
      </c>
      <c r="S84" s="4" t="s">
        <v>158</v>
      </c>
      <c r="AA84" s="4" t="s">
        <v>157</v>
      </c>
      <c r="AB84" s="4" t="s">
        <v>360</v>
      </c>
      <c r="AC84" s="4" t="s">
        <v>30</v>
      </c>
      <c r="AF84" s="4" t="s">
        <v>196</v>
      </c>
      <c r="AG84" s="4" t="s">
        <v>436</v>
      </c>
      <c r="AH84" s="4" t="s">
        <v>566</v>
      </c>
      <c r="AK84" s="4" t="s">
        <v>174</v>
      </c>
      <c r="AL84" s="4" t="s">
        <v>441</v>
      </c>
      <c r="AM84" s="4" t="s">
        <v>621</v>
      </c>
      <c r="AP84" s="4" t="s">
        <v>160</v>
      </c>
      <c r="AQ84" s="4" t="s">
        <v>441</v>
      </c>
      <c r="AR84" s="4" t="s">
        <v>671</v>
      </c>
      <c r="AZ84" s="4" t="s">
        <v>157</v>
      </c>
      <c r="BA84" s="4" t="s">
        <v>345</v>
      </c>
      <c r="BB84" s="4" t="s">
        <v>759</v>
      </c>
      <c r="BE84" s="4" t="s">
        <v>172</v>
      </c>
      <c r="BF84" s="4" t="s">
        <v>441</v>
      </c>
      <c r="BG84" s="4" t="s">
        <v>677</v>
      </c>
      <c r="BJ84" s="11" t="s">
        <v>174</v>
      </c>
      <c r="BK84" s="11" t="s">
        <v>441</v>
      </c>
      <c r="BL84" s="11" t="s">
        <v>765</v>
      </c>
      <c r="BT84" s="4" t="s">
        <v>200</v>
      </c>
      <c r="BU84" s="4" t="s">
        <v>450</v>
      </c>
      <c r="BV84" s="4" t="s">
        <v>928</v>
      </c>
      <c r="BY84" s="4" t="s">
        <v>194</v>
      </c>
      <c r="BZ84" s="4" t="s">
        <v>441</v>
      </c>
      <c r="CA84" s="4" t="s">
        <v>688</v>
      </c>
      <c r="CD84" s="4" t="s">
        <v>174</v>
      </c>
      <c r="CE84" s="4" t="s">
        <v>345</v>
      </c>
      <c r="CF84" s="4" t="s">
        <v>455</v>
      </c>
      <c r="CX84" s="4" t="s">
        <v>217</v>
      </c>
      <c r="CY84" s="4" t="s">
        <v>1577</v>
      </c>
      <c r="CZ84" s="4" t="s">
        <v>1238</v>
      </c>
      <c r="DC84" s="4" t="s">
        <v>182</v>
      </c>
      <c r="DD84" s="4" t="s">
        <v>441</v>
      </c>
      <c r="DE84" s="4" t="s">
        <v>1281</v>
      </c>
      <c r="DH84" s="4" t="s">
        <v>182</v>
      </c>
      <c r="DI84" s="4" t="s">
        <v>345</v>
      </c>
      <c r="DJ84" s="4" t="s">
        <v>1360</v>
      </c>
      <c r="DM84" s="4" t="s">
        <v>196</v>
      </c>
      <c r="DN84" s="4" t="s">
        <v>441</v>
      </c>
      <c r="DO84" s="4" t="s">
        <v>689</v>
      </c>
      <c r="DR84" s="4" t="s">
        <v>196</v>
      </c>
      <c r="DS84" s="4" t="s">
        <v>436</v>
      </c>
      <c r="DT84" s="4" t="s">
        <v>1477</v>
      </c>
    </row>
    <row r="85" spans="2:124">
      <c r="B85" s="4" t="s">
        <v>176</v>
      </c>
      <c r="C85" s="4" t="s">
        <v>55</v>
      </c>
      <c r="D85" s="4" t="s">
        <v>177</v>
      </c>
      <c r="G85" s="4" t="s">
        <v>176</v>
      </c>
      <c r="H85" s="4" t="s">
        <v>293</v>
      </c>
      <c r="I85" s="4" t="s">
        <v>177</v>
      </c>
      <c r="L85" s="4" t="s">
        <v>159</v>
      </c>
      <c r="M85" s="4" t="s">
        <v>104</v>
      </c>
      <c r="N85" s="4" t="s">
        <v>30</v>
      </c>
      <c r="Q85" s="4" t="s">
        <v>159</v>
      </c>
      <c r="R85" s="4" t="s">
        <v>298</v>
      </c>
      <c r="S85" s="4" t="s">
        <v>30</v>
      </c>
      <c r="AA85" s="4" t="s">
        <v>159</v>
      </c>
      <c r="AB85" s="4" t="s">
        <v>345</v>
      </c>
      <c r="AC85" s="4" t="s">
        <v>30</v>
      </c>
      <c r="AF85" s="4" t="s">
        <v>198</v>
      </c>
      <c r="AG85" s="4" t="s">
        <v>402</v>
      </c>
      <c r="AH85" s="4" t="s">
        <v>567</v>
      </c>
      <c r="AK85" s="4" t="s">
        <v>176</v>
      </c>
      <c r="AL85" s="4" t="s">
        <v>441</v>
      </c>
      <c r="AM85" s="4" t="s">
        <v>622</v>
      </c>
      <c r="AP85" s="4" t="s">
        <v>162</v>
      </c>
      <c r="AQ85" s="4" t="s">
        <v>441</v>
      </c>
      <c r="AR85" s="4" t="s">
        <v>672</v>
      </c>
      <c r="AZ85" s="4" t="s">
        <v>159</v>
      </c>
      <c r="BA85" s="4" t="s">
        <v>441</v>
      </c>
      <c r="BB85" s="4" t="s">
        <v>760</v>
      </c>
      <c r="BE85" s="4" t="s">
        <v>174</v>
      </c>
      <c r="BF85" s="4" t="s">
        <v>441</v>
      </c>
      <c r="BG85" s="4" t="s">
        <v>678</v>
      </c>
      <c r="BJ85" s="11" t="s">
        <v>176</v>
      </c>
      <c r="BK85" s="11" t="s">
        <v>441</v>
      </c>
      <c r="BL85" s="11" t="s">
        <v>801</v>
      </c>
      <c r="BT85" s="4" t="s">
        <v>201</v>
      </c>
      <c r="BU85" s="4" t="s">
        <v>929</v>
      </c>
      <c r="BV85" s="4" t="s">
        <v>890</v>
      </c>
      <c r="BY85" s="4" t="s">
        <v>196</v>
      </c>
      <c r="BZ85" s="4" t="s">
        <v>441</v>
      </c>
      <c r="CA85" s="4" t="s">
        <v>689</v>
      </c>
      <c r="CD85" s="4" t="s">
        <v>176</v>
      </c>
      <c r="CE85" s="4" t="s">
        <v>360</v>
      </c>
      <c r="CF85" s="4" t="s">
        <v>998</v>
      </c>
      <c r="CX85" s="4" t="s">
        <v>218</v>
      </c>
      <c r="CY85" s="4" t="s">
        <v>1239</v>
      </c>
      <c r="CZ85" s="4" t="s">
        <v>1240</v>
      </c>
      <c r="DC85" s="4" t="s">
        <v>184</v>
      </c>
      <c r="DD85" s="4" t="s">
        <v>441</v>
      </c>
      <c r="DE85" s="4" t="s">
        <v>1281</v>
      </c>
      <c r="DH85" s="4" t="s">
        <v>184</v>
      </c>
      <c r="DI85" s="4" t="s">
        <v>346</v>
      </c>
      <c r="DJ85" s="4" t="s">
        <v>1361</v>
      </c>
      <c r="DM85" s="4" t="s">
        <v>198</v>
      </c>
      <c r="DN85" s="4" t="s">
        <v>441</v>
      </c>
      <c r="DO85" s="4" t="s">
        <v>690</v>
      </c>
      <c r="DR85" s="4" t="s">
        <v>198</v>
      </c>
      <c r="DS85" s="4" t="s">
        <v>402</v>
      </c>
      <c r="DT85" s="4" t="s">
        <v>1478</v>
      </c>
    </row>
    <row r="86" spans="2:124">
      <c r="B86" s="4" t="s">
        <v>178</v>
      </c>
      <c r="C86" s="4" t="s">
        <v>32</v>
      </c>
      <c r="D86" s="4" t="s">
        <v>179</v>
      </c>
      <c r="G86" s="4" t="s">
        <v>178</v>
      </c>
      <c r="H86" s="4" t="s">
        <v>289</v>
      </c>
      <c r="I86" s="4" t="s">
        <v>300</v>
      </c>
      <c r="L86" s="4" t="s">
        <v>160</v>
      </c>
      <c r="M86" s="4" t="s">
        <v>38</v>
      </c>
      <c r="N86" s="4" t="s">
        <v>161</v>
      </c>
      <c r="Q86" s="4" t="s">
        <v>160</v>
      </c>
      <c r="R86" s="4" t="s">
        <v>291</v>
      </c>
      <c r="S86" s="4" t="s">
        <v>161</v>
      </c>
      <c r="AA86" s="4" t="s">
        <v>160</v>
      </c>
      <c r="AB86" s="4" t="s">
        <v>360</v>
      </c>
      <c r="AC86" s="4" t="s">
        <v>30</v>
      </c>
      <c r="AF86" s="4" t="s">
        <v>200</v>
      </c>
      <c r="AG86" s="4" t="s">
        <v>396</v>
      </c>
      <c r="AH86" s="4" t="s">
        <v>568</v>
      </c>
      <c r="AK86" s="4" t="s">
        <v>178</v>
      </c>
      <c r="AL86" s="4" t="s">
        <v>441</v>
      </c>
      <c r="AM86" s="4" t="s">
        <v>179</v>
      </c>
      <c r="AP86" s="4" t="s">
        <v>164</v>
      </c>
      <c r="AQ86" s="4" t="s">
        <v>346</v>
      </c>
      <c r="AR86" s="4" t="s">
        <v>673</v>
      </c>
      <c r="AZ86" s="4" t="s">
        <v>160</v>
      </c>
      <c r="BA86" s="4" t="s">
        <v>345</v>
      </c>
      <c r="BB86" s="4" t="s">
        <v>761</v>
      </c>
      <c r="BE86" s="4" t="s">
        <v>176</v>
      </c>
      <c r="BF86" s="4" t="s">
        <v>345</v>
      </c>
      <c r="BG86" s="4" t="s">
        <v>679</v>
      </c>
      <c r="BJ86" s="11" t="s">
        <v>178</v>
      </c>
      <c r="BK86" s="11" t="s">
        <v>441</v>
      </c>
      <c r="BL86" s="11" t="s">
        <v>802</v>
      </c>
      <c r="BT86" s="4" t="s">
        <v>203</v>
      </c>
      <c r="BU86" s="4" t="s">
        <v>930</v>
      </c>
      <c r="BV86" s="4" t="s">
        <v>931</v>
      </c>
      <c r="BY86" s="4" t="s">
        <v>198</v>
      </c>
      <c r="BZ86" s="4" t="s">
        <v>441</v>
      </c>
      <c r="CA86" s="4" t="s">
        <v>690</v>
      </c>
      <c r="CD86" s="4" t="s">
        <v>178</v>
      </c>
      <c r="CE86" s="4" t="s">
        <v>346</v>
      </c>
      <c r="CF86" s="4" t="s">
        <v>300</v>
      </c>
      <c r="CX86" s="4" t="s">
        <v>220</v>
      </c>
      <c r="CY86" s="4" t="s">
        <v>1578</v>
      </c>
      <c r="CZ86" s="4" t="s">
        <v>1242</v>
      </c>
      <c r="DC86" s="4" t="s">
        <v>186</v>
      </c>
      <c r="DD86" s="4" t="s">
        <v>441</v>
      </c>
      <c r="DE86" s="4" t="s">
        <v>1281</v>
      </c>
      <c r="DH86" s="4" t="s">
        <v>186</v>
      </c>
      <c r="DI86" s="4" t="s">
        <v>345</v>
      </c>
      <c r="DJ86" s="4" t="s">
        <v>1362</v>
      </c>
      <c r="DM86" s="4" t="s">
        <v>200</v>
      </c>
      <c r="DN86" s="4" t="s">
        <v>441</v>
      </c>
      <c r="DO86" s="4" t="s">
        <v>690</v>
      </c>
      <c r="DR86" s="4" t="s">
        <v>200</v>
      </c>
      <c r="DS86" s="4" t="s">
        <v>396</v>
      </c>
      <c r="DT86" s="4" t="s">
        <v>1479</v>
      </c>
    </row>
    <row r="87" spans="2:124">
      <c r="B87" s="4" t="s">
        <v>180</v>
      </c>
      <c r="C87" s="4" t="s">
        <v>55</v>
      </c>
      <c r="D87" s="4" t="s">
        <v>181</v>
      </c>
      <c r="G87" s="4" t="s">
        <v>180</v>
      </c>
      <c r="H87" s="4" t="s">
        <v>293</v>
      </c>
      <c r="I87" s="4" t="s">
        <v>181</v>
      </c>
      <c r="L87" s="4" t="s">
        <v>162</v>
      </c>
      <c r="M87" s="4" t="s">
        <v>32</v>
      </c>
      <c r="N87" s="4" t="s">
        <v>311</v>
      </c>
      <c r="Q87" s="4" t="s">
        <v>162</v>
      </c>
      <c r="R87" s="4" t="s">
        <v>289</v>
      </c>
      <c r="S87" s="4" t="s">
        <v>311</v>
      </c>
      <c r="AA87" s="4" t="s">
        <v>162</v>
      </c>
      <c r="AB87" s="4" t="s">
        <v>345</v>
      </c>
      <c r="AC87" s="4" t="s">
        <v>163</v>
      </c>
      <c r="AF87" s="4" t="s">
        <v>201</v>
      </c>
      <c r="AG87" s="4" t="s">
        <v>1518</v>
      </c>
      <c r="AH87" s="4" t="s">
        <v>570</v>
      </c>
      <c r="AK87" s="4" t="s">
        <v>180</v>
      </c>
      <c r="AL87" s="4" t="s">
        <v>441</v>
      </c>
      <c r="AM87" s="4" t="s">
        <v>623</v>
      </c>
      <c r="AP87" s="4" t="s">
        <v>166</v>
      </c>
      <c r="AQ87" s="4" t="s">
        <v>441</v>
      </c>
      <c r="AR87" s="4" t="s">
        <v>674</v>
      </c>
      <c r="AZ87" s="4" t="s">
        <v>162</v>
      </c>
      <c r="BA87" s="4" t="s">
        <v>345</v>
      </c>
      <c r="BB87" s="4" t="s">
        <v>762</v>
      </c>
      <c r="BE87" s="4" t="s">
        <v>178</v>
      </c>
      <c r="BF87" s="4" t="s">
        <v>441</v>
      </c>
      <c r="BG87" s="4" t="s">
        <v>680</v>
      </c>
      <c r="BJ87" s="11" t="s">
        <v>180</v>
      </c>
      <c r="BK87" s="11" t="s">
        <v>441</v>
      </c>
      <c r="BL87" s="11" t="s">
        <v>803</v>
      </c>
      <c r="BT87" s="4" t="s">
        <v>205</v>
      </c>
      <c r="BU87" s="4" t="s">
        <v>932</v>
      </c>
      <c r="BV87" s="4" t="s">
        <v>933</v>
      </c>
      <c r="BY87" s="4" t="s">
        <v>200</v>
      </c>
      <c r="BZ87" s="4" t="s">
        <v>441</v>
      </c>
      <c r="CA87" s="4" t="s">
        <v>690</v>
      </c>
      <c r="CD87" s="4" t="s">
        <v>180</v>
      </c>
      <c r="CE87" s="4" t="s">
        <v>345</v>
      </c>
      <c r="CF87" s="4" t="s">
        <v>999</v>
      </c>
      <c r="CX87" s="4" t="s">
        <v>222</v>
      </c>
      <c r="CY87" s="4" t="s">
        <v>1243</v>
      </c>
      <c r="CZ87" s="4" t="s">
        <v>1244</v>
      </c>
      <c r="DC87" s="4" t="s">
        <v>188</v>
      </c>
      <c r="DD87" s="4" t="s">
        <v>441</v>
      </c>
      <c r="DE87" s="4" t="s">
        <v>1281</v>
      </c>
      <c r="DH87" s="4" t="s">
        <v>188</v>
      </c>
      <c r="DI87" s="4" t="s">
        <v>345</v>
      </c>
      <c r="DJ87" s="4" t="s">
        <v>1363</v>
      </c>
      <c r="DM87" s="4" t="s">
        <v>201</v>
      </c>
      <c r="DN87" s="4" t="s">
        <v>346</v>
      </c>
      <c r="DO87" s="4" t="s">
        <v>1389</v>
      </c>
      <c r="DR87" s="4" t="s">
        <v>201</v>
      </c>
      <c r="DS87" s="4" t="s">
        <v>569</v>
      </c>
      <c r="DT87" s="4" t="s">
        <v>1480</v>
      </c>
    </row>
    <row r="88" spans="2:124">
      <c r="B88" s="4" t="s">
        <v>182</v>
      </c>
      <c r="C88" s="4" t="s">
        <v>32</v>
      </c>
      <c r="D88" s="4" t="s">
        <v>183</v>
      </c>
      <c r="G88" s="4" t="s">
        <v>182</v>
      </c>
      <c r="H88" s="4" t="s">
        <v>289</v>
      </c>
      <c r="I88" s="4" t="s">
        <v>183</v>
      </c>
      <c r="L88" s="4" t="s">
        <v>164</v>
      </c>
      <c r="M88" s="4" t="s">
        <v>24</v>
      </c>
      <c r="N88" s="4" t="s">
        <v>165</v>
      </c>
      <c r="Q88" s="4" t="s">
        <v>164</v>
      </c>
      <c r="R88" s="4" t="s">
        <v>286</v>
      </c>
      <c r="S88" s="4" t="s">
        <v>165</v>
      </c>
      <c r="AA88" s="4" t="s">
        <v>164</v>
      </c>
      <c r="AB88" s="4" t="s">
        <v>360</v>
      </c>
      <c r="AC88" s="4" t="s">
        <v>165</v>
      </c>
      <c r="AF88" s="4" t="s">
        <v>203</v>
      </c>
      <c r="AG88" s="4" t="s">
        <v>489</v>
      </c>
      <c r="AH88" s="4" t="s">
        <v>571</v>
      </c>
      <c r="AK88" s="4" t="s">
        <v>182</v>
      </c>
      <c r="AL88" s="4" t="s">
        <v>441</v>
      </c>
      <c r="AM88" s="4" t="s">
        <v>183</v>
      </c>
      <c r="AP88" s="4" t="s">
        <v>168</v>
      </c>
      <c r="AQ88" s="4" t="s">
        <v>345</v>
      </c>
      <c r="AR88" s="4" t="s">
        <v>675</v>
      </c>
      <c r="AZ88" s="4" t="s">
        <v>164</v>
      </c>
      <c r="BA88" s="4" t="s">
        <v>360</v>
      </c>
      <c r="BB88" s="4" t="s">
        <v>673</v>
      </c>
      <c r="BE88" s="4" t="s">
        <v>180</v>
      </c>
      <c r="BF88" s="4" t="s">
        <v>345</v>
      </c>
      <c r="BG88" s="4" t="s">
        <v>681</v>
      </c>
      <c r="BJ88" s="11" t="s">
        <v>182</v>
      </c>
      <c r="BK88" s="11" t="s">
        <v>441</v>
      </c>
      <c r="BL88" s="11" t="s">
        <v>804</v>
      </c>
      <c r="BT88" s="4" t="s">
        <v>206</v>
      </c>
      <c r="BU88" s="4" t="s">
        <v>593</v>
      </c>
      <c r="BV88" s="4" t="s">
        <v>934</v>
      </c>
      <c r="BY88" s="4" t="s">
        <v>201</v>
      </c>
      <c r="BZ88" s="4" t="s">
        <v>345</v>
      </c>
      <c r="CA88" s="4" t="s">
        <v>702</v>
      </c>
      <c r="CD88" s="4" t="s">
        <v>182</v>
      </c>
      <c r="CE88" s="4" t="s">
        <v>346</v>
      </c>
      <c r="CF88" s="4" t="s">
        <v>1000</v>
      </c>
      <c r="CX88" s="4" t="s">
        <v>224</v>
      </c>
      <c r="CY88" s="4" t="s">
        <v>1245</v>
      </c>
      <c r="CZ88" s="4" t="s">
        <v>1246</v>
      </c>
      <c r="DC88" s="4" t="s">
        <v>190</v>
      </c>
      <c r="DD88" s="4" t="s">
        <v>441</v>
      </c>
      <c r="DE88" s="4" t="s">
        <v>1281</v>
      </c>
      <c r="DH88" s="4" t="s">
        <v>194</v>
      </c>
      <c r="DI88" s="4" t="s">
        <v>441</v>
      </c>
      <c r="DJ88" s="4" t="s">
        <v>688</v>
      </c>
      <c r="DM88" s="4" t="s">
        <v>203</v>
      </c>
      <c r="DN88" s="4" t="s">
        <v>441</v>
      </c>
      <c r="DO88" s="4" t="s">
        <v>692</v>
      </c>
      <c r="DR88" s="4" t="s">
        <v>203</v>
      </c>
      <c r="DS88" s="4" t="s">
        <v>489</v>
      </c>
      <c r="DT88" s="4" t="s">
        <v>1481</v>
      </c>
    </row>
    <row r="89" spans="2:124">
      <c r="B89" s="4" t="s">
        <v>184</v>
      </c>
      <c r="C89" s="4" t="s">
        <v>32</v>
      </c>
      <c r="D89" s="4" t="s">
        <v>185</v>
      </c>
      <c r="G89" s="4" t="s">
        <v>184</v>
      </c>
      <c r="H89" s="4" t="s">
        <v>289</v>
      </c>
      <c r="I89" s="4" t="s">
        <v>301</v>
      </c>
      <c r="L89" s="4" t="s">
        <v>166</v>
      </c>
      <c r="M89" s="4" t="s">
        <v>55</v>
      </c>
      <c r="N89" s="4" t="s">
        <v>167</v>
      </c>
      <c r="Q89" s="4" t="s">
        <v>166</v>
      </c>
      <c r="R89" s="4" t="s">
        <v>293</v>
      </c>
      <c r="S89" s="4" t="s">
        <v>167</v>
      </c>
      <c r="AA89" s="4" t="s">
        <v>166</v>
      </c>
      <c r="AB89" s="4" t="s">
        <v>345</v>
      </c>
      <c r="AC89" s="4" t="s">
        <v>452</v>
      </c>
      <c r="AF89" s="4" t="s">
        <v>205</v>
      </c>
      <c r="AG89" s="4" t="s">
        <v>521</v>
      </c>
      <c r="AH89" s="4" t="s">
        <v>572</v>
      </c>
      <c r="AK89" s="4" t="s">
        <v>184</v>
      </c>
      <c r="AL89" s="4" t="s">
        <v>441</v>
      </c>
      <c r="AM89" s="4" t="s">
        <v>301</v>
      </c>
      <c r="AP89" s="4" t="s">
        <v>170</v>
      </c>
      <c r="AQ89" s="4" t="s">
        <v>345</v>
      </c>
      <c r="AR89" s="4" t="s">
        <v>676</v>
      </c>
      <c r="AZ89" s="4" t="s">
        <v>166</v>
      </c>
      <c r="BA89" s="4" t="s">
        <v>345</v>
      </c>
      <c r="BB89" s="4" t="s">
        <v>674</v>
      </c>
      <c r="BE89" s="4" t="s">
        <v>182</v>
      </c>
      <c r="BF89" s="4" t="s">
        <v>441</v>
      </c>
      <c r="BG89" s="4" t="s">
        <v>682</v>
      </c>
      <c r="BJ89" s="11" t="s">
        <v>184</v>
      </c>
      <c r="BK89" s="11" t="s">
        <v>441</v>
      </c>
      <c r="BL89" s="11" t="s">
        <v>805</v>
      </c>
      <c r="BT89" s="4" t="s">
        <v>208</v>
      </c>
      <c r="BU89" s="4" t="s">
        <v>298</v>
      </c>
      <c r="BV89" s="4" t="s">
        <v>935</v>
      </c>
      <c r="BY89" s="4" t="s">
        <v>203</v>
      </c>
      <c r="BZ89" s="4" t="s">
        <v>441</v>
      </c>
      <c r="CA89" s="4" t="s">
        <v>692</v>
      </c>
      <c r="CD89" s="4" t="s">
        <v>184</v>
      </c>
      <c r="CE89" s="4" t="s">
        <v>446</v>
      </c>
      <c r="CF89" s="4" t="s">
        <v>972</v>
      </c>
      <c r="CX89" s="4" t="s">
        <v>226</v>
      </c>
      <c r="CY89" s="4" t="s">
        <v>1579</v>
      </c>
      <c r="CZ89" s="4" t="s">
        <v>1580</v>
      </c>
      <c r="DC89" s="4" t="s">
        <v>192</v>
      </c>
      <c r="DD89" s="4" t="s">
        <v>441</v>
      </c>
      <c r="DE89" s="4" t="s">
        <v>1281</v>
      </c>
      <c r="DH89" s="4" t="s">
        <v>196</v>
      </c>
      <c r="DI89" s="4" t="s">
        <v>441</v>
      </c>
      <c r="DJ89" s="4" t="s">
        <v>689</v>
      </c>
      <c r="DM89" s="4" t="s">
        <v>205</v>
      </c>
      <c r="DN89" s="4" t="s">
        <v>441</v>
      </c>
      <c r="DO89" s="4" t="s">
        <v>692</v>
      </c>
      <c r="DR89" s="4" t="s">
        <v>205</v>
      </c>
      <c r="DS89" s="4" t="s">
        <v>521</v>
      </c>
      <c r="DT89" s="4" t="s">
        <v>1482</v>
      </c>
    </row>
    <row r="90" spans="2:124">
      <c r="B90" s="4" t="s">
        <v>186</v>
      </c>
      <c r="C90" s="4" t="s">
        <v>32</v>
      </c>
      <c r="D90" s="4" t="s">
        <v>187</v>
      </c>
      <c r="G90" s="4" t="s">
        <v>186</v>
      </c>
      <c r="H90" s="4" t="s">
        <v>289</v>
      </c>
      <c r="I90" s="4" t="s">
        <v>187</v>
      </c>
      <c r="L90" s="4" t="s">
        <v>168</v>
      </c>
      <c r="M90" s="4" t="s">
        <v>55</v>
      </c>
      <c r="N90" s="4" t="s">
        <v>169</v>
      </c>
      <c r="Q90" s="4" t="s">
        <v>168</v>
      </c>
      <c r="R90" s="4" t="s">
        <v>293</v>
      </c>
      <c r="S90" s="4" t="s">
        <v>169</v>
      </c>
      <c r="AA90" s="4" t="s">
        <v>168</v>
      </c>
      <c r="AB90" s="4" t="s">
        <v>345</v>
      </c>
      <c r="AC90" s="4" t="s">
        <v>453</v>
      </c>
      <c r="AF90" s="4" t="s">
        <v>206</v>
      </c>
      <c r="AG90" s="4" t="s">
        <v>573</v>
      </c>
      <c r="AH90" s="4" t="s">
        <v>574</v>
      </c>
      <c r="AK90" s="4" t="s">
        <v>186</v>
      </c>
      <c r="AL90" s="4" t="s">
        <v>441</v>
      </c>
      <c r="AM90" s="4" t="s">
        <v>329</v>
      </c>
      <c r="AP90" s="4" t="s">
        <v>172</v>
      </c>
      <c r="AQ90" s="4" t="s">
        <v>441</v>
      </c>
      <c r="AR90" s="4" t="s">
        <v>677</v>
      </c>
      <c r="AZ90" s="4" t="s">
        <v>168</v>
      </c>
      <c r="BA90" s="4" t="s">
        <v>345</v>
      </c>
      <c r="BB90" s="4" t="s">
        <v>763</v>
      </c>
      <c r="BE90" s="4" t="s">
        <v>184</v>
      </c>
      <c r="BF90" s="4" t="s">
        <v>441</v>
      </c>
      <c r="BG90" s="4" t="s">
        <v>683</v>
      </c>
      <c r="BJ90" s="11" t="s">
        <v>186</v>
      </c>
      <c r="BK90" s="11" t="s">
        <v>441</v>
      </c>
      <c r="BL90" s="11" t="s">
        <v>806</v>
      </c>
      <c r="BT90" s="4" t="s">
        <v>210</v>
      </c>
      <c r="BU90" s="4" t="s">
        <v>396</v>
      </c>
      <c r="BV90" s="4" t="s">
        <v>915</v>
      </c>
      <c r="BY90" s="4" t="s">
        <v>205</v>
      </c>
      <c r="BZ90" s="4" t="s">
        <v>441</v>
      </c>
      <c r="CA90" s="4" t="s">
        <v>692</v>
      </c>
      <c r="CD90" s="4" t="s">
        <v>186</v>
      </c>
      <c r="CE90" s="4" t="s">
        <v>446</v>
      </c>
      <c r="CF90" s="4" t="s">
        <v>187</v>
      </c>
      <c r="CX90" s="4" t="s">
        <v>227</v>
      </c>
      <c r="CY90" s="4" t="s">
        <v>1249</v>
      </c>
      <c r="CZ90" s="4" t="s">
        <v>1250</v>
      </c>
      <c r="DC90" s="4" t="s">
        <v>194</v>
      </c>
      <c r="DD90" s="4" t="s">
        <v>441</v>
      </c>
      <c r="DE90" s="4" t="s">
        <v>1289</v>
      </c>
      <c r="DH90" s="4" t="s">
        <v>198</v>
      </c>
      <c r="DI90" s="4" t="s">
        <v>360</v>
      </c>
      <c r="DJ90" s="4" t="s">
        <v>1364</v>
      </c>
      <c r="DM90" s="4" t="s">
        <v>206</v>
      </c>
      <c r="DN90" s="4" t="s">
        <v>441</v>
      </c>
      <c r="DO90" s="4" t="s">
        <v>693</v>
      </c>
      <c r="DR90" s="4" t="s">
        <v>206</v>
      </c>
      <c r="DS90" s="4" t="s">
        <v>573</v>
      </c>
      <c r="DT90" s="4" t="s">
        <v>1483</v>
      </c>
    </row>
    <row r="91" spans="2:124">
      <c r="B91" s="4" t="s">
        <v>188</v>
      </c>
      <c r="C91" s="4" t="s">
        <v>32</v>
      </c>
      <c r="D91" s="4" t="s">
        <v>189</v>
      </c>
      <c r="G91" s="4" t="s">
        <v>188</v>
      </c>
      <c r="H91" s="4" t="s">
        <v>289</v>
      </c>
      <c r="I91" s="4" t="s">
        <v>302</v>
      </c>
      <c r="L91" s="4" t="s">
        <v>170</v>
      </c>
      <c r="M91" s="4" t="s">
        <v>29</v>
      </c>
      <c r="N91" s="4" t="s">
        <v>171</v>
      </c>
      <c r="Q91" s="4" t="s">
        <v>170</v>
      </c>
      <c r="R91" s="4" t="s">
        <v>288</v>
      </c>
      <c r="S91" s="4" t="s">
        <v>171</v>
      </c>
      <c r="AA91" s="4" t="s">
        <v>170</v>
      </c>
      <c r="AB91" s="4" t="s">
        <v>346</v>
      </c>
      <c r="AC91" s="4" t="s">
        <v>171</v>
      </c>
      <c r="AF91" s="4" t="s">
        <v>208</v>
      </c>
      <c r="AG91" s="4" t="s">
        <v>32</v>
      </c>
      <c r="AH91" s="4" t="s">
        <v>575</v>
      </c>
      <c r="AK91" s="4" t="s">
        <v>188</v>
      </c>
      <c r="AL91" s="4" t="s">
        <v>441</v>
      </c>
      <c r="AM91" s="4" t="s">
        <v>302</v>
      </c>
      <c r="AP91" s="4" t="s">
        <v>174</v>
      </c>
      <c r="AQ91" s="4" t="s">
        <v>441</v>
      </c>
      <c r="AR91" s="4" t="s">
        <v>678</v>
      </c>
      <c r="AZ91" s="4" t="s">
        <v>170</v>
      </c>
      <c r="BA91" s="4" t="s">
        <v>346</v>
      </c>
      <c r="BB91" s="4" t="s">
        <v>676</v>
      </c>
      <c r="BE91" s="4" t="s">
        <v>186</v>
      </c>
      <c r="BF91" s="4" t="s">
        <v>345</v>
      </c>
      <c r="BG91" s="4" t="s">
        <v>788</v>
      </c>
      <c r="BJ91" s="11" t="s">
        <v>188</v>
      </c>
      <c r="BK91" s="11" t="s">
        <v>441</v>
      </c>
      <c r="BL91" s="11" t="s">
        <v>807</v>
      </c>
      <c r="BT91" s="4" t="s">
        <v>212</v>
      </c>
      <c r="BU91" s="4" t="s">
        <v>533</v>
      </c>
      <c r="BV91" s="4" t="s">
        <v>936</v>
      </c>
      <c r="BY91" s="4" t="s">
        <v>206</v>
      </c>
      <c r="BZ91" s="4" t="s">
        <v>441</v>
      </c>
      <c r="CA91" s="4" t="s">
        <v>693</v>
      </c>
      <c r="CD91" s="4" t="s">
        <v>188</v>
      </c>
      <c r="CE91" s="4" t="s">
        <v>346</v>
      </c>
      <c r="CF91" s="4" t="s">
        <v>189</v>
      </c>
      <c r="CX91" s="4" t="s">
        <v>228</v>
      </c>
      <c r="CY91" s="4" t="s">
        <v>1581</v>
      </c>
      <c r="CZ91" s="4" t="s">
        <v>1252</v>
      </c>
      <c r="DC91" s="4" t="s">
        <v>196</v>
      </c>
      <c r="DD91" s="4" t="s">
        <v>441</v>
      </c>
      <c r="DE91" s="4" t="s">
        <v>1290</v>
      </c>
      <c r="DH91" s="4" t="s">
        <v>200</v>
      </c>
      <c r="DI91" s="4" t="s">
        <v>360</v>
      </c>
      <c r="DJ91" s="4" t="s">
        <v>1365</v>
      </c>
      <c r="DM91" s="4" t="s">
        <v>208</v>
      </c>
      <c r="DN91" s="4" t="s">
        <v>441</v>
      </c>
      <c r="DO91" s="4" t="s">
        <v>694</v>
      </c>
      <c r="DR91" s="4" t="s">
        <v>208</v>
      </c>
      <c r="DS91" s="4" t="s">
        <v>32</v>
      </c>
      <c r="DT91" s="4" t="s">
        <v>1484</v>
      </c>
    </row>
    <row r="92" spans="2:124">
      <c r="B92" s="4" t="s">
        <v>190</v>
      </c>
      <c r="C92" s="4" t="s">
        <v>32</v>
      </c>
      <c r="D92" s="4" t="s">
        <v>191</v>
      </c>
      <c r="G92" s="4" t="s">
        <v>190</v>
      </c>
      <c r="H92" s="4" t="s">
        <v>289</v>
      </c>
      <c r="I92" s="4" t="s">
        <v>303</v>
      </c>
      <c r="L92" s="4" t="s">
        <v>172</v>
      </c>
      <c r="M92" s="4" t="s">
        <v>55</v>
      </c>
      <c r="N92" s="4" t="s">
        <v>173</v>
      </c>
      <c r="Q92" s="4" t="s">
        <v>172</v>
      </c>
      <c r="R92" s="4" t="s">
        <v>293</v>
      </c>
      <c r="S92" s="4" t="s">
        <v>173</v>
      </c>
      <c r="AA92" s="4" t="s">
        <v>172</v>
      </c>
      <c r="AB92" s="4" t="s">
        <v>345</v>
      </c>
      <c r="AC92" s="4" t="s">
        <v>454</v>
      </c>
      <c r="AF92" s="4" t="s">
        <v>210</v>
      </c>
      <c r="AG92" s="4" t="s">
        <v>521</v>
      </c>
      <c r="AH92" s="4" t="s">
        <v>576</v>
      </c>
      <c r="AK92" s="4" t="s">
        <v>190</v>
      </c>
      <c r="AL92" s="4" t="s">
        <v>441</v>
      </c>
      <c r="AM92" s="4" t="s">
        <v>321</v>
      </c>
      <c r="AP92" s="4" t="s">
        <v>176</v>
      </c>
      <c r="AQ92" s="4" t="s">
        <v>345</v>
      </c>
      <c r="AR92" s="4" t="s">
        <v>679</v>
      </c>
      <c r="AZ92" s="4" t="s">
        <v>172</v>
      </c>
      <c r="BA92" s="4" t="s">
        <v>345</v>
      </c>
      <c r="BB92" s="4" t="s">
        <v>764</v>
      </c>
      <c r="BE92" s="4" t="s">
        <v>188</v>
      </c>
      <c r="BF92" s="4" t="s">
        <v>441</v>
      </c>
      <c r="BG92" s="4" t="s">
        <v>685</v>
      </c>
      <c r="BJ92" s="11" t="s">
        <v>190</v>
      </c>
      <c r="BK92" s="11" t="s">
        <v>441</v>
      </c>
      <c r="BL92" s="11" t="s">
        <v>793</v>
      </c>
      <c r="BT92" s="4" t="s">
        <v>217</v>
      </c>
      <c r="BU92" s="4" t="s">
        <v>499</v>
      </c>
      <c r="BV92" s="4" t="s">
        <v>937</v>
      </c>
      <c r="BY92" s="4" t="s">
        <v>208</v>
      </c>
      <c r="BZ92" s="4" t="s">
        <v>441</v>
      </c>
      <c r="CA92" s="4" t="s">
        <v>694</v>
      </c>
      <c r="CD92" s="4" t="s">
        <v>190</v>
      </c>
      <c r="CE92" s="4" t="s">
        <v>346</v>
      </c>
      <c r="CF92" s="4" t="s">
        <v>1001</v>
      </c>
      <c r="CX92" s="4" t="s">
        <v>232</v>
      </c>
      <c r="CY92" s="4" t="s">
        <v>402</v>
      </c>
      <c r="CZ92" s="4" t="s">
        <v>1253</v>
      </c>
      <c r="DC92" s="4" t="s">
        <v>198</v>
      </c>
      <c r="DD92" s="4" t="s">
        <v>441</v>
      </c>
      <c r="DE92" s="4" t="s">
        <v>1291</v>
      </c>
      <c r="DH92" s="4" t="s">
        <v>201</v>
      </c>
      <c r="DI92" s="4" t="s">
        <v>444</v>
      </c>
      <c r="DJ92" s="4" t="s">
        <v>1366</v>
      </c>
      <c r="DM92" s="4" t="s">
        <v>210</v>
      </c>
      <c r="DN92" s="4" t="s">
        <v>441</v>
      </c>
      <c r="DO92" s="4" t="s">
        <v>695</v>
      </c>
      <c r="DR92" s="4" t="s">
        <v>210</v>
      </c>
      <c r="DS92" s="4" t="s">
        <v>521</v>
      </c>
      <c r="DT92" s="4" t="s">
        <v>1485</v>
      </c>
    </row>
    <row r="93" spans="2:124">
      <c r="B93" s="4" t="s">
        <v>192</v>
      </c>
      <c r="C93" s="4" t="s">
        <v>32</v>
      </c>
      <c r="D93" s="4" t="s">
        <v>193</v>
      </c>
      <c r="G93" s="4" t="s">
        <v>192</v>
      </c>
      <c r="H93" s="4" t="s">
        <v>289</v>
      </c>
      <c r="I93" s="4" t="s">
        <v>193</v>
      </c>
      <c r="L93" s="4" t="s">
        <v>174</v>
      </c>
      <c r="M93" s="4" t="s">
        <v>55</v>
      </c>
      <c r="N93" s="4" t="s">
        <v>175</v>
      </c>
      <c r="Q93" s="4" t="s">
        <v>174</v>
      </c>
      <c r="R93" s="4" t="s">
        <v>293</v>
      </c>
      <c r="S93" s="4" t="s">
        <v>175</v>
      </c>
      <c r="AA93" s="4" t="s">
        <v>174</v>
      </c>
      <c r="AB93" s="4" t="s">
        <v>345</v>
      </c>
      <c r="AC93" s="4" t="s">
        <v>455</v>
      </c>
      <c r="AF93" s="4" t="s">
        <v>212</v>
      </c>
      <c r="AG93" s="4" t="s">
        <v>577</v>
      </c>
      <c r="AH93" s="4" t="s">
        <v>578</v>
      </c>
      <c r="AK93" s="4" t="s">
        <v>192</v>
      </c>
      <c r="AL93" s="4" t="s">
        <v>441</v>
      </c>
      <c r="AM93" s="4" t="s">
        <v>330</v>
      </c>
      <c r="AP93" s="4" t="s">
        <v>178</v>
      </c>
      <c r="AQ93" s="4" t="s">
        <v>441</v>
      </c>
      <c r="AR93" s="4" t="s">
        <v>680</v>
      </c>
      <c r="AZ93" s="4" t="s">
        <v>174</v>
      </c>
      <c r="BA93" s="4" t="s">
        <v>345</v>
      </c>
      <c r="BB93" s="4" t="s">
        <v>765</v>
      </c>
      <c r="BE93" s="4" t="s">
        <v>190</v>
      </c>
      <c r="BF93" s="4" t="s">
        <v>441</v>
      </c>
      <c r="BG93" s="4" t="s">
        <v>686</v>
      </c>
      <c r="BJ93" s="11" t="s">
        <v>192</v>
      </c>
      <c r="BK93" s="11" t="s">
        <v>441</v>
      </c>
      <c r="BL93" s="11" t="s">
        <v>808</v>
      </c>
      <c r="BT93" s="4" t="s">
        <v>218</v>
      </c>
      <c r="BU93" s="4" t="s">
        <v>45</v>
      </c>
      <c r="BV93" s="4" t="s">
        <v>938</v>
      </c>
      <c r="BY93" s="4" t="s">
        <v>210</v>
      </c>
      <c r="BZ93" s="4" t="s">
        <v>441</v>
      </c>
      <c r="CA93" s="4" t="s">
        <v>695</v>
      </c>
      <c r="CD93" s="4" t="s">
        <v>192</v>
      </c>
      <c r="CE93" s="4" t="s">
        <v>441</v>
      </c>
      <c r="CF93" s="4" t="s">
        <v>193</v>
      </c>
      <c r="CX93" s="4" t="s">
        <v>235</v>
      </c>
      <c r="CY93" s="4" t="s">
        <v>850</v>
      </c>
      <c r="CZ93" s="4" t="s">
        <v>1254</v>
      </c>
      <c r="DC93" s="4" t="s">
        <v>200</v>
      </c>
      <c r="DD93" s="4" t="s">
        <v>441</v>
      </c>
      <c r="DE93" s="4" t="s">
        <v>1291</v>
      </c>
      <c r="DH93" s="4" t="s">
        <v>203</v>
      </c>
      <c r="DI93" s="4" t="s">
        <v>441</v>
      </c>
      <c r="DJ93" s="4" t="s">
        <v>692</v>
      </c>
      <c r="DM93" s="4" t="s">
        <v>212</v>
      </c>
      <c r="DN93" s="4" t="s">
        <v>441</v>
      </c>
      <c r="DO93" s="4" t="s">
        <v>695</v>
      </c>
      <c r="DR93" s="4" t="s">
        <v>212</v>
      </c>
      <c r="DS93" s="4" t="s">
        <v>577</v>
      </c>
      <c r="DT93" s="4" t="s">
        <v>1486</v>
      </c>
    </row>
    <row r="94" spans="2:124">
      <c r="B94" s="4" t="s">
        <v>194</v>
      </c>
      <c r="C94" s="4" t="s">
        <v>32</v>
      </c>
      <c r="D94" s="4" t="s">
        <v>195</v>
      </c>
      <c r="G94" s="4" t="s">
        <v>194</v>
      </c>
      <c r="H94" s="4" t="s">
        <v>289</v>
      </c>
      <c r="I94" s="4" t="s">
        <v>304</v>
      </c>
      <c r="L94" s="4" t="s">
        <v>176</v>
      </c>
      <c r="M94" s="4" t="s">
        <v>55</v>
      </c>
      <c r="N94" s="4" t="s">
        <v>327</v>
      </c>
      <c r="Q94" s="4" t="s">
        <v>176</v>
      </c>
      <c r="R94" s="4" t="s">
        <v>293</v>
      </c>
      <c r="S94" s="4" t="s">
        <v>177</v>
      </c>
      <c r="AA94" s="4" t="s">
        <v>176</v>
      </c>
      <c r="AB94" s="4" t="s">
        <v>346</v>
      </c>
      <c r="AC94" s="4" t="s">
        <v>177</v>
      </c>
      <c r="AF94" s="4" t="s">
        <v>217</v>
      </c>
      <c r="AG94" s="4" t="s">
        <v>579</v>
      </c>
      <c r="AH94" s="4" t="s">
        <v>580</v>
      </c>
      <c r="AK94" s="4" t="s">
        <v>194</v>
      </c>
      <c r="AL94" s="4" t="s">
        <v>441</v>
      </c>
      <c r="AM94" s="4" t="s">
        <v>304</v>
      </c>
      <c r="AP94" s="4" t="s">
        <v>180</v>
      </c>
      <c r="AQ94" s="4" t="s">
        <v>345</v>
      </c>
      <c r="AR94" s="4" t="s">
        <v>681</v>
      </c>
      <c r="AZ94" s="4" t="s">
        <v>176</v>
      </c>
      <c r="BA94" s="4" t="s">
        <v>346</v>
      </c>
      <c r="BB94" s="4" t="s">
        <v>679</v>
      </c>
      <c r="BE94" s="4" t="s">
        <v>192</v>
      </c>
      <c r="BF94" s="4" t="s">
        <v>441</v>
      </c>
      <c r="BG94" s="4" t="s">
        <v>687</v>
      </c>
      <c r="BJ94" s="11" t="s">
        <v>194</v>
      </c>
      <c r="BK94" s="11" t="s">
        <v>441</v>
      </c>
      <c r="BL94" s="11" t="s">
        <v>809</v>
      </c>
      <c r="BT94" s="4" t="s">
        <v>220</v>
      </c>
      <c r="BU94" s="4" t="s">
        <v>614</v>
      </c>
      <c r="BV94" s="4" t="s">
        <v>939</v>
      </c>
      <c r="BY94" s="4" t="s">
        <v>212</v>
      </c>
      <c r="BZ94" s="4" t="s">
        <v>441</v>
      </c>
      <c r="CA94" s="4" t="s">
        <v>695</v>
      </c>
      <c r="CD94" s="4" t="s">
        <v>194</v>
      </c>
      <c r="CE94" s="4" t="s">
        <v>345</v>
      </c>
      <c r="CF94" s="4" t="s">
        <v>1002</v>
      </c>
      <c r="CX94" s="4" t="s">
        <v>237</v>
      </c>
      <c r="CY94" s="4" t="s">
        <v>603</v>
      </c>
      <c r="CZ94" s="4" t="s">
        <v>1255</v>
      </c>
      <c r="DC94" s="4" t="s">
        <v>201</v>
      </c>
      <c r="DD94" s="4" t="s">
        <v>441</v>
      </c>
      <c r="DE94" s="4" t="s">
        <v>1292</v>
      </c>
      <c r="DH94" s="4" t="s">
        <v>205</v>
      </c>
      <c r="DI94" s="4" t="s">
        <v>360</v>
      </c>
      <c r="DJ94" s="4" t="s">
        <v>1367</v>
      </c>
      <c r="DM94" s="4" t="s">
        <v>213</v>
      </c>
      <c r="DN94" s="4" t="s">
        <v>441</v>
      </c>
      <c r="DO94" s="4" t="s">
        <v>696</v>
      </c>
      <c r="DR94" s="4" t="s">
        <v>217</v>
      </c>
      <c r="DS94" s="4" t="s">
        <v>579</v>
      </c>
      <c r="DT94" s="4" t="s">
        <v>1487</v>
      </c>
    </row>
    <row r="95" spans="2:124">
      <c r="B95" s="4" t="s">
        <v>196</v>
      </c>
      <c r="C95" s="4" t="s">
        <v>32</v>
      </c>
      <c r="D95" s="4" t="s">
        <v>197</v>
      </c>
      <c r="G95" s="4" t="s">
        <v>196</v>
      </c>
      <c r="H95" s="4" t="s">
        <v>289</v>
      </c>
      <c r="I95" s="4" t="s">
        <v>197</v>
      </c>
      <c r="L95" s="4" t="s">
        <v>178</v>
      </c>
      <c r="M95" s="4" t="s">
        <v>32</v>
      </c>
      <c r="N95" s="4" t="s">
        <v>300</v>
      </c>
      <c r="Q95" s="4" t="s">
        <v>178</v>
      </c>
      <c r="R95" s="4" t="s">
        <v>289</v>
      </c>
      <c r="S95" s="4" t="s">
        <v>300</v>
      </c>
      <c r="AA95" s="4" t="s">
        <v>178</v>
      </c>
      <c r="AB95" s="4" t="s">
        <v>345</v>
      </c>
      <c r="AC95" s="4" t="s">
        <v>179</v>
      </c>
      <c r="AF95" s="4" t="s">
        <v>218</v>
      </c>
      <c r="AG95" s="4" t="s">
        <v>581</v>
      </c>
      <c r="AH95" s="4" t="s">
        <v>582</v>
      </c>
      <c r="AK95" s="4" t="s">
        <v>196</v>
      </c>
      <c r="AL95" s="4" t="s">
        <v>441</v>
      </c>
      <c r="AM95" s="4" t="s">
        <v>197</v>
      </c>
      <c r="AP95" s="4" t="s">
        <v>182</v>
      </c>
      <c r="AQ95" s="4" t="s">
        <v>441</v>
      </c>
      <c r="AR95" s="4" t="s">
        <v>682</v>
      </c>
      <c r="AZ95" s="4" t="s">
        <v>178</v>
      </c>
      <c r="BA95" s="4" t="s">
        <v>345</v>
      </c>
      <c r="BB95" s="4" t="s">
        <v>680</v>
      </c>
      <c r="BE95" s="4" t="s">
        <v>194</v>
      </c>
      <c r="BF95" s="4" t="s">
        <v>441</v>
      </c>
      <c r="BG95" s="4" t="s">
        <v>688</v>
      </c>
      <c r="BJ95" s="11" t="s">
        <v>196</v>
      </c>
      <c r="BK95" s="11" t="s">
        <v>441</v>
      </c>
      <c r="BL95" s="11" t="s">
        <v>810</v>
      </c>
      <c r="BT95" s="4" t="s">
        <v>222</v>
      </c>
      <c r="BU95" s="4" t="s">
        <v>614</v>
      </c>
      <c r="BV95" s="4" t="s">
        <v>940</v>
      </c>
      <c r="BY95" s="4" t="s">
        <v>213</v>
      </c>
      <c r="BZ95" s="4" t="s">
        <v>441</v>
      </c>
      <c r="CA95" s="4" t="s">
        <v>696</v>
      </c>
      <c r="CD95" s="4" t="s">
        <v>196</v>
      </c>
      <c r="CE95" s="4" t="s">
        <v>346</v>
      </c>
      <c r="CF95" s="4" t="s">
        <v>342</v>
      </c>
      <c r="CX95" s="4" t="s">
        <v>239</v>
      </c>
      <c r="CY95" s="4" t="s">
        <v>1256</v>
      </c>
      <c r="CZ95" s="4" t="s">
        <v>1257</v>
      </c>
      <c r="DC95" s="4" t="s">
        <v>203</v>
      </c>
      <c r="DD95" s="4" t="s">
        <v>441</v>
      </c>
      <c r="DE95" s="4" t="s">
        <v>1293</v>
      </c>
      <c r="DH95" s="4" t="s">
        <v>206</v>
      </c>
      <c r="DI95" s="4" t="s">
        <v>441</v>
      </c>
      <c r="DJ95" s="4" t="s">
        <v>693</v>
      </c>
      <c r="DM95" s="4" t="s">
        <v>217</v>
      </c>
      <c r="DN95" s="4" t="s">
        <v>441</v>
      </c>
      <c r="DO95" s="4" t="s">
        <v>697</v>
      </c>
      <c r="DR95" s="4" t="s">
        <v>218</v>
      </c>
      <c r="DS95" s="4" t="s">
        <v>581</v>
      </c>
      <c r="DT95" s="4" t="s">
        <v>1488</v>
      </c>
    </row>
    <row r="96" spans="2:124">
      <c r="B96" s="4" t="s">
        <v>198</v>
      </c>
      <c r="C96" s="4" t="s">
        <v>32</v>
      </c>
      <c r="D96" s="4" t="s">
        <v>199</v>
      </c>
      <c r="G96" s="4" t="s">
        <v>198</v>
      </c>
      <c r="H96" s="4" t="s">
        <v>289</v>
      </c>
      <c r="I96" s="4" t="s">
        <v>199</v>
      </c>
      <c r="L96" s="4" t="s">
        <v>180</v>
      </c>
      <c r="M96" s="4" t="s">
        <v>55</v>
      </c>
      <c r="N96" s="4" t="s">
        <v>328</v>
      </c>
      <c r="Q96" s="4" t="s">
        <v>180</v>
      </c>
      <c r="R96" s="4" t="s">
        <v>293</v>
      </c>
      <c r="S96" s="4" t="s">
        <v>328</v>
      </c>
      <c r="AA96" s="4" t="s">
        <v>180</v>
      </c>
      <c r="AB96" s="4" t="s">
        <v>346</v>
      </c>
      <c r="AC96" s="4" t="s">
        <v>181</v>
      </c>
      <c r="AF96" s="4" t="s">
        <v>220</v>
      </c>
      <c r="AG96" s="4" t="s">
        <v>539</v>
      </c>
      <c r="AH96" s="4" t="s">
        <v>583</v>
      </c>
      <c r="AK96" s="4" t="s">
        <v>198</v>
      </c>
      <c r="AL96" s="4" t="s">
        <v>441</v>
      </c>
      <c r="AM96" s="4" t="s">
        <v>624</v>
      </c>
      <c r="AP96" s="4" t="s">
        <v>184</v>
      </c>
      <c r="AQ96" s="4" t="s">
        <v>441</v>
      </c>
      <c r="AR96" s="4" t="s">
        <v>683</v>
      </c>
      <c r="AZ96" s="4" t="s">
        <v>180</v>
      </c>
      <c r="BA96" s="4" t="s">
        <v>346</v>
      </c>
      <c r="BB96" s="4" t="s">
        <v>681</v>
      </c>
      <c r="BE96" s="4" t="s">
        <v>196</v>
      </c>
      <c r="BF96" s="4" t="s">
        <v>441</v>
      </c>
      <c r="BG96" s="4" t="s">
        <v>689</v>
      </c>
      <c r="BJ96" s="11" t="s">
        <v>198</v>
      </c>
      <c r="BK96" s="11" t="s">
        <v>441</v>
      </c>
      <c r="BL96" s="11" t="s">
        <v>811</v>
      </c>
      <c r="BT96" s="4" t="s">
        <v>224</v>
      </c>
      <c r="BU96" s="4" t="s">
        <v>446</v>
      </c>
      <c r="BV96" s="4" t="s">
        <v>941</v>
      </c>
      <c r="BY96" s="4" t="s">
        <v>217</v>
      </c>
      <c r="BZ96" s="4" t="s">
        <v>441</v>
      </c>
      <c r="CA96" s="4" t="s">
        <v>697</v>
      </c>
      <c r="CD96" s="4" t="s">
        <v>198</v>
      </c>
      <c r="CE96" s="4" t="s">
        <v>446</v>
      </c>
      <c r="CF96" s="4" t="s">
        <v>974</v>
      </c>
      <c r="CX96" s="4" t="s">
        <v>241</v>
      </c>
      <c r="CY96" s="4" t="s">
        <v>1258</v>
      </c>
      <c r="CZ96" s="4" t="s">
        <v>1259</v>
      </c>
      <c r="DC96" s="4" t="s">
        <v>205</v>
      </c>
      <c r="DD96" s="4" t="s">
        <v>441</v>
      </c>
      <c r="DE96" s="4" t="s">
        <v>1293</v>
      </c>
      <c r="DH96" s="4" t="s">
        <v>208</v>
      </c>
      <c r="DI96" s="4" t="s">
        <v>441</v>
      </c>
      <c r="DJ96" s="4" t="s">
        <v>694</v>
      </c>
      <c r="DM96" s="4" t="s">
        <v>218</v>
      </c>
      <c r="DN96" s="4" t="s">
        <v>345</v>
      </c>
      <c r="DO96" s="4" t="s">
        <v>698</v>
      </c>
      <c r="DR96" s="4" t="s">
        <v>220</v>
      </c>
      <c r="DS96" s="4" t="s">
        <v>539</v>
      </c>
      <c r="DT96" s="4" t="s">
        <v>1489</v>
      </c>
    </row>
    <row r="97" spans="2:124">
      <c r="B97" s="4" t="s">
        <v>200</v>
      </c>
      <c r="C97" s="4" t="s">
        <v>32</v>
      </c>
      <c r="D97" s="4" t="s">
        <v>199</v>
      </c>
      <c r="G97" s="4" t="s">
        <v>200</v>
      </c>
      <c r="H97" s="4" t="s">
        <v>289</v>
      </c>
      <c r="I97" s="4" t="s">
        <v>199</v>
      </c>
      <c r="L97" s="4" t="s">
        <v>182</v>
      </c>
      <c r="M97" s="4" t="s">
        <v>32</v>
      </c>
      <c r="N97" s="4" t="s">
        <v>183</v>
      </c>
      <c r="Q97" s="4" t="s">
        <v>182</v>
      </c>
      <c r="R97" s="4" t="s">
        <v>289</v>
      </c>
      <c r="S97" s="4" t="s">
        <v>183</v>
      </c>
      <c r="AA97" s="4" t="s">
        <v>182</v>
      </c>
      <c r="AB97" s="4" t="s">
        <v>345</v>
      </c>
      <c r="AC97" s="4" t="s">
        <v>456</v>
      </c>
      <c r="AF97" s="4" t="s">
        <v>222</v>
      </c>
      <c r="AG97" s="4" t="s">
        <v>521</v>
      </c>
      <c r="AH97" s="4" t="s">
        <v>584</v>
      </c>
      <c r="AK97" s="4" t="s">
        <v>200</v>
      </c>
      <c r="AL97" s="4" t="s">
        <v>441</v>
      </c>
      <c r="AM97" s="4" t="s">
        <v>624</v>
      </c>
      <c r="AP97" s="4" t="s">
        <v>186</v>
      </c>
      <c r="AQ97" s="4" t="s">
        <v>441</v>
      </c>
      <c r="AR97" s="4" t="s">
        <v>684</v>
      </c>
      <c r="AZ97" s="4" t="s">
        <v>182</v>
      </c>
      <c r="BA97" s="4" t="s">
        <v>345</v>
      </c>
      <c r="BB97" s="4" t="s">
        <v>682</v>
      </c>
      <c r="BE97" s="4" t="s">
        <v>198</v>
      </c>
      <c r="BF97" s="4" t="s">
        <v>441</v>
      </c>
      <c r="BG97" s="4" t="s">
        <v>690</v>
      </c>
      <c r="BJ97" s="11" t="s">
        <v>200</v>
      </c>
      <c r="BK97" s="11" t="s">
        <v>441</v>
      </c>
      <c r="BL97" s="11" t="s">
        <v>811</v>
      </c>
      <c r="BT97" s="4" t="s">
        <v>226</v>
      </c>
      <c r="BU97" s="4" t="s">
        <v>436</v>
      </c>
      <c r="BV97" s="4" t="s">
        <v>942</v>
      </c>
      <c r="BY97" s="4" t="s">
        <v>218</v>
      </c>
      <c r="BZ97" s="4" t="s">
        <v>345</v>
      </c>
      <c r="CA97" s="4" t="s">
        <v>698</v>
      </c>
      <c r="CD97" s="4" t="s">
        <v>200</v>
      </c>
      <c r="CE97" s="4" t="s">
        <v>446</v>
      </c>
      <c r="CF97" s="4" t="s">
        <v>980</v>
      </c>
      <c r="CX97" s="4" t="s">
        <v>243</v>
      </c>
      <c r="CY97" s="4" t="s">
        <v>1260</v>
      </c>
      <c r="CZ97" s="4" t="s">
        <v>1261</v>
      </c>
      <c r="DC97" s="4" t="s">
        <v>206</v>
      </c>
      <c r="DD97" s="4" t="s">
        <v>441</v>
      </c>
      <c r="DE97" s="4" t="s">
        <v>1294</v>
      </c>
      <c r="DH97" s="4" t="s">
        <v>210</v>
      </c>
      <c r="DI97" s="4" t="s">
        <v>441</v>
      </c>
      <c r="DJ97" s="4" t="s">
        <v>695</v>
      </c>
      <c r="DM97" s="4" t="s">
        <v>220</v>
      </c>
      <c r="DN97" s="4" t="s">
        <v>441</v>
      </c>
      <c r="DO97" s="4" t="s">
        <v>699</v>
      </c>
      <c r="DR97" s="4" t="s">
        <v>222</v>
      </c>
      <c r="DS97" s="4" t="s">
        <v>521</v>
      </c>
      <c r="DT97" s="4" t="s">
        <v>1490</v>
      </c>
    </row>
    <row r="98" spans="2:124">
      <c r="B98" s="4" t="s">
        <v>201</v>
      </c>
      <c r="C98" s="4" t="s">
        <v>55</v>
      </c>
      <c r="D98" s="4" t="s">
        <v>202</v>
      </c>
      <c r="G98" s="4" t="s">
        <v>201</v>
      </c>
      <c r="H98" s="4" t="s">
        <v>293</v>
      </c>
      <c r="I98" s="4" t="s">
        <v>202</v>
      </c>
      <c r="L98" s="4" t="s">
        <v>184</v>
      </c>
      <c r="M98" s="4" t="s">
        <v>32</v>
      </c>
      <c r="N98" s="4" t="s">
        <v>301</v>
      </c>
      <c r="Q98" s="4" t="s">
        <v>184</v>
      </c>
      <c r="R98" s="4" t="s">
        <v>289</v>
      </c>
      <c r="S98" s="4" t="s">
        <v>301</v>
      </c>
      <c r="AA98" s="4" t="s">
        <v>184</v>
      </c>
      <c r="AB98" s="4" t="s">
        <v>345</v>
      </c>
      <c r="AC98" s="4" t="s">
        <v>301</v>
      </c>
      <c r="AF98" s="4" t="s">
        <v>224</v>
      </c>
      <c r="AG98" s="4" t="s">
        <v>585</v>
      </c>
      <c r="AH98" s="4" t="s">
        <v>586</v>
      </c>
      <c r="AK98" s="4" t="s">
        <v>201</v>
      </c>
      <c r="AL98" s="4" t="s">
        <v>441</v>
      </c>
      <c r="AM98" s="4" t="s">
        <v>625</v>
      </c>
      <c r="AP98" s="4" t="s">
        <v>188</v>
      </c>
      <c r="AQ98" s="4" t="s">
        <v>441</v>
      </c>
      <c r="AR98" s="4" t="s">
        <v>685</v>
      </c>
      <c r="AZ98" s="4" t="s">
        <v>184</v>
      </c>
      <c r="BA98" s="4" t="s">
        <v>345</v>
      </c>
      <c r="BB98" s="4" t="s">
        <v>683</v>
      </c>
      <c r="BE98" s="4" t="s">
        <v>200</v>
      </c>
      <c r="BF98" s="4" t="s">
        <v>441</v>
      </c>
      <c r="BG98" s="4" t="s">
        <v>690</v>
      </c>
      <c r="BJ98" s="11" t="s">
        <v>201</v>
      </c>
      <c r="BK98" s="11" t="s">
        <v>441</v>
      </c>
      <c r="BL98" s="11" t="s">
        <v>812</v>
      </c>
      <c r="BT98" s="4" t="s">
        <v>227</v>
      </c>
      <c r="BU98" s="4" t="s">
        <v>393</v>
      </c>
      <c r="BV98" s="4" t="s">
        <v>943</v>
      </c>
      <c r="BY98" s="4" t="s">
        <v>220</v>
      </c>
      <c r="BZ98" s="4" t="s">
        <v>441</v>
      </c>
      <c r="CA98" s="4" t="s">
        <v>699</v>
      </c>
      <c r="CD98" s="4" t="s">
        <v>201</v>
      </c>
      <c r="CE98" s="4" t="s">
        <v>446</v>
      </c>
      <c r="CF98" s="4" t="s">
        <v>1003</v>
      </c>
      <c r="CX98" s="4" t="s">
        <v>245</v>
      </c>
      <c r="CY98" s="4" t="s">
        <v>1262</v>
      </c>
      <c r="CZ98" s="4" t="s">
        <v>1263</v>
      </c>
      <c r="DC98" s="4" t="s">
        <v>208</v>
      </c>
      <c r="DD98" s="4" t="s">
        <v>441</v>
      </c>
      <c r="DE98" s="4" t="s">
        <v>1295</v>
      </c>
      <c r="DH98" s="4" t="s">
        <v>212</v>
      </c>
      <c r="DI98" s="4" t="s">
        <v>441</v>
      </c>
      <c r="DJ98" s="4" t="s">
        <v>695</v>
      </c>
      <c r="DM98" s="4" t="s">
        <v>222</v>
      </c>
      <c r="DN98" s="4" t="s">
        <v>441</v>
      </c>
      <c r="DO98" s="4" t="s">
        <v>700</v>
      </c>
      <c r="DR98" s="4" t="s">
        <v>224</v>
      </c>
      <c r="DS98" s="4" t="s">
        <v>585</v>
      </c>
      <c r="DT98" s="4" t="s">
        <v>1491</v>
      </c>
    </row>
    <row r="99" spans="2:124">
      <c r="B99" s="4" t="s">
        <v>203</v>
      </c>
      <c r="C99" s="4" t="s">
        <v>32</v>
      </c>
      <c r="D99" s="4" t="s">
        <v>204</v>
      </c>
      <c r="G99" s="4" t="s">
        <v>203</v>
      </c>
      <c r="H99" s="4" t="s">
        <v>289</v>
      </c>
      <c r="I99" s="4" t="s">
        <v>204</v>
      </c>
      <c r="L99" s="4" t="s">
        <v>186</v>
      </c>
      <c r="M99" s="4" t="s">
        <v>32</v>
      </c>
      <c r="N99" s="4" t="s">
        <v>329</v>
      </c>
      <c r="Q99" s="4" t="s">
        <v>186</v>
      </c>
      <c r="R99" s="4" t="s">
        <v>289</v>
      </c>
      <c r="S99" s="4" t="s">
        <v>187</v>
      </c>
      <c r="AA99" s="4" t="s">
        <v>186</v>
      </c>
      <c r="AB99" s="4" t="s">
        <v>345</v>
      </c>
      <c r="AC99" s="4" t="s">
        <v>329</v>
      </c>
      <c r="AF99" s="4" t="s">
        <v>226</v>
      </c>
      <c r="AG99" s="4" t="s">
        <v>356</v>
      </c>
      <c r="AH99" s="4" t="s">
        <v>587</v>
      </c>
      <c r="AK99" s="4" t="s">
        <v>203</v>
      </c>
      <c r="AL99" s="4" t="s">
        <v>441</v>
      </c>
      <c r="AM99" s="4" t="s">
        <v>626</v>
      </c>
      <c r="AP99" s="4" t="s">
        <v>190</v>
      </c>
      <c r="AQ99" s="4" t="s">
        <v>441</v>
      </c>
      <c r="AR99" s="4" t="s">
        <v>686</v>
      </c>
      <c r="AZ99" s="4" t="s">
        <v>186</v>
      </c>
      <c r="BA99" s="4" t="s">
        <v>345</v>
      </c>
      <c r="BB99" s="4" t="s">
        <v>684</v>
      </c>
      <c r="BE99" s="4" t="s">
        <v>201</v>
      </c>
      <c r="BF99" s="4" t="s">
        <v>346</v>
      </c>
      <c r="BG99" s="4" t="s">
        <v>789</v>
      </c>
      <c r="BJ99" s="11" t="s">
        <v>203</v>
      </c>
      <c r="BK99" s="11" t="s">
        <v>441</v>
      </c>
      <c r="BL99" s="11" t="s">
        <v>813</v>
      </c>
      <c r="BT99" s="4" t="s">
        <v>228</v>
      </c>
      <c r="BU99" s="4" t="s">
        <v>944</v>
      </c>
      <c r="BV99" s="4" t="s">
        <v>945</v>
      </c>
      <c r="BY99" s="4" t="s">
        <v>222</v>
      </c>
      <c r="BZ99" s="4" t="s">
        <v>441</v>
      </c>
      <c r="CA99" s="4" t="s">
        <v>700</v>
      </c>
      <c r="CD99" s="4" t="s">
        <v>203</v>
      </c>
      <c r="CE99" s="4" t="s">
        <v>346</v>
      </c>
      <c r="CF99" s="4" t="s">
        <v>204</v>
      </c>
      <c r="CX99" s="4" t="s">
        <v>247</v>
      </c>
      <c r="CY99" s="4" t="s">
        <v>1264</v>
      </c>
      <c r="CZ99" s="4" t="s">
        <v>1250</v>
      </c>
      <c r="DC99" s="4" t="s">
        <v>210</v>
      </c>
      <c r="DD99" s="4" t="s">
        <v>441</v>
      </c>
      <c r="DE99" s="4" t="s">
        <v>1296</v>
      </c>
      <c r="DH99" s="4" t="s">
        <v>213</v>
      </c>
      <c r="DI99" s="4" t="s">
        <v>441</v>
      </c>
      <c r="DJ99" s="4" t="s">
        <v>696</v>
      </c>
      <c r="DM99" s="4" t="s">
        <v>224</v>
      </c>
      <c r="DN99" s="4" t="s">
        <v>441</v>
      </c>
      <c r="DO99" s="4" t="s">
        <v>701</v>
      </c>
      <c r="DR99" s="4" t="s">
        <v>226</v>
      </c>
      <c r="DS99" s="4" t="s">
        <v>356</v>
      </c>
      <c r="DT99" s="4" t="s">
        <v>1492</v>
      </c>
    </row>
    <row r="100" spans="2:124">
      <c r="B100" s="4" t="s">
        <v>205</v>
      </c>
      <c r="C100" s="4" t="s">
        <v>32</v>
      </c>
      <c r="D100" s="4" t="s">
        <v>204</v>
      </c>
      <c r="G100" s="4" t="s">
        <v>205</v>
      </c>
      <c r="H100" s="4" t="s">
        <v>289</v>
      </c>
      <c r="I100" s="4" t="s">
        <v>204</v>
      </c>
      <c r="L100" s="4" t="s">
        <v>188</v>
      </c>
      <c r="M100" s="4" t="s">
        <v>32</v>
      </c>
      <c r="N100" s="4" t="s">
        <v>302</v>
      </c>
      <c r="Q100" s="4" t="s">
        <v>188</v>
      </c>
      <c r="R100" s="4" t="s">
        <v>289</v>
      </c>
      <c r="S100" s="4" t="s">
        <v>302</v>
      </c>
      <c r="AA100" s="4" t="s">
        <v>188</v>
      </c>
      <c r="AB100" s="4" t="s">
        <v>345</v>
      </c>
      <c r="AC100" s="4" t="s">
        <v>302</v>
      </c>
      <c r="AF100" s="4" t="s">
        <v>227</v>
      </c>
      <c r="AG100" s="4" t="s">
        <v>376</v>
      </c>
      <c r="AH100" s="4" t="s">
        <v>588</v>
      </c>
      <c r="AK100" s="4" t="s">
        <v>205</v>
      </c>
      <c r="AL100" s="4" t="s">
        <v>441</v>
      </c>
      <c r="AM100" s="4" t="s">
        <v>626</v>
      </c>
      <c r="AP100" s="4" t="s">
        <v>192</v>
      </c>
      <c r="AQ100" s="4" t="s">
        <v>441</v>
      </c>
      <c r="AR100" s="4" t="s">
        <v>687</v>
      </c>
      <c r="AZ100" s="4" t="s">
        <v>188</v>
      </c>
      <c r="BA100" s="4" t="s">
        <v>345</v>
      </c>
      <c r="BB100" s="4" t="s">
        <v>685</v>
      </c>
      <c r="BE100" s="4" t="s">
        <v>203</v>
      </c>
      <c r="BF100" s="4" t="s">
        <v>441</v>
      </c>
      <c r="BG100" s="4" t="s">
        <v>692</v>
      </c>
      <c r="BJ100" s="11" t="s">
        <v>205</v>
      </c>
      <c r="BK100" s="11" t="s">
        <v>441</v>
      </c>
      <c r="BL100" s="11" t="s">
        <v>813</v>
      </c>
      <c r="BT100" s="4" t="s">
        <v>232</v>
      </c>
      <c r="BU100" s="4" t="s">
        <v>345</v>
      </c>
      <c r="BV100" s="4" t="s">
        <v>946</v>
      </c>
      <c r="BY100" s="4" t="s">
        <v>224</v>
      </c>
      <c r="BZ100" s="4" t="s">
        <v>441</v>
      </c>
      <c r="CA100" s="4" t="s">
        <v>701</v>
      </c>
      <c r="CD100" s="4" t="s">
        <v>205</v>
      </c>
      <c r="CE100" s="4" t="s">
        <v>444</v>
      </c>
      <c r="CF100" s="4" t="s">
        <v>204</v>
      </c>
      <c r="CX100" s="4" t="s">
        <v>249</v>
      </c>
      <c r="CY100" s="4" t="s">
        <v>1582</v>
      </c>
      <c r="CZ100" s="4" t="s">
        <v>1266</v>
      </c>
      <c r="DC100" s="4" t="s">
        <v>212</v>
      </c>
      <c r="DD100" s="4" t="s">
        <v>441</v>
      </c>
      <c r="DE100" s="4" t="s">
        <v>1296</v>
      </c>
      <c r="DH100" s="4" t="s">
        <v>217</v>
      </c>
      <c r="DI100" s="4" t="s">
        <v>360</v>
      </c>
      <c r="DJ100" s="4" t="s">
        <v>1368</v>
      </c>
      <c r="DM100" s="4" t="s">
        <v>226</v>
      </c>
      <c r="DN100" s="4" t="s">
        <v>441</v>
      </c>
      <c r="DO100" s="4" t="s">
        <v>701</v>
      </c>
      <c r="DR100" s="4" t="s">
        <v>227</v>
      </c>
      <c r="DS100" s="4" t="s">
        <v>376</v>
      </c>
      <c r="DT100" s="4" t="s">
        <v>1493</v>
      </c>
    </row>
    <row r="101" spans="2:124">
      <c r="B101" s="4" t="s">
        <v>206</v>
      </c>
      <c r="C101" s="4" t="s">
        <v>32</v>
      </c>
      <c r="D101" s="4" t="s">
        <v>207</v>
      </c>
      <c r="G101" s="4" t="s">
        <v>206</v>
      </c>
      <c r="H101" s="4" t="s">
        <v>289</v>
      </c>
      <c r="I101" s="4" t="s">
        <v>207</v>
      </c>
      <c r="L101" s="4" t="s">
        <v>190</v>
      </c>
      <c r="M101" s="4" t="s">
        <v>32</v>
      </c>
      <c r="N101" s="4" t="s">
        <v>303</v>
      </c>
      <c r="Q101" s="4" t="s">
        <v>190</v>
      </c>
      <c r="R101" s="4" t="s">
        <v>289</v>
      </c>
      <c r="S101" s="4" t="s">
        <v>191</v>
      </c>
      <c r="AA101" s="4" t="s">
        <v>190</v>
      </c>
      <c r="AB101" s="4" t="s">
        <v>345</v>
      </c>
      <c r="AC101" s="4" t="s">
        <v>191</v>
      </c>
      <c r="AF101" s="4" t="s">
        <v>228</v>
      </c>
      <c r="AG101" s="4" t="s">
        <v>341</v>
      </c>
      <c r="AH101" s="4" t="s">
        <v>589</v>
      </c>
      <c r="AK101" s="4" t="s">
        <v>206</v>
      </c>
      <c r="AL101" s="4" t="s">
        <v>441</v>
      </c>
      <c r="AM101" s="4" t="s">
        <v>207</v>
      </c>
      <c r="AP101" s="4" t="s">
        <v>194</v>
      </c>
      <c r="AQ101" s="4" t="s">
        <v>441</v>
      </c>
      <c r="AR101" s="4" t="s">
        <v>688</v>
      </c>
      <c r="AZ101" s="4" t="s">
        <v>190</v>
      </c>
      <c r="BA101" s="4" t="s">
        <v>345</v>
      </c>
      <c r="BB101" s="4" t="s">
        <v>686</v>
      </c>
      <c r="BE101" s="4" t="s">
        <v>205</v>
      </c>
      <c r="BF101" s="4" t="s">
        <v>441</v>
      </c>
      <c r="BG101" s="4" t="s">
        <v>692</v>
      </c>
      <c r="BJ101" s="11" t="s">
        <v>206</v>
      </c>
      <c r="BK101" s="11" t="s">
        <v>441</v>
      </c>
      <c r="BL101" s="11" t="s">
        <v>814</v>
      </c>
      <c r="BT101" s="4" t="s">
        <v>235</v>
      </c>
      <c r="BU101" s="4" t="s">
        <v>360</v>
      </c>
      <c r="BV101" s="4" t="s">
        <v>947</v>
      </c>
      <c r="BY101" s="4" t="s">
        <v>226</v>
      </c>
      <c r="BZ101" s="4" t="s">
        <v>441</v>
      </c>
      <c r="CA101" s="4" t="s">
        <v>701</v>
      </c>
      <c r="CD101" s="4" t="s">
        <v>206</v>
      </c>
      <c r="CE101" s="4" t="s">
        <v>346</v>
      </c>
      <c r="CF101" s="4" t="s">
        <v>343</v>
      </c>
      <c r="CX101" s="4" t="s">
        <v>253</v>
      </c>
      <c r="CY101" s="4" t="s">
        <v>1267</v>
      </c>
      <c r="CZ101" s="4" t="s">
        <v>1268</v>
      </c>
      <c r="DC101" s="4" t="s">
        <v>213</v>
      </c>
      <c r="DD101" s="4" t="s">
        <v>441</v>
      </c>
      <c r="DE101" s="4" t="s">
        <v>1297</v>
      </c>
      <c r="DH101" s="4" t="s">
        <v>218</v>
      </c>
      <c r="DI101" s="4" t="s">
        <v>345</v>
      </c>
      <c r="DJ101" s="4" t="s">
        <v>698</v>
      </c>
      <c r="DM101" s="4" t="s">
        <v>227</v>
      </c>
      <c r="DN101" s="4" t="s">
        <v>441</v>
      </c>
      <c r="DO101" s="4" t="s">
        <v>701</v>
      </c>
      <c r="DR101" s="4" t="s">
        <v>228</v>
      </c>
      <c r="DS101" s="4" t="s">
        <v>341</v>
      </c>
      <c r="DT101" s="4" t="s">
        <v>1494</v>
      </c>
    </row>
    <row r="102" spans="2:124">
      <c r="B102" s="4" t="s">
        <v>208</v>
      </c>
      <c r="C102" s="4" t="s">
        <v>32</v>
      </c>
      <c r="D102" s="4" t="s">
        <v>209</v>
      </c>
      <c r="G102" s="4" t="s">
        <v>208</v>
      </c>
      <c r="H102" s="4" t="s">
        <v>289</v>
      </c>
      <c r="I102" s="4" t="s">
        <v>209</v>
      </c>
      <c r="L102" s="4" t="s">
        <v>192</v>
      </c>
      <c r="M102" s="4" t="s">
        <v>32</v>
      </c>
      <c r="N102" s="4" t="s">
        <v>330</v>
      </c>
      <c r="Q102" s="4" t="s">
        <v>192</v>
      </c>
      <c r="R102" s="4" t="s">
        <v>289</v>
      </c>
      <c r="S102" s="4" t="s">
        <v>193</v>
      </c>
      <c r="AA102" s="4" t="s">
        <v>192</v>
      </c>
      <c r="AB102" s="4" t="s">
        <v>345</v>
      </c>
      <c r="AC102" s="4" t="s">
        <v>193</v>
      </c>
      <c r="AF102" s="4" t="s">
        <v>232</v>
      </c>
      <c r="AG102" s="4" t="s">
        <v>346</v>
      </c>
      <c r="AH102" s="4" t="s">
        <v>590</v>
      </c>
      <c r="AK102" s="4" t="s">
        <v>208</v>
      </c>
      <c r="AL102" s="4" t="s">
        <v>441</v>
      </c>
      <c r="AM102" s="4" t="s">
        <v>209</v>
      </c>
      <c r="AP102" s="4" t="s">
        <v>196</v>
      </c>
      <c r="AQ102" s="4" t="s">
        <v>441</v>
      </c>
      <c r="AR102" s="4" t="s">
        <v>689</v>
      </c>
      <c r="AZ102" s="4" t="s">
        <v>192</v>
      </c>
      <c r="BA102" s="4" t="s">
        <v>345</v>
      </c>
      <c r="BB102" s="4" t="s">
        <v>687</v>
      </c>
      <c r="BE102" s="4" t="s">
        <v>206</v>
      </c>
      <c r="BF102" s="4" t="s">
        <v>441</v>
      </c>
      <c r="BG102" s="4" t="s">
        <v>693</v>
      </c>
      <c r="BJ102" s="11" t="s">
        <v>208</v>
      </c>
      <c r="BK102" s="11" t="s">
        <v>441</v>
      </c>
      <c r="BL102" s="11" t="s">
        <v>815</v>
      </c>
      <c r="BT102" s="4" t="s">
        <v>237</v>
      </c>
      <c r="BU102" s="4" t="s">
        <v>441</v>
      </c>
      <c r="BV102" s="4" t="s">
        <v>948</v>
      </c>
      <c r="BY102" s="4" t="s">
        <v>227</v>
      </c>
      <c r="BZ102" s="4" t="s">
        <v>441</v>
      </c>
      <c r="CA102" s="4" t="s">
        <v>701</v>
      </c>
      <c r="CD102" s="4" t="s">
        <v>208</v>
      </c>
      <c r="CE102" s="4" t="s">
        <v>434</v>
      </c>
      <c r="CF102" s="4" t="s">
        <v>1004</v>
      </c>
      <c r="CX102" s="4" t="s">
        <v>255</v>
      </c>
      <c r="CY102" s="4" t="s">
        <v>1269</v>
      </c>
      <c r="CZ102" s="4" t="s">
        <v>1270</v>
      </c>
      <c r="DC102" s="4" t="s">
        <v>215</v>
      </c>
      <c r="DD102" s="4" t="s">
        <v>441</v>
      </c>
      <c r="DE102" s="4" t="s">
        <v>1298</v>
      </c>
      <c r="DH102" s="4" t="s">
        <v>220</v>
      </c>
      <c r="DI102" s="4" t="s">
        <v>441</v>
      </c>
      <c r="DJ102" s="4" t="s">
        <v>699</v>
      </c>
      <c r="DM102" s="4" t="s">
        <v>228</v>
      </c>
      <c r="DN102" s="4" t="s">
        <v>441</v>
      </c>
      <c r="DO102" s="4" t="s">
        <v>701</v>
      </c>
      <c r="DR102" s="4" t="s">
        <v>232</v>
      </c>
      <c r="DS102" s="4" t="s">
        <v>346</v>
      </c>
      <c r="DT102" s="4" t="s">
        <v>1495</v>
      </c>
    </row>
    <row r="103" spans="2:124">
      <c r="B103" s="4" t="s">
        <v>210</v>
      </c>
      <c r="C103" s="4" t="s">
        <v>32</v>
      </c>
      <c r="D103" s="4" t="s">
        <v>211</v>
      </c>
      <c r="G103" s="4" t="s">
        <v>210</v>
      </c>
      <c r="H103" s="4" t="s">
        <v>289</v>
      </c>
      <c r="I103" s="4" t="s">
        <v>305</v>
      </c>
      <c r="L103" s="4" t="s">
        <v>194</v>
      </c>
      <c r="M103" s="4" t="s">
        <v>32</v>
      </c>
      <c r="N103" s="4" t="s">
        <v>195</v>
      </c>
      <c r="Q103" s="4" t="s">
        <v>194</v>
      </c>
      <c r="R103" s="4" t="s">
        <v>289</v>
      </c>
      <c r="S103" s="4" t="s">
        <v>195</v>
      </c>
      <c r="AA103" s="4" t="s">
        <v>194</v>
      </c>
      <c r="AB103" s="4" t="s">
        <v>345</v>
      </c>
      <c r="AC103" s="4" t="s">
        <v>195</v>
      </c>
      <c r="AF103" s="4" t="s">
        <v>235</v>
      </c>
      <c r="AG103" s="4" t="s">
        <v>555</v>
      </c>
      <c r="AH103" s="4" t="s">
        <v>591</v>
      </c>
      <c r="AK103" s="4" t="s">
        <v>210</v>
      </c>
      <c r="AL103" s="4" t="s">
        <v>441</v>
      </c>
      <c r="AM103" s="4" t="s">
        <v>211</v>
      </c>
      <c r="AP103" s="4" t="s">
        <v>198</v>
      </c>
      <c r="AQ103" s="4" t="s">
        <v>441</v>
      </c>
      <c r="AR103" s="4" t="s">
        <v>690</v>
      </c>
      <c r="AZ103" s="4" t="s">
        <v>194</v>
      </c>
      <c r="BA103" s="4" t="s">
        <v>345</v>
      </c>
      <c r="BB103" s="4" t="s">
        <v>688</v>
      </c>
      <c r="BE103" s="4" t="s">
        <v>208</v>
      </c>
      <c r="BF103" s="4" t="s">
        <v>441</v>
      </c>
      <c r="BG103" s="4" t="s">
        <v>694</v>
      </c>
      <c r="BJ103" s="11" t="s">
        <v>210</v>
      </c>
      <c r="BK103" s="11" t="s">
        <v>441</v>
      </c>
      <c r="BL103" s="11" t="s">
        <v>816</v>
      </c>
      <c r="BT103" s="4" t="s">
        <v>239</v>
      </c>
      <c r="BU103" s="4" t="s">
        <v>298</v>
      </c>
      <c r="BV103" s="4" t="s">
        <v>949</v>
      </c>
      <c r="BY103" s="4" t="s">
        <v>228</v>
      </c>
      <c r="BZ103" s="4" t="s">
        <v>441</v>
      </c>
      <c r="CA103" s="4" t="s">
        <v>701</v>
      </c>
      <c r="CD103" s="4" t="s">
        <v>210</v>
      </c>
      <c r="CE103" s="4" t="s">
        <v>360</v>
      </c>
      <c r="CF103" s="4" t="s">
        <v>305</v>
      </c>
      <c r="CX103" s="4" t="s">
        <v>257</v>
      </c>
      <c r="CY103" s="4" t="s">
        <v>1271</v>
      </c>
      <c r="CZ103" s="4" t="s">
        <v>1272</v>
      </c>
      <c r="DC103" s="4" t="s">
        <v>217</v>
      </c>
      <c r="DD103" s="4" t="s">
        <v>441</v>
      </c>
      <c r="DE103" s="4" t="s">
        <v>1298</v>
      </c>
      <c r="DH103" s="4" t="s">
        <v>222</v>
      </c>
      <c r="DI103" s="4" t="s">
        <v>441</v>
      </c>
      <c r="DJ103" s="4" t="s">
        <v>700</v>
      </c>
      <c r="DM103" s="4" t="s">
        <v>231</v>
      </c>
      <c r="DN103" s="4" t="s">
        <v>441</v>
      </c>
      <c r="DO103" s="4" t="s">
        <v>702</v>
      </c>
      <c r="DR103" s="4" t="s">
        <v>235</v>
      </c>
      <c r="DS103" s="4" t="s">
        <v>555</v>
      </c>
      <c r="DT103" s="4" t="s">
        <v>1496</v>
      </c>
    </row>
    <row r="104" spans="2:124">
      <c r="B104" s="4" t="s">
        <v>212</v>
      </c>
      <c r="C104" s="4" t="s">
        <v>32</v>
      </c>
      <c r="D104" s="4" t="s">
        <v>211</v>
      </c>
      <c r="G104" s="4" t="s">
        <v>212</v>
      </c>
      <c r="H104" s="4" t="s">
        <v>289</v>
      </c>
      <c r="I104" s="4" t="s">
        <v>305</v>
      </c>
      <c r="L104" s="4" t="s">
        <v>196</v>
      </c>
      <c r="M104" s="4" t="s">
        <v>32</v>
      </c>
      <c r="N104" s="4" t="s">
        <v>197</v>
      </c>
      <c r="Q104" s="4" t="s">
        <v>196</v>
      </c>
      <c r="R104" s="4" t="s">
        <v>289</v>
      </c>
      <c r="S104" s="4" t="s">
        <v>342</v>
      </c>
      <c r="AA104" s="4" t="s">
        <v>196</v>
      </c>
      <c r="AB104" s="4" t="s">
        <v>345</v>
      </c>
      <c r="AC104" s="4" t="s">
        <v>197</v>
      </c>
      <c r="AF104" s="4" t="s">
        <v>237</v>
      </c>
      <c r="AG104" s="4" t="s">
        <v>346</v>
      </c>
      <c r="AH104" s="4" t="s">
        <v>592</v>
      </c>
      <c r="AK104" s="4" t="s">
        <v>212</v>
      </c>
      <c r="AL104" s="4" t="s">
        <v>441</v>
      </c>
      <c r="AM104" s="4" t="s">
        <v>211</v>
      </c>
      <c r="AP104" s="4" t="s">
        <v>200</v>
      </c>
      <c r="AQ104" s="4" t="s">
        <v>441</v>
      </c>
      <c r="AR104" s="4" t="s">
        <v>690</v>
      </c>
      <c r="AZ104" s="4" t="s">
        <v>196</v>
      </c>
      <c r="BA104" s="4" t="s">
        <v>345</v>
      </c>
      <c r="BB104" s="4" t="s">
        <v>689</v>
      </c>
      <c r="BE104" s="4" t="s">
        <v>210</v>
      </c>
      <c r="BF104" s="4" t="s">
        <v>441</v>
      </c>
      <c r="BG104" s="4" t="s">
        <v>695</v>
      </c>
      <c r="BJ104" s="11" t="s">
        <v>212</v>
      </c>
      <c r="BK104" s="11" t="s">
        <v>441</v>
      </c>
      <c r="BL104" s="11" t="s">
        <v>816</v>
      </c>
      <c r="BT104" s="4" t="s">
        <v>241</v>
      </c>
      <c r="BU104" s="4" t="s">
        <v>445</v>
      </c>
      <c r="BV104" s="4" t="s">
        <v>950</v>
      </c>
      <c r="BY104" s="4" t="s">
        <v>231</v>
      </c>
      <c r="BZ104" s="4" t="s">
        <v>441</v>
      </c>
      <c r="CA104" s="4" t="s">
        <v>702</v>
      </c>
      <c r="CD104" s="4" t="s">
        <v>212</v>
      </c>
      <c r="CE104" s="4" t="s">
        <v>346</v>
      </c>
      <c r="CF104" s="4" t="s">
        <v>305</v>
      </c>
      <c r="CX104" s="4" t="s">
        <v>259</v>
      </c>
      <c r="CY104" s="4" t="s">
        <v>295</v>
      </c>
      <c r="CZ104" s="4" t="s">
        <v>1273</v>
      </c>
      <c r="DC104" s="4" t="s">
        <v>218</v>
      </c>
      <c r="DD104" s="4" t="s">
        <v>441</v>
      </c>
      <c r="DE104" s="4" t="s">
        <v>1299</v>
      </c>
      <c r="DH104" s="4" t="s">
        <v>224</v>
      </c>
      <c r="DI104" s="4" t="s">
        <v>346</v>
      </c>
      <c r="DJ104" s="4" t="s">
        <v>1369</v>
      </c>
      <c r="DM104" s="4" t="s">
        <v>232</v>
      </c>
      <c r="DN104" s="4" t="s">
        <v>441</v>
      </c>
      <c r="DO104" s="4" t="s">
        <v>703</v>
      </c>
      <c r="DR104" s="4" t="s">
        <v>237</v>
      </c>
      <c r="DS104" s="4" t="s">
        <v>346</v>
      </c>
      <c r="DT104" s="4" t="s">
        <v>1497</v>
      </c>
    </row>
    <row r="105" spans="2:124">
      <c r="B105" s="4" t="s">
        <v>213</v>
      </c>
      <c r="C105" s="4" t="s">
        <v>32</v>
      </c>
      <c r="D105" s="4" t="s">
        <v>214</v>
      </c>
      <c r="G105" s="4" t="s">
        <v>213</v>
      </c>
      <c r="H105" s="4" t="s">
        <v>289</v>
      </c>
      <c r="I105" s="4" t="s">
        <v>214</v>
      </c>
      <c r="L105" s="4" t="s">
        <v>198</v>
      </c>
      <c r="M105" s="4" t="s">
        <v>32</v>
      </c>
      <c r="N105" s="4" t="s">
        <v>199</v>
      </c>
      <c r="Q105" s="4" t="s">
        <v>198</v>
      </c>
      <c r="R105" s="4" t="s">
        <v>289</v>
      </c>
      <c r="S105" s="4" t="s">
        <v>199</v>
      </c>
      <c r="AA105" s="4" t="s">
        <v>198</v>
      </c>
      <c r="AB105" s="4" t="s">
        <v>345</v>
      </c>
      <c r="AC105" s="4" t="s">
        <v>199</v>
      </c>
      <c r="AF105" s="4" t="s">
        <v>239</v>
      </c>
      <c r="AG105" s="4" t="s">
        <v>593</v>
      </c>
      <c r="AH105" s="4" t="s">
        <v>594</v>
      </c>
      <c r="AK105" s="4" t="s">
        <v>213</v>
      </c>
      <c r="AL105" s="4" t="s">
        <v>441</v>
      </c>
      <c r="AM105" s="4" t="s">
        <v>214</v>
      </c>
      <c r="AP105" s="4" t="s">
        <v>201</v>
      </c>
      <c r="AQ105" s="4" t="s">
        <v>346</v>
      </c>
      <c r="AR105" s="4" t="s">
        <v>691</v>
      </c>
      <c r="AZ105" s="4" t="s">
        <v>198</v>
      </c>
      <c r="BA105" s="4" t="s">
        <v>345</v>
      </c>
      <c r="BB105" s="4" t="s">
        <v>690</v>
      </c>
      <c r="BE105" s="4" t="s">
        <v>212</v>
      </c>
      <c r="BF105" s="4" t="s">
        <v>441</v>
      </c>
      <c r="BG105" s="4" t="s">
        <v>695</v>
      </c>
      <c r="BJ105" s="11" t="s">
        <v>213</v>
      </c>
      <c r="BK105" s="11" t="s">
        <v>441</v>
      </c>
      <c r="BL105" s="11" t="s">
        <v>817</v>
      </c>
      <c r="BT105" s="4" t="s">
        <v>243</v>
      </c>
      <c r="BU105" s="4" t="s">
        <v>555</v>
      </c>
      <c r="BV105" s="4" t="s">
        <v>951</v>
      </c>
      <c r="BY105" s="4" t="s">
        <v>232</v>
      </c>
      <c r="BZ105" s="4" t="s">
        <v>441</v>
      </c>
      <c r="CA105" s="4" t="s">
        <v>703</v>
      </c>
      <c r="CD105" s="4" t="s">
        <v>213</v>
      </c>
      <c r="CE105" s="4" t="s">
        <v>345</v>
      </c>
      <c r="CF105" s="4" t="s">
        <v>1002</v>
      </c>
      <c r="CX105" s="4" t="s">
        <v>261</v>
      </c>
      <c r="CY105" s="4" t="s">
        <v>1274</v>
      </c>
      <c r="CZ105" s="4" t="s">
        <v>1275</v>
      </c>
      <c r="DC105" s="4" t="s">
        <v>220</v>
      </c>
      <c r="DD105" s="4" t="s">
        <v>441</v>
      </c>
      <c r="DE105" s="4" t="s">
        <v>1300</v>
      </c>
      <c r="DH105" s="4" t="s">
        <v>226</v>
      </c>
      <c r="DI105" s="4" t="s">
        <v>360</v>
      </c>
      <c r="DJ105" s="4" t="s">
        <v>1370</v>
      </c>
      <c r="DM105" s="4" t="s">
        <v>234</v>
      </c>
      <c r="DN105" s="4" t="s">
        <v>441</v>
      </c>
      <c r="DO105" s="4" t="s">
        <v>703</v>
      </c>
      <c r="DR105" s="4" t="s">
        <v>239</v>
      </c>
      <c r="DS105" s="4" t="s">
        <v>593</v>
      </c>
      <c r="DT105" s="4" t="s">
        <v>1498</v>
      </c>
    </row>
    <row r="106" spans="2:124">
      <c r="B106" s="4" t="s">
        <v>215</v>
      </c>
      <c r="C106" s="4" t="s">
        <v>104</v>
      </c>
      <c r="D106" s="4" t="s">
        <v>216</v>
      </c>
      <c r="G106" s="4" t="s">
        <v>215</v>
      </c>
      <c r="H106" s="4" t="s">
        <v>298</v>
      </c>
      <c r="I106" s="4" t="s">
        <v>216</v>
      </c>
      <c r="L106" s="4" t="s">
        <v>200</v>
      </c>
      <c r="M106" s="4" t="s">
        <v>32</v>
      </c>
      <c r="N106" s="4" t="s">
        <v>199</v>
      </c>
      <c r="Q106" s="4" t="s">
        <v>200</v>
      </c>
      <c r="R106" s="4" t="s">
        <v>289</v>
      </c>
      <c r="S106" s="4" t="s">
        <v>199</v>
      </c>
      <c r="AA106" s="4" t="s">
        <v>200</v>
      </c>
      <c r="AB106" s="4" t="s">
        <v>345</v>
      </c>
      <c r="AC106" s="4" t="s">
        <v>199</v>
      </c>
      <c r="AF106" s="4" t="s">
        <v>241</v>
      </c>
      <c r="AG106" s="4" t="s">
        <v>361</v>
      </c>
      <c r="AH106" s="4" t="s">
        <v>595</v>
      </c>
      <c r="AK106" s="4" t="s">
        <v>215</v>
      </c>
      <c r="AL106" s="4" t="s">
        <v>441</v>
      </c>
      <c r="AM106" s="4" t="s">
        <v>216</v>
      </c>
      <c r="AP106" s="4" t="s">
        <v>203</v>
      </c>
      <c r="AQ106" s="4" t="s">
        <v>441</v>
      </c>
      <c r="AR106" s="4" t="s">
        <v>692</v>
      </c>
      <c r="AZ106" s="4" t="s">
        <v>200</v>
      </c>
      <c r="BA106" s="4" t="s">
        <v>345</v>
      </c>
      <c r="BB106" s="4" t="s">
        <v>690</v>
      </c>
      <c r="BE106" s="4" t="s">
        <v>213</v>
      </c>
      <c r="BF106" s="4" t="s">
        <v>441</v>
      </c>
      <c r="BG106" s="4" t="s">
        <v>696</v>
      </c>
      <c r="BJ106" s="11" t="s">
        <v>215</v>
      </c>
      <c r="BK106" s="11" t="s">
        <v>441</v>
      </c>
      <c r="BL106" s="11" t="s">
        <v>766</v>
      </c>
      <c r="BT106" s="4" t="s">
        <v>245</v>
      </c>
      <c r="BU106" s="4" t="s">
        <v>298</v>
      </c>
      <c r="BV106" s="4" t="s">
        <v>863</v>
      </c>
      <c r="BY106" s="4" t="s">
        <v>234</v>
      </c>
      <c r="BZ106" s="4" t="s">
        <v>441</v>
      </c>
      <c r="CA106" s="4" t="s">
        <v>703</v>
      </c>
      <c r="CD106" s="4" t="s">
        <v>215</v>
      </c>
      <c r="CE106" s="4" t="s">
        <v>441</v>
      </c>
      <c r="CF106" s="4" t="s">
        <v>1005</v>
      </c>
      <c r="CX106" s="4" t="s">
        <v>263</v>
      </c>
      <c r="CY106" s="4" t="s">
        <v>32</v>
      </c>
      <c r="CZ106" s="4" t="s">
        <v>1276</v>
      </c>
      <c r="DC106" s="4" t="s">
        <v>222</v>
      </c>
      <c r="DD106" s="4" t="s">
        <v>441</v>
      </c>
      <c r="DE106" s="4" t="s">
        <v>1301</v>
      </c>
      <c r="DH106" s="4" t="s">
        <v>227</v>
      </c>
      <c r="DI106" s="4" t="s">
        <v>360</v>
      </c>
      <c r="DJ106" s="4" t="s">
        <v>1371</v>
      </c>
      <c r="DM106" s="4" t="s">
        <v>235</v>
      </c>
      <c r="DN106" s="4" t="s">
        <v>441</v>
      </c>
      <c r="DO106" s="4" t="s">
        <v>704</v>
      </c>
      <c r="DR106" s="4" t="s">
        <v>241</v>
      </c>
      <c r="DS106" s="4" t="s">
        <v>361</v>
      </c>
      <c r="DT106" s="4" t="s">
        <v>1499</v>
      </c>
    </row>
    <row r="107" spans="2:124">
      <c r="B107" s="4" t="s">
        <v>217</v>
      </c>
      <c r="C107" s="4" t="s">
        <v>32</v>
      </c>
      <c r="D107" s="4" t="s">
        <v>216</v>
      </c>
      <c r="G107" s="4" t="s">
        <v>217</v>
      </c>
      <c r="H107" s="4" t="s">
        <v>289</v>
      </c>
      <c r="I107" s="4" t="s">
        <v>216</v>
      </c>
      <c r="L107" s="4" t="s">
        <v>201</v>
      </c>
      <c r="M107" s="4" t="s">
        <v>35</v>
      </c>
      <c r="N107" s="4" t="s">
        <v>331</v>
      </c>
      <c r="Q107" s="4" t="s">
        <v>201</v>
      </c>
      <c r="R107" s="4" t="s">
        <v>290</v>
      </c>
      <c r="S107" s="4" t="s">
        <v>331</v>
      </c>
      <c r="AA107" s="4" t="s">
        <v>201</v>
      </c>
      <c r="AB107" s="4" t="s">
        <v>346</v>
      </c>
      <c r="AC107" s="4" t="s">
        <v>202</v>
      </c>
      <c r="AF107" s="4" t="s">
        <v>243</v>
      </c>
      <c r="AG107" s="4" t="s">
        <v>478</v>
      </c>
      <c r="AH107" s="4" t="s">
        <v>596</v>
      </c>
      <c r="AK107" s="4" t="s">
        <v>217</v>
      </c>
      <c r="AL107" s="4" t="s">
        <v>441</v>
      </c>
      <c r="AM107" s="4" t="s">
        <v>216</v>
      </c>
      <c r="AP107" s="4" t="s">
        <v>205</v>
      </c>
      <c r="AQ107" s="4" t="s">
        <v>441</v>
      </c>
      <c r="AR107" s="4" t="s">
        <v>692</v>
      </c>
      <c r="AZ107" s="4" t="s">
        <v>201</v>
      </c>
      <c r="BA107" s="4" t="s">
        <v>346</v>
      </c>
      <c r="BB107" s="4" t="s">
        <v>702</v>
      </c>
      <c r="BE107" s="4" t="s">
        <v>217</v>
      </c>
      <c r="BF107" s="4" t="s">
        <v>441</v>
      </c>
      <c r="BG107" s="4" t="s">
        <v>697</v>
      </c>
      <c r="BJ107" s="11" t="s">
        <v>217</v>
      </c>
      <c r="BK107" s="11" t="s">
        <v>441</v>
      </c>
      <c r="BL107" s="11" t="s">
        <v>766</v>
      </c>
      <c r="BT107" s="4" t="s">
        <v>247</v>
      </c>
      <c r="BU107" s="4" t="s">
        <v>298</v>
      </c>
      <c r="BV107" s="4" t="s">
        <v>952</v>
      </c>
      <c r="BY107" s="4" t="s">
        <v>235</v>
      </c>
      <c r="BZ107" s="4" t="s">
        <v>441</v>
      </c>
      <c r="CA107" s="4" t="s">
        <v>704</v>
      </c>
      <c r="CD107" s="4" t="s">
        <v>217</v>
      </c>
      <c r="CE107" s="4" t="s">
        <v>346</v>
      </c>
      <c r="CF107" s="4" t="s">
        <v>1005</v>
      </c>
      <c r="CX107" s="4" t="s">
        <v>268</v>
      </c>
      <c r="CY107" s="4" t="s">
        <v>32</v>
      </c>
      <c r="CZ107" s="4" t="s">
        <v>1277</v>
      </c>
      <c r="DC107" s="4" t="s">
        <v>224</v>
      </c>
      <c r="DD107" s="4" t="s">
        <v>441</v>
      </c>
      <c r="DE107" s="4" t="s">
        <v>1302</v>
      </c>
      <c r="DH107" s="4" t="s">
        <v>228</v>
      </c>
      <c r="DI107" s="4" t="s">
        <v>360</v>
      </c>
      <c r="DJ107" s="4" t="s">
        <v>1372</v>
      </c>
      <c r="DM107" s="4" t="s">
        <v>237</v>
      </c>
      <c r="DN107" s="4" t="s">
        <v>441</v>
      </c>
      <c r="DO107" s="4" t="s">
        <v>768</v>
      </c>
      <c r="DR107" s="4" t="s">
        <v>243</v>
      </c>
      <c r="DS107" s="4" t="s">
        <v>478</v>
      </c>
      <c r="DT107" s="4" t="s">
        <v>1500</v>
      </c>
    </row>
    <row r="108" spans="2:124">
      <c r="B108" s="4" t="s">
        <v>218</v>
      </c>
      <c r="C108" s="4" t="s">
        <v>55</v>
      </c>
      <c r="D108" s="4" t="s">
        <v>219</v>
      </c>
      <c r="G108" s="4" t="s">
        <v>218</v>
      </c>
      <c r="H108" s="4" t="s">
        <v>293</v>
      </c>
      <c r="I108" s="4" t="s">
        <v>219</v>
      </c>
      <c r="L108" s="4" t="s">
        <v>203</v>
      </c>
      <c r="M108" s="4" t="s">
        <v>32</v>
      </c>
      <c r="N108" s="4" t="s">
        <v>204</v>
      </c>
      <c r="Q108" s="4" t="s">
        <v>203</v>
      </c>
      <c r="R108" s="4" t="s">
        <v>289</v>
      </c>
      <c r="S108" s="4" t="s">
        <v>204</v>
      </c>
      <c r="AA108" s="4" t="s">
        <v>203</v>
      </c>
      <c r="AB108" s="4" t="s">
        <v>345</v>
      </c>
      <c r="AC108" s="4" t="s">
        <v>204</v>
      </c>
      <c r="AF108" s="4" t="s">
        <v>245</v>
      </c>
      <c r="AG108" s="4" t="s">
        <v>298</v>
      </c>
      <c r="AH108" s="4" t="s">
        <v>597</v>
      </c>
      <c r="AK108" s="4" t="s">
        <v>218</v>
      </c>
      <c r="AL108" s="4" t="s">
        <v>441</v>
      </c>
      <c r="AM108" s="4" t="s">
        <v>627</v>
      </c>
      <c r="AP108" s="4" t="s">
        <v>206</v>
      </c>
      <c r="AQ108" s="4" t="s">
        <v>441</v>
      </c>
      <c r="AR108" s="4" t="s">
        <v>693</v>
      </c>
      <c r="AZ108" s="4" t="s">
        <v>203</v>
      </c>
      <c r="BA108" s="4" t="s">
        <v>345</v>
      </c>
      <c r="BB108" s="4" t="s">
        <v>692</v>
      </c>
      <c r="BE108" s="4" t="s">
        <v>218</v>
      </c>
      <c r="BF108" s="4" t="s">
        <v>345</v>
      </c>
      <c r="BG108" s="4" t="s">
        <v>698</v>
      </c>
      <c r="BJ108" s="11" t="s">
        <v>218</v>
      </c>
      <c r="BK108" s="11" t="s">
        <v>441</v>
      </c>
      <c r="BL108" s="11" t="s">
        <v>818</v>
      </c>
      <c r="BT108" s="4" t="s">
        <v>249</v>
      </c>
      <c r="BU108" s="4" t="s">
        <v>603</v>
      </c>
      <c r="BV108" s="4" t="s">
        <v>953</v>
      </c>
      <c r="BY108" s="4" t="s">
        <v>237</v>
      </c>
      <c r="BZ108" s="4" t="s">
        <v>441</v>
      </c>
      <c r="CA108" s="4" t="s">
        <v>768</v>
      </c>
      <c r="CD108" s="4" t="s">
        <v>218</v>
      </c>
      <c r="CE108" s="4" t="s">
        <v>446</v>
      </c>
      <c r="CF108" s="4" t="s">
        <v>1006</v>
      </c>
      <c r="CX108" s="4" t="s">
        <v>270</v>
      </c>
      <c r="CY108" s="4" t="s">
        <v>290</v>
      </c>
      <c r="CZ108" s="4" t="s">
        <v>1278</v>
      </c>
      <c r="DC108" s="4" t="s">
        <v>226</v>
      </c>
      <c r="DD108" s="4" t="s">
        <v>441</v>
      </c>
      <c r="DE108" s="4" t="s">
        <v>1302</v>
      </c>
      <c r="DH108" s="4" t="s">
        <v>231</v>
      </c>
      <c r="DI108" s="4" t="s">
        <v>441</v>
      </c>
      <c r="DJ108" s="4" t="s">
        <v>702</v>
      </c>
      <c r="DM108" s="4" t="s">
        <v>239</v>
      </c>
      <c r="DN108" s="4" t="s">
        <v>441</v>
      </c>
      <c r="DO108" s="4" t="s">
        <v>706</v>
      </c>
      <c r="DR108" s="4" t="s">
        <v>245</v>
      </c>
      <c r="DS108" s="4" t="s">
        <v>298</v>
      </c>
      <c r="DT108" s="4" t="s">
        <v>1501</v>
      </c>
    </row>
    <row r="109" spans="2:124">
      <c r="B109" s="4" t="s">
        <v>220</v>
      </c>
      <c r="C109" s="4" t="s">
        <v>32</v>
      </c>
      <c r="D109" s="4" t="s">
        <v>221</v>
      </c>
      <c r="G109" s="4" t="s">
        <v>220</v>
      </c>
      <c r="H109" s="4" t="s">
        <v>289</v>
      </c>
      <c r="I109" s="4" t="s">
        <v>306</v>
      </c>
      <c r="L109" s="4" t="s">
        <v>205</v>
      </c>
      <c r="M109" s="4" t="s">
        <v>32</v>
      </c>
      <c r="N109" s="4" t="s">
        <v>204</v>
      </c>
      <c r="Q109" s="4" t="s">
        <v>205</v>
      </c>
      <c r="R109" s="4" t="s">
        <v>289</v>
      </c>
      <c r="S109" s="4" t="s">
        <v>204</v>
      </c>
      <c r="AA109" s="4" t="s">
        <v>205</v>
      </c>
      <c r="AB109" s="4" t="s">
        <v>345</v>
      </c>
      <c r="AC109" s="4" t="s">
        <v>204</v>
      </c>
      <c r="AF109" s="4" t="s">
        <v>247</v>
      </c>
      <c r="AG109" s="4" t="s">
        <v>402</v>
      </c>
      <c r="AH109" s="4" t="s">
        <v>598</v>
      </c>
      <c r="AK109" s="4" t="s">
        <v>220</v>
      </c>
      <c r="AL109" s="4" t="s">
        <v>441</v>
      </c>
      <c r="AM109" s="4" t="s">
        <v>221</v>
      </c>
      <c r="AP109" s="4" t="s">
        <v>208</v>
      </c>
      <c r="AQ109" s="4" t="s">
        <v>441</v>
      </c>
      <c r="AR109" s="4" t="s">
        <v>694</v>
      </c>
      <c r="AZ109" s="4" t="s">
        <v>205</v>
      </c>
      <c r="BA109" s="4" t="s">
        <v>345</v>
      </c>
      <c r="BB109" s="4" t="s">
        <v>692</v>
      </c>
      <c r="BE109" s="4" t="s">
        <v>220</v>
      </c>
      <c r="BF109" s="4" t="s">
        <v>441</v>
      </c>
      <c r="BG109" s="4" t="s">
        <v>699</v>
      </c>
      <c r="BJ109" s="11" t="s">
        <v>220</v>
      </c>
      <c r="BK109" s="11" t="s">
        <v>441</v>
      </c>
      <c r="BL109" s="11" t="s">
        <v>819</v>
      </c>
      <c r="BT109" s="4" t="s">
        <v>253</v>
      </c>
      <c r="BU109" s="4" t="s">
        <v>445</v>
      </c>
      <c r="BV109" s="4" t="s">
        <v>954</v>
      </c>
      <c r="BY109" s="4" t="s">
        <v>239</v>
      </c>
      <c r="BZ109" s="4" t="s">
        <v>441</v>
      </c>
      <c r="CA109" s="4" t="s">
        <v>706</v>
      </c>
      <c r="CD109" s="4" t="s">
        <v>220</v>
      </c>
      <c r="CE109" s="4" t="s">
        <v>346</v>
      </c>
      <c r="CF109" s="4" t="s">
        <v>306</v>
      </c>
      <c r="CX109" s="4" t="s">
        <v>272</v>
      </c>
      <c r="CY109" s="4" t="s">
        <v>515</v>
      </c>
      <c r="CZ109" s="4" t="s">
        <v>1279</v>
      </c>
      <c r="DC109" s="4" t="s">
        <v>227</v>
      </c>
      <c r="DD109" s="4" t="s">
        <v>441</v>
      </c>
      <c r="DE109" s="4" t="s">
        <v>1302</v>
      </c>
      <c r="DH109" s="4" t="s">
        <v>232</v>
      </c>
      <c r="DI109" s="4" t="s">
        <v>360</v>
      </c>
      <c r="DJ109" s="4" t="s">
        <v>1373</v>
      </c>
      <c r="DM109" s="4" t="s">
        <v>241</v>
      </c>
      <c r="DN109" s="4" t="s">
        <v>345</v>
      </c>
      <c r="DO109" s="4" t="s">
        <v>1390</v>
      </c>
      <c r="DR109" s="4" t="s">
        <v>247</v>
      </c>
      <c r="DS109" s="4" t="s">
        <v>402</v>
      </c>
      <c r="DT109" s="4" t="s">
        <v>1502</v>
      </c>
    </row>
    <row r="110" spans="2:124">
      <c r="B110" s="4" t="s">
        <v>222</v>
      </c>
      <c r="C110" s="4" t="s">
        <v>32</v>
      </c>
      <c r="D110" s="4" t="s">
        <v>223</v>
      </c>
      <c r="G110" s="4" t="s">
        <v>222</v>
      </c>
      <c r="H110" s="4" t="s">
        <v>289</v>
      </c>
      <c r="I110" s="4" t="s">
        <v>223</v>
      </c>
      <c r="L110" s="4" t="s">
        <v>206</v>
      </c>
      <c r="M110" s="4" t="s">
        <v>32</v>
      </c>
      <c r="N110" s="4" t="s">
        <v>207</v>
      </c>
      <c r="Q110" s="4" t="s">
        <v>206</v>
      </c>
      <c r="R110" s="4" t="s">
        <v>289</v>
      </c>
      <c r="S110" s="4" t="s">
        <v>343</v>
      </c>
      <c r="AA110" s="4" t="s">
        <v>206</v>
      </c>
      <c r="AB110" s="4" t="s">
        <v>345</v>
      </c>
      <c r="AC110" s="4" t="s">
        <v>207</v>
      </c>
      <c r="AF110" s="4" t="s">
        <v>249</v>
      </c>
      <c r="AG110" s="4" t="s">
        <v>293</v>
      </c>
      <c r="AH110" s="4" t="s">
        <v>599</v>
      </c>
      <c r="AK110" s="4" t="s">
        <v>222</v>
      </c>
      <c r="AL110" s="4" t="s">
        <v>441</v>
      </c>
      <c r="AM110" s="4" t="s">
        <v>628</v>
      </c>
      <c r="AP110" s="4" t="s">
        <v>210</v>
      </c>
      <c r="AQ110" s="4" t="s">
        <v>441</v>
      </c>
      <c r="AR110" s="4" t="s">
        <v>695</v>
      </c>
      <c r="AZ110" s="4" t="s">
        <v>206</v>
      </c>
      <c r="BA110" s="4" t="s">
        <v>345</v>
      </c>
      <c r="BB110" s="4" t="s">
        <v>693</v>
      </c>
      <c r="BE110" s="4" t="s">
        <v>222</v>
      </c>
      <c r="BF110" s="4" t="s">
        <v>441</v>
      </c>
      <c r="BG110" s="4" t="s">
        <v>700</v>
      </c>
      <c r="BJ110" s="11" t="s">
        <v>222</v>
      </c>
      <c r="BK110" s="11" t="s">
        <v>441</v>
      </c>
      <c r="BL110" s="11" t="s">
        <v>820</v>
      </c>
      <c r="BT110" s="4" t="s">
        <v>255</v>
      </c>
      <c r="BU110" s="4" t="s">
        <v>436</v>
      </c>
      <c r="BV110" s="4" t="s">
        <v>955</v>
      </c>
      <c r="BY110" s="4" t="s">
        <v>241</v>
      </c>
      <c r="BZ110" s="4" t="s">
        <v>441</v>
      </c>
      <c r="CA110" s="4" t="s">
        <v>707</v>
      </c>
      <c r="CD110" s="4" t="s">
        <v>222</v>
      </c>
      <c r="CE110" s="4" t="s">
        <v>346</v>
      </c>
      <c r="CF110" s="4" t="s">
        <v>1007</v>
      </c>
      <c r="DC110" s="4" t="s">
        <v>228</v>
      </c>
      <c r="DD110" s="4" t="s">
        <v>441</v>
      </c>
      <c r="DE110" s="4" t="s">
        <v>1302</v>
      </c>
      <c r="DH110" s="4" t="s">
        <v>234</v>
      </c>
      <c r="DI110" s="4" t="s">
        <v>441</v>
      </c>
      <c r="DJ110" s="4" t="s">
        <v>703</v>
      </c>
      <c r="DM110" s="4" t="s">
        <v>243</v>
      </c>
      <c r="DN110" s="4" t="s">
        <v>360</v>
      </c>
      <c r="DO110" s="4" t="s">
        <v>1391</v>
      </c>
      <c r="DR110" s="4" t="s">
        <v>249</v>
      </c>
      <c r="DS110" s="4" t="s">
        <v>293</v>
      </c>
      <c r="DT110" s="4" t="s">
        <v>1503</v>
      </c>
    </row>
    <row r="111" spans="2:124">
      <c r="B111" s="4" t="s">
        <v>224</v>
      </c>
      <c r="C111" s="4" t="s">
        <v>32</v>
      </c>
      <c r="D111" s="4" t="s">
        <v>225</v>
      </c>
      <c r="G111" s="4" t="s">
        <v>224</v>
      </c>
      <c r="H111" s="4" t="s">
        <v>289</v>
      </c>
      <c r="I111" s="4" t="s">
        <v>225</v>
      </c>
      <c r="L111" s="4" t="s">
        <v>208</v>
      </c>
      <c r="M111" s="4" t="s">
        <v>32</v>
      </c>
      <c r="N111" s="4" t="s">
        <v>209</v>
      </c>
      <c r="Q111" s="4" t="s">
        <v>208</v>
      </c>
      <c r="R111" s="4" t="s">
        <v>289</v>
      </c>
      <c r="S111" s="4" t="s">
        <v>344</v>
      </c>
      <c r="AA111" s="4" t="s">
        <v>208</v>
      </c>
      <c r="AB111" s="4" t="s">
        <v>345</v>
      </c>
      <c r="AC111" s="4" t="s">
        <v>209</v>
      </c>
      <c r="AF111" s="4" t="s">
        <v>253</v>
      </c>
      <c r="AG111" s="4" t="s">
        <v>521</v>
      </c>
      <c r="AH111" s="4" t="s">
        <v>600</v>
      </c>
      <c r="AK111" s="4" t="s">
        <v>224</v>
      </c>
      <c r="AL111" s="4" t="s">
        <v>441</v>
      </c>
      <c r="AM111" s="4" t="s">
        <v>225</v>
      </c>
      <c r="AP111" s="4" t="s">
        <v>212</v>
      </c>
      <c r="AQ111" s="4" t="s">
        <v>441</v>
      </c>
      <c r="AR111" s="4" t="s">
        <v>695</v>
      </c>
      <c r="AZ111" s="4" t="s">
        <v>208</v>
      </c>
      <c r="BA111" s="4" t="s">
        <v>345</v>
      </c>
      <c r="BB111" s="4" t="s">
        <v>694</v>
      </c>
      <c r="BE111" s="4" t="s">
        <v>224</v>
      </c>
      <c r="BF111" s="4" t="s">
        <v>441</v>
      </c>
      <c r="BG111" s="4" t="s">
        <v>701</v>
      </c>
      <c r="BJ111" s="11" t="s">
        <v>224</v>
      </c>
      <c r="BK111" s="11" t="s">
        <v>441</v>
      </c>
      <c r="BL111" s="11" t="s">
        <v>821</v>
      </c>
      <c r="BT111" s="4" t="s">
        <v>257</v>
      </c>
      <c r="BU111" s="4" t="s">
        <v>603</v>
      </c>
      <c r="BV111" s="4" t="s">
        <v>956</v>
      </c>
      <c r="BY111" s="4" t="s">
        <v>243</v>
      </c>
      <c r="BZ111" s="4" t="s">
        <v>441</v>
      </c>
      <c r="CA111" s="4" t="s">
        <v>708</v>
      </c>
      <c r="CD111" s="4" t="s">
        <v>224</v>
      </c>
      <c r="CE111" s="4" t="s">
        <v>346</v>
      </c>
      <c r="CF111" s="4" t="s">
        <v>1008</v>
      </c>
      <c r="DC111" s="4" t="s">
        <v>229</v>
      </c>
      <c r="DD111" s="4" t="s">
        <v>441</v>
      </c>
      <c r="DE111" s="4" t="s">
        <v>1303</v>
      </c>
      <c r="DH111" s="4" t="s">
        <v>235</v>
      </c>
      <c r="DI111" s="4" t="s">
        <v>441</v>
      </c>
      <c r="DJ111" s="4" t="s">
        <v>704</v>
      </c>
      <c r="DM111" s="4" t="s">
        <v>245</v>
      </c>
      <c r="DN111" s="4" t="s">
        <v>441</v>
      </c>
      <c r="DO111" s="4" t="s">
        <v>709</v>
      </c>
      <c r="DR111" s="4" t="s">
        <v>253</v>
      </c>
      <c r="DS111" s="4" t="s">
        <v>521</v>
      </c>
      <c r="DT111" s="4" t="s">
        <v>1504</v>
      </c>
    </row>
    <row r="112" spans="2:124">
      <c r="B112" s="4" t="s">
        <v>226</v>
      </c>
      <c r="C112" s="4" t="s">
        <v>32</v>
      </c>
      <c r="D112" s="4" t="s">
        <v>225</v>
      </c>
      <c r="G112" s="4" t="s">
        <v>226</v>
      </c>
      <c r="H112" s="4" t="s">
        <v>289</v>
      </c>
      <c r="I112" s="4" t="s">
        <v>225</v>
      </c>
      <c r="L112" s="4" t="s">
        <v>210</v>
      </c>
      <c r="M112" s="4" t="s">
        <v>32</v>
      </c>
      <c r="N112" s="4" t="s">
        <v>305</v>
      </c>
      <c r="Q112" s="4" t="s">
        <v>210</v>
      </c>
      <c r="R112" s="4" t="s">
        <v>289</v>
      </c>
      <c r="S112" s="4" t="s">
        <v>305</v>
      </c>
      <c r="AA112" s="4" t="s">
        <v>210</v>
      </c>
      <c r="AB112" s="4" t="s">
        <v>345</v>
      </c>
      <c r="AC112" s="4" t="s">
        <v>305</v>
      </c>
      <c r="AF112" s="4" t="s">
        <v>255</v>
      </c>
      <c r="AG112" s="4" t="s">
        <v>440</v>
      </c>
      <c r="AH112" s="4" t="s">
        <v>601</v>
      </c>
      <c r="AK112" s="4" t="s">
        <v>226</v>
      </c>
      <c r="AL112" s="4" t="s">
        <v>441</v>
      </c>
      <c r="AM112" s="4" t="s">
        <v>225</v>
      </c>
      <c r="AP112" s="4" t="s">
        <v>213</v>
      </c>
      <c r="AQ112" s="4" t="s">
        <v>441</v>
      </c>
      <c r="AR112" s="4" t="s">
        <v>696</v>
      </c>
      <c r="AZ112" s="4" t="s">
        <v>210</v>
      </c>
      <c r="BA112" s="4" t="s">
        <v>345</v>
      </c>
      <c r="BB112" s="4" t="s">
        <v>695</v>
      </c>
      <c r="BE112" s="4" t="s">
        <v>226</v>
      </c>
      <c r="BF112" s="4" t="s">
        <v>441</v>
      </c>
      <c r="BG112" s="4" t="s">
        <v>701</v>
      </c>
      <c r="BJ112" s="11" t="s">
        <v>226</v>
      </c>
      <c r="BK112" s="11" t="s">
        <v>441</v>
      </c>
      <c r="BL112" s="11" t="s">
        <v>821</v>
      </c>
      <c r="BT112" s="4" t="s">
        <v>259</v>
      </c>
      <c r="BU112" s="4" t="s">
        <v>444</v>
      </c>
      <c r="BV112" s="4" t="s">
        <v>871</v>
      </c>
      <c r="BY112" s="4" t="s">
        <v>245</v>
      </c>
      <c r="BZ112" s="4" t="s">
        <v>345</v>
      </c>
      <c r="CA112" s="4" t="s">
        <v>965</v>
      </c>
      <c r="CD112" s="4" t="s">
        <v>226</v>
      </c>
      <c r="CE112" s="4" t="s">
        <v>446</v>
      </c>
      <c r="CF112" s="4" t="s">
        <v>1008</v>
      </c>
      <c r="DC112" s="4" t="s">
        <v>231</v>
      </c>
      <c r="DD112" s="4" t="s">
        <v>441</v>
      </c>
      <c r="DE112" s="4" t="s">
        <v>1304</v>
      </c>
      <c r="DH112" s="4" t="s">
        <v>237</v>
      </c>
      <c r="DI112" s="4" t="s">
        <v>441</v>
      </c>
      <c r="DJ112" s="4" t="s">
        <v>948</v>
      </c>
      <c r="DM112" s="4" t="s">
        <v>247</v>
      </c>
      <c r="DN112" s="4" t="s">
        <v>441</v>
      </c>
      <c r="DO112" s="4" t="s">
        <v>710</v>
      </c>
      <c r="DR112" s="4" t="s">
        <v>255</v>
      </c>
      <c r="DS112" s="4" t="s">
        <v>440</v>
      </c>
      <c r="DT112" s="4" t="s">
        <v>1505</v>
      </c>
    </row>
    <row r="113" spans="2:124">
      <c r="B113" s="4" t="s">
        <v>227</v>
      </c>
      <c r="C113" s="4" t="s">
        <v>32</v>
      </c>
      <c r="D113" s="4" t="s">
        <v>225</v>
      </c>
      <c r="G113" s="4" t="s">
        <v>227</v>
      </c>
      <c r="H113" s="4" t="s">
        <v>289</v>
      </c>
      <c r="I113" s="4" t="s">
        <v>225</v>
      </c>
      <c r="L113" s="4" t="s">
        <v>212</v>
      </c>
      <c r="M113" s="4" t="s">
        <v>32</v>
      </c>
      <c r="N113" s="4" t="s">
        <v>305</v>
      </c>
      <c r="Q113" s="4" t="s">
        <v>212</v>
      </c>
      <c r="R113" s="4" t="s">
        <v>289</v>
      </c>
      <c r="S113" s="4" t="s">
        <v>305</v>
      </c>
      <c r="AA113" s="4" t="s">
        <v>212</v>
      </c>
      <c r="AB113" s="4" t="s">
        <v>345</v>
      </c>
      <c r="AC113" s="4" t="s">
        <v>305</v>
      </c>
      <c r="AF113" s="4" t="s">
        <v>257</v>
      </c>
      <c r="AG113" s="4" t="s">
        <v>434</v>
      </c>
      <c r="AH113" s="4" t="s">
        <v>602</v>
      </c>
      <c r="AK113" s="4" t="s">
        <v>227</v>
      </c>
      <c r="AL113" s="4" t="s">
        <v>441</v>
      </c>
      <c r="AM113" s="4" t="s">
        <v>225</v>
      </c>
      <c r="AP113" s="4" t="s">
        <v>217</v>
      </c>
      <c r="AQ113" s="4" t="s">
        <v>441</v>
      </c>
      <c r="AR113" s="4" t="s">
        <v>697</v>
      </c>
      <c r="AZ113" s="4" t="s">
        <v>212</v>
      </c>
      <c r="BA113" s="4" t="s">
        <v>345</v>
      </c>
      <c r="BB113" s="4" t="s">
        <v>695</v>
      </c>
      <c r="BE113" s="4" t="s">
        <v>227</v>
      </c>
      <c r="BF113" s="4" t="s">
        <v>441</v>
      </c>
      <c r="BG113" s="4" t="s">
        <v>701</v>
      </c>
      <c r="BJ113" s="11" t="s">
        <v>227</v>
      </c>
      <c r="BK113" s="11" t="s">
        <v>441</v>
      </c>
      <c r="BL113" s="11" t="s">
        <v>821</v>
      </c>
      <c r="BT113" s="4" t="s">
        <v>261</v>
      </c>
      <c r="BU113" s="4" t="s">
        <v>289</v>
      </c>
      <c r="BV113" s="4" t="s">
        <v>957</v>
      </c>
      <c r="BY113" s="4" t="s">
        <v>247</v>
      </c>
      <c r="BZ113" s="4" t="s">
        <v>441</v>
      </c>
      <c r="CA113" s="4" t="s">
        <v>710</v>
      </c>
      <c r="CD113" s="4" t="s">
        <v>227</v>
      </c>
      <c r="CE113" s="4" t="s">
        <v>446</v>
      </c>
      <c r="CF113" s="4" t="s">
        <v>1008</v>
      </c>
      <c r="DC113" s="4" t="s">
        <v>232</v>
      </c>
      <c r="DD113" s="4" t="s">
        <v>441</v>
      </c>
      <c r="DE113" s="4" t="s">
        <v>1305</v>
      </c>
      <c r="DH113" s="4" t="s">
        <v>239</v>
      </c>
      <c r="DI113" s="4" t="s">
        <v>441</v>
      </c>
      <c r="DJ113" s="4" t="s">
        <v>706</v>
      </c>
      <c r="DM113" s="4" t="s">
        <v>249</v>
      </c>
      <c r="DN113" s="4" t="s">
        <v>345</v>
      </c>
      <c r="DO113" s="4" t="s">
        <v>711</v>
      </c>
      <c r="DR113" s="4" t="s">
        <v>257</v>
      </c>
      <c r="DS113" s="4" t="s">
        <v>434</v>
      </c>
      <c r="DT113" s="4" t="s">
        <v>1506</v>
      </c>
    </row>
    <row r="114" spans="2:124">
      <c r="B114" s="4" t="s">
        <v>228</v>
      </c>
      <c r="C114" s="4" t="s">
        <v>32</v>
      </c>
      <c r="D114" s="4" t="s">
        <v>225</v>
      </c>
      <c r="G114" s="4" t="s">
        <v>228</v>
      </c>
      <c r="H114" s="4" t="s">
        <v>289</v>
      </c>
      <c r="I114" s="4" t="s">
        <v>225</v>
      </c>
      <c r="L114" s="4" t="s">
        <v>213</v>
      </c>
      <c r="M114" s="4" t="s">
        <v>32</v>
      </c>
      <c r="N114" s="4" t="s">
        <v>332</v>
      </c>
      <c r="Q114" s="4" t="s">
        <v>213</v>
      </c>
      <c r="R114" s="4" t="s">
        <v>289</v>
      </c>
      <c r="S114" s="4" t="s">
        <v>332</v>
      </c>
      <c r="AA114" s="4" t="s">
        <v>213</v>
      </c>
      <c r="AB114" s="4" t="s">
        <v>345</v>
      </c>
      <c r="AC114" s="4" t="s">
        <v>214</v>
      </c>
      <c r="AF114" s="4" t="s">
        <v>259</v>
      </c>
      <c r="AG114" s="4" t="s">
        <v>603</v>
      </c>
      <c r="AH114" s="4" t="s">
        <v>604</v>
      </c>
      <c r="AK114" s="4" t="s">
        <v>228</v>
      </c>
      <c r="AL114" s="4" t="s">
        <v>441</v>
      </c>
      <c r="AM114" s="4" t="s">
        <v>225</v>
      </c>
      <c r="AP114" s="4" t="s">
        <v>218</v>
      </c>
      <c r="AQ114" s="4" t="s">
        <v>345</v>
      </c>
      <c r="AR114" s="4" t="s">
        <v>698</v>
      </c>
      <c r="AZ114" s="4" t="s">
        <v>213</v>
      </c>
      <c r="BA114" s="4" t="s">
        <v>345</v>
      </c>
      <c r="BB114" s="4" t="s">
        <v>696</v>
      </c>
      <c r="BE114" s="4" t="s">
        <v>228</v>
      </c>
      <c r="BF114" s="4" t="s">
        <v>441</v>
      </c>
      <c r="BG114" s="4" t="s">
        <v>701</v>
      </c>
      <c r="BJ114" s="11" t="s">
        <v>228</v>
      </c>
      <c r="BK114" s="11" t="s">
        <v>441</v>
      </c>
      <c r="BL114" s="11" t="s">
        <v>821</v>
      </c>
      <c r="BT114" s="4" t="s">
        <v>263</v>
      </c>
      <c r="BU114" s="4" t="s">
        <v>444</v>
      </c>
      <c r="BV114" s="4" t="s">
        <v>958</v>
      </c>
      <c r="BY114" s="4" t="s">
        <v>249</v>
      </c>
      <c r="BZ114" s="4" t="s">
        <v>345</v>
      </c>
      <c r="CA114" s="4" t="s">
        <v>711</v>
      </c>
      <c r="CD114" s="4" t="s">
        <v>228</v>
      </c>
      <c r="CE114" s="4" t="s">
        <v>446</v>
      </c>
      <c r="CF114" s="4" t="s">
        <v>1008</v>
      </c>
      <c r="DC114" s="4" t="s">
        <v>234</v>
      </c>
      <c r="DD114" s="4" t="s">
        <v>441</v>
      </c>
      <c r="DE114" s="4" t="s">
        <v>1305</v>
      </c>
      <c r="DH114" s="4" t="s">
        <v>241</v>
      </c>
      <c r="DI114" s="4" t="s">
        <v>345</v>
      </c>
      <c r="DJ114" s="4" t="s">
        <v>1374</v>
      </c>
      <c r="DM114" s="4" t="s">
        <v>251</v>
      </c>
      <c r="DN114" s="4" t="s">
        <v>441</v>
      </c>
      <c r="DO114" s="4" t="s">
        <v>712</v>
      </c>
      <c r="DR114" s="4" t="s">
        <v>259</v>
      </c>
      <c r="DS114" s="4" t="s">
        <v>603</v>
      </c>
      <c r="DT114" s="4" t="s">
        <v>1507</v>
      </c>
    </row>
    <row r="115" spans="2:124">
      <c r="B115" s="4" t="s">
        <v>229</v>
      </c>
      <c r="C115" s="4" t="s">
        <v>104</v>
      </c>
      <c r="D115" s="4" t="s">
        <v>230</v>
      </c>
      <c r="G115" s="4" t="s">
        <v>229</v>
      </c>
      <c r="H115" s="4" t="s">
        <v>298</v>
      </c>
      <c r="I115" s="4" t="s">
        <v>230</v>
      </c>
      <c r="L115" s="4" t="s">
        <v>215</v>
      </c>
      <c r="M115" s="4" t="s">
        <v>104</v>
      </c>
      <c r="N115" s="4" t="s">
        <v>216</v>
      </c>
      <c r="Q115" s="4" t="s">
        <v>215</v>
      </c>
      <c r="R115" s="4" t="s">
        <v>298</v>
      </c>
      <c r="S115" s="4" t="s">
        <v>216</v>
      </c>
      <c r="AA115" s="4" t="s">
        <v>215</v>
      </c>
      <c r="AB115" s="4" t="s">
        <v>441</v>
      </c>
      <c r="AC115" s="4" t="s">
        <v>216</v>
      </c>
      <c r="AF115" s="4" t="s">
        <v>261</v>
      </c>
      <c r="AG115" s="4" t="s">
        <v>104</v>
      </c>
      <c r="AH115" s="4" t="s">
        <v>605</v>
      </c>
      <c r="AK115" s="4" t="s">
        <v>229</v>
      </c>
      <c r="AL115" s="4" t="s">
        <v>441</v>
      </c>
      <c r="AM115" s="4" t="s">
        <v>629</v>
      </c>
      <c r="AP115" s="4" t="s">
        <v>220</v>
      </c>
      <c r="AQ115" s="4" t="s">
        <v>441</v>
      </c>
      <c r="AR115" s="4" t="s">
        <v>699</v>
      </c>
      <c r="AZ115" s="4" t="s">
        <v>215</v>
      </c>
      <c r="BA115" s="4" t="s">
        <v>441</v>
      </c>
      <c r="BB115" s="4" t="s">
        <v>766</v>
      </c>
      <c r="BE115" s="4" t="s">
        <v>231</v>
      </c>
      <c r="BF115" s="4" t="s">
        <v>441</v>
      </c>
      <c r="BG115" s="4" t="s">
        <v>702</v>
      </c>
      <c r="BJ115" s="11" t="s">
        <v>229</v>
      </c>
      <c r="BK115" s="11" t="s">
        <v>441</v>
      </c>
      <c r="BL115" s="11" t="s">
        <v>767</v>
      </c>
      <c r="BT115" s="4" t="s">
        <v>268</v>
      </c>
      <c r="BU115" s="4" t="s">
        <v>441</v>
      </c>
      <c r="BV115" s="4" t="s">
        <v>959</v>
      </c>
      <c r="BY115" s="4" t="s">
        <v>251</v>
      </c>
      <c r="BZ115" s="4" t="s">
        <v>441</v>
      </c>
      <c r="CA115" s="4" t="s">
        <v>712</v>
      </c>
      <c r="CD115" s="4" t="s">
        <v>229</v>
      </c>
      <c r="CE115" s="4" t="s">
        <v>441</v>
      </c>
      <c r="CF115" s="4" t="s">
        <v>1009</v>
      </c>
      <c r="DC115" s="4" t="s">
        <v>235</v>
      </c>
      <c r="DD115" s="4" t="s">
        <v>441</v>
      </c>
      <c r="DE115" s="4" t="s">
        <v>1306</v>
      </c>
      <c r="DH115" s="4" t="s">
        <v>243</v>
      </c>
      <c r="DI115" s="4" t="s">
        <v>360</v>
      </c>
      <c r="DJ115" s="4" t="s">
        <v>1375</v>
      </c>
      <c r="DM115" s="4" t="s">
        <v>253</v>
      </c>
      <c r="DN115" s="4" t="s">
        <v>441</v>
      </c>
      <c r="DO115" s="4" t="s">
        <v>713</v>
      </c>
      <c r="DR115" s="4" t="s">
        <v>261</v>
      </c>
      <c r="DS115" s="4" t="s">
        <v>104</v>
      </c>
      <c r="DT115" s="4" t="s">
        <v>1508</v>
      </c>
    </row>
    <row r="116" spans="2:124">
      <c r="B116" s="4" t="s">
        <v>231</v>
      </c>
      <c r="C116" s="4" t="s">
        <v>32</v>
      </c>
      <c r="D116" s="4" t="s">
        <v>202</v>
      </c>
      <c r="G116" s="4" t="s">
        <v>231</v>
      </c>
      <c r="H116" s="4" t="s">
        <v>289</v>
      </c>
      <c r="I116" s="4" t="s">
        <v>202</v>
      </c>
      <c r="L116" s="4" t="s">
        <v>217</v>
      </c>
      <c r="M116" s="4" t="s">
        <v>32</v>
      </c>
      <c r="N116" s="4" t="s">
        <v>216</v>
      </c>
      <c r="Q116" s="4" t="s">
        <v>217</v>
      </c>
      <c r="R116" s="4" t="s">
        <v>289</v>
      </c>
      <c r="S116" s="4" t="s">
        <v>216</v>
      </c>
      <c r="AA116" s="4" t="s">
        <v>217</v>
      </c>
      <c r="AB116" s="4" t="s">
        <v>345</v>
      </c>
      <c r="AC116" s="4" t="s">
        <v>216</v>
      </c>
      <c r="AF116" s="4" t="s">
        <v>263</v>
      </c>
      <c r="AG116" s="4" t="s">
        <v>104</v>
      </c>
      <c r="AH116" s="4" t="s">
        <v>606</v>
      </c>
      <c r="AK116" s="4" t="s">
        <v>231</v>
      </c>
      <c r="AL116" s="4" t="s">
        <v>441</v>
      </c>
      <c r="AM116" s="4" t="s">
        <v>202</v>
      </c>
      <c r="AP116" s="4" t="s">
        <v>222</v>
      </c>
      <c r="AQ116" s="4" t="s">
        <v>441</v>
      </c>
      <c r="AR116" s="4" t="s">
        <v>700</v>
      </c>
      <c r="AZ116" s="4" t="s">
        <v>217</v>
      </c>
      <c r="BA116" s="4" t="s">
        <v>345</v>
      </c>
      <c r="BB116" s="4" t="s">
        <v>697</v>
      </c>
      <c r="BE116" s="4" t="s">
        <v>232</v>
      </c>
      <c r="BF116" s="4" t="s">
        <v>441</v>
      </c>
      <c r="BG116" s="4" t="s">
        <v>703</v>
      </c>
      <c r="BJ116" s="11" t="s">
        <v>231</v>
      </c>
      <c r="BK116" s="11" t="s">
        <v>441</v>
      </c>
      <c r="BL116" s="11" t="s">
        <v>822</v>
      </c>
      <c r="BT116" s="4" t="s">
        <v>270</v>
      </c>
      <c r="BU116" s="4" t="s">
        <v>446</v>
      </c>
      <c r="BV116" s="4" t="s">
        <v>960</v>
      </c>
      <c r="BY116" s="4" t="s">
        <v>253</v>
      </c>
      <c r="BZ116" s="4" t="s">
        <v>441</v>
      </c>
      <c r="CA116" s="4" t="s">
        <v>713</v>
      </c>
      <c r="CD116" s="4" t="s">
        <v>231</v>
      </c>
      <c r="CE116" s="4" t="s">
        <v>346</v>
      </c>
      <c r="CF116" s="4" t="s">
        <v>1010</v>
      </c>
      <c r="DC116" s="4" t="s">
        <v>237</v>
      </c>
      <c r="DD116" s="4" t="s">
        <v>441</v>
      </c>
      <c r="DE116" s="4" t="s">
        <v>1307</v>
      </c>
      <c r="DH116" s="4" t="s">
        <v>245</v>
      </c>
      <c r="DI116" s="4" t="s">
        <v>441</v>
      </c>
      <c r="DJ116" s="4" t="s">
        <v>709</v>
      </c>
      <c r="DM116" s="4" t="s">
        <v>255</v>
      </c>
      <c r="DN116" s="4" t="s">
        <v>345</v>
      </c>
      <c r="DO116" s="4" t="s">
        <v>1392</v>
      </c>
      <c r="DR116" s="4" t="s">
        <v>263</v>
      </c>
      <c r="DS116" s="4" t="s">
        <v>104</v>
      </c>
      <c r="DT116" s="4" t="s">
        <v>1509</v>
      </c>
    </row>
    <row r="117" spans="2:124">
      <c r="B117" s="4" t="s">
        <v>232</v>
      </c>
      <c r="C117" s="4" t="s">
        <v>32</v>
      </c>
      <c r="D117" s="4" t="s">
        <v>233</v>
      </c>
      <c r="G117" s="4" t="s">
        <v>232</v>
      </c>
      <c r="H117" s="4" t="s">
        <v>289</v>
      </c>
      <c r="I117" s="4" t="s">
        <v>233</v>
      </c>
      <c r="L117" s="4" t="s">
        <v>218</v>
      </c>
      <c r="M117" s="4" t="s">
        <v>55</v>
      </c>
      <c r="N117" s="4" t="s">
        <v>219</v>
      </c>
      <c r="Q117" s="4" t="s">
        <v>218</v>
      </c>
      <c r="R117" s="4" t="s">
        <v>293</v>
      </c>
      <c r="S117" s="4" t="s">
        <v>219</v>
      </c>
      <c r="AA117" s="4" t="s">
        <v>218</v>
      </c>
      <c r="AB117" s="4" t="s">
        <v>346</v>
      </c>
      <c r="AC117" s="4" t="s">
        <v>219</v>
      </c>
      <c r="AF117" s="4" t="s">
        <v>268</v>
      </c>
      <c r="AG117" s="4" t="s">
        <v>533</v>
      </c>
      <c r="AH117" s="4" t="s">
        <v>607</v>
      </c>
      <c r="AK117" s="4" t="s">
        <v>232</v>
      </c>
      <c r="AL117" s="4" t="s">
        <v>441</v>
      </c>
      <c r="AM117" s="4" t="s">
        <v>233</v>
      </c>
      <c r="AP117" s="4" t="s">
        <v>224</v>
      </c>
      <c r="AQ117" s="4" t="s">
        <v>441</v>
      </c>
      <c r="AR117" s="4" t="s">
        <v>701</v>
      </c>
      <c r="AZ117" s="4" t="s">
        <v>218</v>
      </c>
      <c r="BA117" s="4" t="s">
        <v>346</v>
      </c>
      <c r="BB117" s="4" t="s">
        <v>698</v>
      </c>
      <c r="BE117" s="4" t="s">
        <v>234</v>
      </c>
      <c r="BF117" s="4" t="s">
        <v>441</v>
      </c>
      <c r="BG117" s="4" t="s">
        <v>703</v>
      </c>
      <c r="BJ117" s="11" t="s">
        <v>232</v>
      </c>
      <c r="BK117" s="11" t="s">
        <v>441</v>
      </c>
      <c r="BL117" s="11" t="s">
        <v>823</v>
      </c>
      <c r="BT117" s="4" t="s">
        <v>272</v>
      </c>
      <c r="BU117" s="4" t="s">
        <v>438</v>
      </c>
      <c r="BV117" s="4" t="s">
        <v>961</v>
      </c>
      <c r="BY117" s="4" t="s">
        <v>255</v>
      </c>
      <c r="BZ117" s="4" t="s">
        <v>441</v>
      </c>
      <c r="CA117" s="4" t="s">
        <v>714</v>
      </c>
      <c r="CD117" s="4" t="s">
        <v>232</v>
      </c>
      <c r="CE117" s="4" t="s">
        <v>346</v>
      </c>
      <c r="CF117" s="4" t="s">
        <v>1011</v>
      </c>
      <c r="DC117" s="4" t="s">
        <v>239</v>
      </c>
      <c r="DD117" s="4" t="s">
        <v>441</v>
      </c>
      <c r="DE117" s="4" t="s">
        <v>1308</v>
      </c>
      <c r="DH117" s="4" t="s">
        <v>247</v>
      </c>
      <c r="DI117" s="4" t="s">
        <v>441</v>
      </c>
      <c r="DJ117" s="4" t="s">
        <v>710</v>
      </c>
      <c r="DM117" s="4" t="s">
        <v>257</v>
      </c>
      <c r="DN117" s="4" t="s">
        <v>441</v>
      </c>
      <c r="DO117" s="4" t="s">
        <v>715</v>
      </c>
      <c r="DR117" s="4" t="s">
        <v>268</v>
      </c>
      <c r="DS117" s="4" t="s">
        <v>533</v>
      </c>
      <c r="DT117" s="4" t="s">
        <v>1510</v>
      </c>
    </row>
    <row r="118" spans="2:124">
      <c r="B118" s="4" t="s">
        <v>234</v>
      </c>
      <c r="C118" s="4" t="s">
        <v>32</v>
      </c>
      <c r="D118" s="4" t="s">
        <v>233</v>
      </c>
      <c r="G118" s="4" t="s">
        <v>234</v>
      </c>
      <c r="H118" s="4" t="s">
        <v>289</v>
      </c>
      <c r="I118" s="4" t="s">
        <v>233</v>
      </c>
      <c r="L118" s="4" t="s">
        <v>220</v>
      </c>
      <c r="M118" s="4" t="s">
        <v>32</v>
      </c>
      <c r="N118" s="4" t="s">
        <v>306</v>
      </c>
      <c r="Q118" s="4" t="s">
        <v>220</v>
      </c>
      <c r="R118" s="4" t="s">
        <v>289</v>
      </c>
      <c r="S118" s="4" t="s">
        <v>306</v>
      </c>
      <c r="AA118" s="4" t="s">
        <v>220</v>
      </c>
      <c r="AB118" s="4" t="s">
        <v>345</v>
      </c>
      <c r="AC118" s="4" t="s">
        <v>306</v>
      </c>
      <c r="AF118" s="4" t="s">
        <v>270</v>
      </c>
      <c r="AG118" s="4" t="s">
        <v>450</v>
      </c>
      <c r="AH118" s="4" t="s">
        <v>608</v>
      </c>
      <c r="AK118" s="4" t="s">
        <v>234</v>
      </c>
      <c r="AL118" s="4" t="s">
        <v>441</v>
      </c>
      <c r="AM118" s="4" t="s">
        <v>233</v>
      </c>
      <c r="AP118" s="4" t="s">
        <v>226</v>
      </c>
      <c r="AQ118" s="4" t="s">
        <v>441</v>
      </c>
      <c r="AR118" s="4" t="s">
        <v>701</v>
      </c>
      <c r="AZ118" s="4" t="s">
        <v>220</v>
      </c>
      <c r="BA118" s="4" t="s">
        <v>345</v>
      </c>
      <c r="BB118" s="4" t="s">
        <v>699</v>
      </c>
      <c r="BE118" s="4" t="s">
        <v>235</v>
      </c>
      <c r="BF118" s="4" t="s">
        <v>441</v>
      </c>
      <c r="BG118" s="4" t="s">
        <v>704</v>
      </c>
      <c r="BJ118" s="11" t="s">
        <v>234</v>
      </c>
      <c r="BK118" s="11" t="s">
        <v>441</v>
      </c>
      <c r="BL118" s="11" t="s">
        <v>823</v>
      </c>
      <c r="BT118" s="4" t="s">
        <v>336</v>
      </c>
      <c r="BU118" s="4" t="s">
        <v>441</v>
      </c>
      <c r="BV118" s="4" t="s">
        <v>632</v>
      </c>
      <c r="BY118" s="4" t="s">
        <v>257</v>
      </c>
      <c r="BZ118" s="4" t="s">
        <v>441</v>
      </c>
      <c r="CA118" s="4" t="s">
        <v>715</v>
      </c>
      <c r="CD118" s="4" t="s">
        <v>234</v>
      </c>
      <c r="CE118" s="4" t="s">
        <v>345</v>
      </c>
      <c r="CF118" s="4" t="s">
        <v>1011</v>
      </c>
      <c r="DC118" s="4" t="s">
        <v>241</v>
      </c>
      <c r="DD118" s="4" t="s">
        <v>441</v>
      </c>
      <c r="DE118" s="4" t="s">
        <v>1309</v>
      </c>
      <c r="DH118" s="4" t="s">
        <v>249</v>
      </c>
      <c r="DI118" s="4" t="s">
        <v>345</v>
      </c>
      <c r="DJ118" s="4" t="s">
        <v>711</v>
      </c>
      <c r="DM118" s="4" t="s">
        <v>259</v>
      </c>
      <c r="DN118" s="4" t="s">
        <v>441</v>
      </c>
      <c r="DO118" s="4" t="s">
        <v>716</v>
      </c>
      <c r="DR118" s="4" t="s">
        <v>270</v>
      </c>
      <c r="DS118" s="4" t="s">
        <v>450</v>
      </c>
      <c r="DT118" s="4" t="s">
        <v>1511</v>
      </c>
    </row>
    <row r="119" spans="2:124">
      <c r="B119" s="4" t="s">
        <v>235</v>
      </c>
      <c r="C119" s="4" t="s">
        <v>32</v>
      </c>
      <c r="D119" s="4" t="s">
        <v>236</v>
      </c>
      <c r="G119" s="4" t="s">
        <v>235</v>
      </c>
      <c r="H119" s="4" t="s">
        <v>289</v>
      </c>
      <c r="I119" s="4" t="s">
        <v>236</v>
      </c>
      <c r="L119" s="4" t="s">
        <v>222</v>
      </c>
      <c r="M119" s="4" t="s">
        <v>32</v>
      </c>
      <c r="N119" s="4" t="s">
        <v>223</v>
      </c>
      <c r="Q119" s="4" t="s">
        <v>222</v>
      </c>
      <c r="R119" s="4" t="s">
        <v>289</v>
      </c>
      <c r="S119" s="4" t="s">
        <v>223</v>
      </c>
      <c r="AA119" s="4" t="s">
        <v>222</v>
      </c>
      <c r="AB119" s="4" t="s">
        <v>345</v>
      </c>
      <c r="AC119" s="4" t="s">
        <v>223</v>
      </c>
      <c r="AF119" s="4" t="s">
        <v>272</v>
      </c>
      <c r="AG119" s="4" t="s">
        <v>521</v>
      </c>
      <c r="AH119" s="4" t="s">
        <v>609</v>
      </c>
      <c r="AK119" s="4" t="s">
        <v>235</v>
      </c>
      <c r="AL119" s="4" t="s">
        <v>441</v>
      </c>
      <c r="AM119" s="4" t="s">
        <v>236</v>
      </c>
      <c r="AP119" s="4" t="s">
        <v>227</v>
      </c>
      <c r="AQ119" s="4" t="s">
        <v>441</v>
      </c>
      <c r="AR119" s="4" t="s">
        <v>701</v>
      </c>
      <c r="AZ119" s="4" t="s">
        <v>222</v>
      </c>
      <c r="BA119" s="4" t="s">
        <v>345</v>
      </c>
      <c r="BB119" s="4" t="s">
        <v>700</v>
      </c>
      <c r="BE119" s="4" t="s">
        <v>237</v>
      </c>
      <c r="BF119" s="4" t="s">
        <v>441</v>
      </c>
      <c r="BG119" s="4" t="s">
        <v>768</v>
      </c>
      <c r="BJ119" s="11" t="s">
        <v>235</v>
      </c>
      <c r="BK119" s="11" t="s">
        <v>441</v>
      </c>
      <c r="BL119" s="11" t="s">
        <v>824</v>
      </c>
      <c r="BT119" s="4" t="s">
        <v>337</v>
      </c>
      <c r="BU119" s="4" t="s">
        <v>441</v>
      </c>
      <c r="BV119" s="4" t="s">
        <v>632</v>
      </c>
      <c r="BY119" s="4" t="s">
        <v>259</v>
      </c>
      <c r="BZ119" s="4" t="s">
        <v>441</v>
      </c>
      <c r="CA119" s="4" t="s">
        <v>716</v>
      </c>
      <c r="CD119" s="4" t="s">
        <v>235</v>
      </c>
      <c r="CE119" s="4" t="s">
        <v>346</v>
      </c>
      <c r="CF119" s="4" t="s">
        <v>1012</v>
      </c>
      <c r="DC119" s="4" t="s">
        <v>243</v>
      </c>
      <c r="DD119" s="4" t="s">
        <v>441</v>
      </c>
      <c r="DE119" s="4" t="s">
        <v>1310</v>
      </c>
      <c r="DH119" s="4" t="s">
        <v>251</v>
      </c>
      <c r="DI119" s="4" t="s">
        <v>441</v>
      </c>
      <c r="DJ119" s="4" t="s">
        <v>712</v>
      </c>
      <c r="DM119" s="4" t="s">
        <v>261</v>
      </c>
      <c r="DN119" s="4" t="s">
        <v>441</v>
      </c>
      <c r="DO119" s="4" t="s">
        <v>717</v>
      </c>
      <c r="DR119" s="4" t="s">
        <v>272</v>
      </c>
      <c r="DS119" s="4" t="s">
        <v>521</v>
      </c>
      <c r="DT119" s="4" t="s">
        <v>1512</v>
      </c>
    </row>
    <row r="120" spans="2:124">
      <c r="B120" s="4" t="s">
        <v>237</v>
      </c>
      <c r="C120" s="4" t="s">
        <v>32</v>
      </c>
      <c r="D120" s="4" t="s">
        <v>238</v>
      </c>
      <c r="G120" s="4" t="s">
        <v>237</v>
      </c>
      <c r="H120" s="4" t="s">
        <v>289</v>
      </c>
      <c r="I120" s="4" t="s">
        <v>238</v>
      </c>
      <c r="L120" s="4" t="s">
        <v>224</v>
      </c>
      <c r="M120" s="4" t="s">
        <v>32</v>
      </c>
      <c r="N120" s="4" t="s">
        <v>225</v>
      </c>
      <c r="Q120" s="4" t="s">
        <v>224</v>
      </c>
      <c r="R120" s="4" t="s">
        <v>289</v>
      </c>
      <c r="S120" s="4" t="s">
        <v>225</v>
      </c>
      <c r="AA120" s="4" t="s">
        <v>224</v>
      </c>
      <c r="AB120" s="4" t="s">
        <v>345</v>
      </c>
      <c r="AC120" s="4" t="s">
        <v>225</v>
      </c>
      <c r="AF120" s="4" t="s">
        <v>274</v>
      </c>
      <c r="AG120" s="4" t="s">
        <v>610</v>
      </c>
      <c r="AH120" s="4" t="s">
        <v>611</v>
      </c>
      <c r="AK120" s="4" t="s">
        <v>237</v>
      </c>
      <c r="AL120" s="4" t="s">
        <v>441</v>
      </c>
      <c r="AM120" s="4" t="s">
        <v>238</v>
      </c>
      <c r="AP120" s="4" t="s">
        <v>228</v>
      </c>
      <c r="AQ120" s="4" t="s">
        <v>441</v>
      </c>
      <c r="AR120" s="4" t="s">
        <v>701</v>
      </c>
      <c r="AZ120" s="4" t="s">
        <v>224</v>
      </c>
      <c r="BA120" s="4" t="s">
        <v>345</v>
      </c>
      <c r="BB120" s="4" t="s">
        <v>701</v>
      </c>
      <c r="BE120" s="4" t="s">
        <v>239</v>
      </c>
      <c r="BF120" s="4" t="s">
        <v>441</v>
      </c>
      <c r="BG120" s="4" t="s">
        <v>706</v>
      </c>
      <c r="BJ120" s="11" t="s">
        <v>237</v>
      </c>
      <c r="BK120" s="11" t="s">
        <v>441</v>
      </c>
      <c r="BL120" s="11" t="s">
        <v>825</v>
      </c>
      <c r="BT120" s="4" t="s">
        <v>338</v>
      </c>
      <c r="BU120" s="4" t="s">
        <v>441</v>
      </c>
      <c r="BV120" s="4" t="s">
        <v>632</v>
      </c>
      <c r="BY120" s="4" t="s">
        <v>261</v>
      </c>
      <c r="BZ120" s="4" t="s">
        <v>441</v>
      </c>
      <c r="CA120" s="4" t="s">
        <v>717</v>
      </c>
      <c r="CD120" s="4" t="s">
        <v>237</v>
      </c>
      <c r="CE120" s="4" t="s">
        <v>345</v>
      </c>
      <c r="CF120" s="4" t="s">
        <v>1013</v>
      </c>
      <c r="DC120" s="4" t="s">
        <v>245</v>
      </c>
      <c r="DD120" s="4" t="s">
        <v>441</v>
      </c>
      <c r="DE120" s="4" t="s">
        <v>1311</v>
      </c>
      <c r="DH120" s="4" t="s">
        <v>253</v>
      </c>
      <c r="DI120" s="4" t="s">
        <v>360</v>
      </c>
      <c r="DJ120" s="4" t="s">
        <v>1376</v>
      </c>
      <c r="DM120" s="4" t="s">
        <v>263</v>
      </c>
      <c r="DN120" s="4" t="s">
        <v>441</v>
      </c>
      <c r="DO120" s="4" t="s">
        <v>718</v>
      </c>
      <c r="DR120" s="4" t="s">
        <v>274</v>
      </c>
      <c r="DS120" s="4" t="s">
        <v>610</v>
      </c>
      <c r="DT120" s="4" t="s">
        <v>1513</v>
      </c>
    </row>
    <row r="121" spans="2:124">
      <c r="B121" s="4" t="s">
        <v>239</v>
      </c>
      <c r="C121" s="4" t="s">
        <v>32</v>
      </c>
      <c r="D121" s="4" t="s">
        <v>240</v>
      </c>
      <c r="G121" s="4" t="s">
        <v>239</v>
      </c>
      <c r="H121" s="4" t="s">
        <v>289</v>
      </c>
      <c r="I121" s="4" t="s">
        <v>240</v>
      </c>
      <c r="L121" s="4" t="s">
        <v>226</v>
      </c>
      <c r="M121" s="4" t="s">
        <v>32</v>
      </c>
      <c r="N121" s="4" t="s">
        <v>225</v>
      </c>
      <c r="Q121" s="4" t="s">
        <v>226</v>
      </c>
      <c r="R121" s="4" t="s">
        <v>289</v>
      </c>
      <c r="S121" s="4" t="s">
        <v>225</v>
      </c>
      <c r="AA121" s="4" t="s">
        <v>226</v>
      </c>
      <c r="AB121" s="4" t="s">
        <v>345</v>
      </c>
      <c r="AC121" s="4" t="s">
        <v>225</v>
      </c>
      <c r="AF121" s="4" t="s">
        <v>276</v>
      </c>
      <c r="AG121" s="4" t="s">
        <v>441</v>
      </c>
      <c r="AH121" s="4" t="s">
        <v>612</v>
      </c>
      <c r="AK121" s="4" t="s">
        <v>239</v>
      </c>
      <c r="AL121" s="4" t="s">
        <v>441</v>
      </c>
      <c r="AM121" s="4" t="s">
        <v>240</v>
      </c>
      <c r="AP121" s="4" t="s">
        <v>231</v>
      </c>
      <c r="AQ121" s="4" t="s">
        <v>441</v>
      </c>
      <c r="AR121" s="4" t="s">
        <v>702</v>
      </c>
      <c r="AZ121" s="4" t="s">
        <v>226</v>
      </c>
      <c r="BA121" s="4" t="s">
        <v>345</v>
      </c>
      <c r="BB121" s="4" t="s">
        <v>701</v>
      </c>
      <c r="BE121" s="4" t="s">
        <v>241</v>
      </c>
      <c r="BF121" s="4" t="s">
        <v>441</v>
      </c>
      <c r="BG121" s="4" t="s">
        <v>707</v>
      </c>
      <c r="BJ121" s="11" t="s">
        <v>239</v>
      </c>
      <c r="BK121" s="11" t="s">
        <v>441</v>
      </c>
      <c r="BL121" s="11" t="s">
        <v>826</v>
      </c>
      <c r="BY121" s="4" t="s">
        <v>263</v>
      </c>
      <c r="BZ121" s="4" t="s">
        <v>441</v>
      </c>
      <c r="CA121" s="4" t="s">
        <v>718</v>
      </c>
      <c r="CD121" s="4" t="s">
        <v>239</v>
      </c>
      <c r="CE121" s="4" t="s">
        <v>346</v>
      </c>
      <c r="CF121" s="4" t="s">
        <v>1014</v>
      </c>
      <c r="DC121" s="4" t="s">
        <v>247</v>
      </c>
      <c r="DD121" s="4" t="s">
        <v>441</v>
      </c>
      <c r="DE121" s="4" t="s">
        <v>1312</v>
      </c>
      <c r="DH121" s="4" t="s">
        <v>255</v>
      </c>
      <c r="DI121" s="4" t="s">
        <v>345</v>
      </c>
      <c r="DJ121" s="4" t="s">
        <v>1377</v>
      </c>
      <c r="DM121" s="4" t="s">
        <v>265</v>
      </c>
      <c r="DN121" s="4" t="s">
        <v>441</v>
      </c>
      <c r="DO121" s="4" t="s">
        <v>719</v>
      </c>
      <c r="DR121" s="4" t="s">
        <v>276</v>
      </c>
      <c r="DS121" s="4" t="s">
        <v>441</v>
      </c>
      <c r="DT121" s="4" t="s">
        <v>1514</v>
      </c>
    </row>
    <row r="122" spans="2:124">
      <c r="B122" s="4" t="s">
        <v>241</v>
      </c>
      <c r="C122" s="4" t="s">
        <v>32</v>
      </c>
      <c r="D122" s="4" t="s">
        <v>242</v>
      </c>
      <c r="G122" s="4" t="s">
        <v>241</v>
      </c>
      <c r="H122" s="4" t="s">
        <v>289</v>
      </c>
      <c r="I122" s="4" t="s">
        <v>242</v>
      </c>
      <c r="L122" s="4" t="s">
        <v>227</v>
      </c>
      <c r="M122" s="4" t="s">
        <v>32</v>
      </c>
      <c r="N122" s="4" t="s">
        <v>225</v>
      </c>
      <c r="Q122" s="4" t="s">
        <v>227</v>
      </c>
      <c r="R122" s="4" t="s">
        <v>289</v>
      </c>
      <c r="S122" s="4" t="s">
        <v>225</v>
      </c>
      <c r="AA122" s="4" t="s">
        <v>227</v>
      </c>
      <c r="AB122" s="4" t="s">
        <v>345</v>
      </c>
      <c r="AC122" s="4" t="s">
        <v>225</v>
      </c>
      <c r="AF122" s="4" t="s">
        <v>336</v>
      </c>
      <c r="AG122" s="4" t="s">
        <v>104</v>
      </c>
      <c r="AH122" s="4" t="s">
        <v>30</v>
      </c>
      <c r="AK122" s="4" t="s">
        <v>241</v>
      </c>
      <c r="AL122" s="4" t="s">
        <v>441</v>
      </c>
      <c r="AM122" s="4" t="s">
        <v>242</v>
      </c>
      <c r="AP122" s="4" t="s">
        <v>232</v>
      </c>
      <c r="AQ122" s="4" t="s">
        <v>441</v>
      </c>
      <c r="AR122" s="4" t="s">
        <v>703</v>
      </c>
      <c r="AZ122" s="4" t="s">
        <v>227</v>
      </c>
      <c r="BA122" s="4" t="s">
        <v>345</v>
      </c>
      <c r="BB122" s="4" t="s">
        <v>701</v>
      </c>
      <c r="BE122" s="4" t="s">
        <v>243</v>
      </c>
      <c r="BF122" s="4" t="s">
        <v>441</v>
      </c>
      <c r="BG122" s="4" t="s">
        <v>708</v>
      </c>
      <c r="BJ122" s="11" t="s">
        <v>241</v>
      </c>
      <c r="BK122" s="11" t="s">
        <v>441</v>
      </c>
      <c r="BL122" s="11" t="s">
        <v>827</v>
      </c>
      <c r="BY122" s="4" t="s">
        <v>265</v>
      </c>
      <c r="BZ122" s="4" t="s">
        <v>441</v>
      </c>
      <c r="CA122" s="4" t="s">
        <v>719</v>
      </c>
      <c r="CD122" s="4" t="s">
        <v>241</v>
      </c>
      <c r="CE122" s="4" t="s">
        <v>446</v>
      </c>
      <c r="CF122" s="4" t="s">
        <v>1015</v>
      </c>
      <c r="DC122" s="4" t="s">
        <v>249</v>
      </c>
      <c r="DD122" s="4" t="s">
        <v>346</v>
      </c>
      <c r="DE122" s="4" t="s">
        <v>1313</v>
      </c>
      <c r="DH122" s="4" t="s">
        <v>257</v>
      </c>
      <c r="DI122" s="4" t="s">
        <v>441</v>
      </c>
      <c r="DJ122" s="4" t="s">
        <v>715</v>
      </c>
      <c r="DM122" s="4" t="s">
        <v>267</v>
      </c>
      <c r="DN122" s="4" t="s">
        <v>441</v>
      </c>
      <c r="DO122" s="4" t="s">
        <v>719</v>
      </c>
      <c r="DR122" s="4" t="s">
        <v>336</v>
      </c>
      <c r="DS122" s="4" t="s">
        <v>104</v>
      </c>
      <c r="DT122" s="4" t="s">
        <v>632</v>
      </c>
    </row>
    <row r="123" spans="2:124">
      <c r="B123" s="4" t="s">
        <v>243</v>
      </c>
      <c r="C123" s="4" t="s">
        <v>32</v>
      </c>
      <c r="D123" s="4" t="s">
        <v>244</v>
      </c>
      <c r="G123" s="4" t="s">
        <v>243</v>
      </c>
      <c r="H123" s="4" t="s">
        <v>289</v>
      </c>
      <c r="I123" s="4" t="s">
        <v>244</v>
      </c>
      <c r="L123" s="4" t="s">
        <v>228</v>
      </c>
      <c r="M123" s="4" t="s">
        <v>32</v>
      </c>
      <c r="N123" s="4" t="s">
        <v>225</v>
      </c>
      <c r="Q123" s="4" t="s">
        <v>228</v>
      </c>
      <c r="R123" s="4" t="s">
        <v>289</v>
      </c>
      <c r="S123" s="4" t="s">
        <v>225</v>
      </c>
      <c r="AA123" s="4" t="s">
        <v>228</v>
      </c>
      <c r="AB123" s="4" t="s">
        <v>345</v>
      </c>
      <c r="AC123" s="4" t="s">
        <v>225</v>
      </c>
      <c r="AF123" s="4" t="s">
        <v>337</v>
      </c>
      <c r="AG123" s="4" t="s">
        <v>440</v>
      </c>
      <c r="AH123" s="4" t="s">
        <v>30</v>
      </c>
      <c r="AK123" s="4" t="s">
        <v>243</v>
      </c>
      <c r="AL123" s="4" t="s">
        <v>441</v>
      </c>
      <c r="AM123" s="4" t="s">
        <v>244</v>
      </c>
      <c r="AP123" s="4" t="s">
        <v>234</v>
      </c>
      <c r="AQ123" s="4" t="s">
        <v>441</v>
      </c>
      <c r="AR123" s="4" t="s">
        <v>703</v>
      </c>
      <c r="AZ123" s="4" t="s">
        <v>228</v>
      </c>
      <c r="BA123" s="4" t="s">
        <v>345</v>
      </c>
      <c r="BB123" s="4" t="s">
        <v>701</v>
      </c>
      <c r="BE123" s="4" t="s">
        <v>245</v>
      </c>
      <c r="BF123" s="4" t="s">
        <v>441</v>
      </c>
      <c r="BG123" s="4" t="s">
        <v>709</v>
      </c>
      <c r="BJ123" s="11" t="s">
        <v>243</v>
      </c>
      <c r="BK123" s="11" t="s">
        <v>441</v>
      </c>
      <c r="BL123" s="11" t="s">
        <v>828</v>
      </c>
      <c r="BY123" s="4" t="s">
        <v>267</v>
      </c>
      <c r="BZ123" s="4" t="s">
        <v>441</v>
      </c>
      <c r="CA123" s="4" t="s">
        <v>719</v>
      </c>
      <c r="CD123" s="4" t="s">
        <v>243</v>
      </c>
      <c r="CE123" s="4" t="s">
        <v>346</v>
      </c>
      <c r="CF123" s="4" t="s">
        <v>1016</v>
      </c>
      <c r="DC123" s="4" t="s">
        <v>251</v>
      </c>
      <c r="DD123" s="4" t="s">
        <v>441</v>
      </c>
      <c r="DE123" s="4" t="s">
        <v>1314</v>
      </c>
      <c r="DH123" s="4" t="s">
        <v>259</v>
      </c>
      <c r="DI123" s="4" t="s">
        <v>360</v>
      </c>
      <c r="DJ123" s="4" t="s">
        <v>1378</v>
      </c>
      <c r="DM123" s="4" t="s">
        <v>268</v>
      </c>
      <c r="DN123" s="4" t="s">
        <v>446</v>
      </c>
      <c r="DO123" s="4" t="s">
        <v>1393</v>
      </c>
      <c r="DR123" s="4" t="s">
        <v>337</v>
      </c>
      <c r="DS123" s="4" t="s">
        <v>440</v>
      </c>
      <c r="DT123" s="4" t="s">
        <v>632</v>
      </c>
    </row>
    <row r="124" spans="2:124">
      <c r="B124" s="4" t="s">
        <v>245</v>
      </c>
      <c r="C124" s="4" t="s">
        <v>32</v>
      </c>
      <c r="D124" s="4" t="s">
        <v>246</v>
      </c>
      <c r="G124" s="4" t="s">
        <v>245</v>
      </c>
      <c r="H124" s="4" t="s">
        <v>289</v>
      </c>
      <c r="I124" s="4" t="s">
        <v>246</v>
      </c>
      <c r="L124" s="4" t="s">
        <v>229</v>
      </c>
      <c r="M124" s="4" t="s">
        <v>104</v>
      </c>
      <c r="N124" s="4" t="s">
        <v>230</v>
      </c>
      <c r="Q124" s="4" t="s">
        <v>229</v>
      </c>
      <c r="R124" s="4" t="s">
        <v>298</v>
      </c>
      <c r="S124" s="4" t="s">
        <v>230</v>
      </c>
      <c r="AA124" s="4" t="s">
        <v>229</v>
      </c>
      <c r="AB124" s="4" t="s">
        <v>441</v>
      </c>
      <c r="AC124" s="4" t="s">
        <v>230</v>
      </c>
      <c r="AF124" s="4" t="s">
        <v>338</v>
      </c>
      <c r="AG124" s="4" t="s">
        <v>345</v>
      </c>
      <c r="AH124" s="4" t="s">
        <v>30</v>
      </c>
      <c r="AK124" s="4" t="s">
        <v>245</v>
      </c>
      <c r="AL124" s="4" t="s">
        <v>441</v>
      </c>
      <c r="AM124" s="4" t="s">
        <v>246</v>
      </c>
      <c r="AP124" s="4" t="s">
        <v>235</v>
      </c>
      <c r="AQ124" s="4" t="s">
        <v>441</v>
      </c>
      <c r="AR124" s="4" t="s">
        <v>704</v>
      </c>
      <c r="AZ124" s="4" t="s">
        <v>229</v>
      </c>
      <c r="BA124" s="4" t="s">
        <v>441</v>
      </c>
      <c r="BB124" s="4" t="s">
        <v>767</v>
      </c>
      <c r="BE124" s="4" t="s">
        <v>247</v>
      </c>
      <c r="BF124" s="4" t="s">
        <v>441</v>
      </c>
      <c r="BG124" s="4" t="s">
        <v>710</v>
      </c>
      <c r="BJ124" s="11" t="s">
        <v>245</v>
      </c>
      <c r="BK124" s="11" t="s">
        <v>441</v>
      </c>
      <c r="BL124" s="11" t="s">
        <v>829</v>
      </c>
      <c r="BY124" s="4" t="s">
        <v>268</v>
      </c>
      <c r="BZ124" s="4" t="s">
        <v>345</v>
      </c>
      <c r="CA124" s="4" t="s">
        <v>720</v>
      </c>
      <c r="CD124" s="4" t="s">
        <v>245</v>
      </c>
      <c r="CE124" s="4" t="s">
        <v>446</v>
      </c>
      <c r="CF124" s="4" t="s">
        <v>1017</v>
      </c>
      <c r="DC124" s="4" t="s">
        <v>253</v>
      </c>
      <c r="DD124" s="4" t="s">
        <v>441</v>
      </c>
      <c r="DE124" s="4" t="s">
        <v>1315</v>
      </c>
      <c r="DH124" s="4" t="s">
        <v>261</v>
      </c>
      <c r="DI124" s="4" t="s">
        <v>603</v>
      </c>
      <c r="DJ124" s="4" t="s">
        <v>1379</v>
      </c>
      <c r="DM124" s="4" t="s">
        <v>270</v>
      </c>
      <c r="DN124" s="4" t="s">
        <v>441</v>
      </c>
      <c r="DO124" s="4" t="s">
        <v>721</v>
      </c>
      <c r="DR124" s="4" t="s">
        <v>338</v>
      </c>
      <c r="DS124" s="4" t="s">
        <v>345</v>
      </c>
      <c r="DT124" s="4" t="s">
        <v>632</v>
      </c>
    </row>
    <row r="125" spans="2:124">
      <c r="B125" s="4" t="s">
        <v>247</v>
      </c>
      <c r="C125" s="4" t="s">
        <v>32</v>
      </c>
      <c r="D125" s="4" t="s">
        <v>248</v>
      </c>
      <c r="G125" s="4" t="s">
        <v>247</v>
      </c>
      <c r="H125" s="4" t="s">
        <v>289</v>
      </c>
      <c r="I125" s="4" t="s">
        <v>248</v>
      </c>
      <c r="L125" s="4" t="s">
        <v>231</v>
      </c>
      <c r="M125" s="4" t="s">
        <v>32</v>
      </c>
      <c r="N125" s="4" t="s">
        <v>202</v>
      </c>
      <c r="Q125" s="4" t="s">
        <v>231</v>
      </c>
      <c r="R125" s="4" t="s">
        <v>289</v>
      </c>
      <c r="S125" s="4" t="s">
        <v>202</v>
      </c>
      <c r="AA125" s="4" t="s">
        <v>231</v>
      </c>
      <c r="AB125" s="4" t="s">
        <v>345</v>
      </c>
      <c r="AC125" s="4" t="s">
        <v>202</v>
      </c>
      <c r="AK125" s="4" t="s">
        <v>247</v>
      </c>
      <c r="AL125" s="4" t="s">
        <v>441</v>
      </c>
      <c r="AM125" s="4" t="s">
        <v>248</v>
      </c>
      <c r="AP125" s="4" t="s">
        <v>237</v>
      </c>
      <c r="AQ125" s="4" t="s">
        <v>345</v>
      </c>
      <c r="AR125" s="4" t="s">
        <v>705</v>
      </c>
      <c r="AZ125" s="4" t="s">
        <v>231</v>
      </c>
      <c r="BA125" s="4" t="s">
        <v>345</v>
      </c>
      <c r="BB125" s="4" t="s">
        <v>702</v>
      </c>
      <c r="BE125" s="4" t="s">
        <v>249</v>
      </c>
      <c r="BF125" s="4" t="s">
        <v>345</v>
      </c>
      <c r="BG125" s="4" t="s">
        <v>711</v>
      </c>
      <c r="BJ125" s="11" t="s">
        <v>247</v>
      </c>
      <c r="BK125" s="11" t="s">
        <v>441</v>
      </c>
      <c r="BL125" s="11" t="s">
        <v>830</v>
      </c>
      <c r="BY125" s="4" t="s">
        <v>270</v>
      </c>
      <c r="BZ125" s="4" t="s">
        <v>441</v>
      </c>
      <c r="CA125" s="4" t="s">
        <v>721</v>
      </c>
      <c r="CD125" s="4" t="s">
        <v>247</v>
      </c>
      <c r="CE125" s="4" t="s">
        <v>346</v>
      </c>
      <c r="CF125" s="4" t="s">
        <v>1018</v>
      </c>
      <c r="DC125" s="4" t="s">
        <v>255</v>
      </c>
      <c r="DD125" s="4" t="s">
        <v>441</v>
      </c>
      <c r="DE125" s="4" t="s">
        <v>1316</v>
      </c>
      <c r="DH125" s="4" t="s">
        <v>263</v>
      </c>
      <c r="DI125" s="4" t="s">
        <v>441</v>
      </c>
      <c r="DJ125" s="4" t="s">
        <v>718</v>
      </c>
      <c r="DM125" s="4" t="s">
        <v>272</v>
      </c>
      <c r="DN125" s="4" t="s">
        <v>441</v>
      </c>
      <c r="DO125" s="4" t="s">
        <v>722</v>
      </c>
    </row>
    <row r="126" spans="2:124">
      <c r="B126" s="4" t="s">
        <v>249</v>
      </c>
      <c r="C126" s="4" t="s">
        <v>55</v>
      </c>
      <c r="D126" s="4" t="s">
        <v>250</v>
      </c>
      <c r="G126" s="4" t="s">
        <v>249</v>
      </c>
      <c r="H126" s="4" t="s">
        <v>293</v>
      </c>
      <c r="I126" s="4" t="s">
        <v>250</v>
      </c>
      <c r="L126" s="4" t="s">
        <v>232</v>
      </c>
      <c r="M126" s="4" t="s">
        <v>32</v>
      </c>
      <c r="N126" s="4" t="s">
        <v>233</v>
      </c>
      <c r="Q126" s="4" t="s">
        <v>232</v>
      </c>
      <c r="R126" s="4" t="s">
        <v>289</v>
      </c>
      <c r="S126" s="4" t="s">
        <v>233</v>
      </c>
      <c r="AA126" s="4" t="s">
        <v>232</v>
      </c>
      <c r="AB126" s="4" t="s">
        <v>345</v>
      </c>
      <c r="AC126" s="4" t="s">
        <v>233</v>
      </c>
      <c r="AK126" s="4" t="s">
        <v>249</v>
      </c>
      <c r="AL126" s="4" t="s">
        <v>441</v>
      </c>
      <c r="AM126" s="4" t="s">
        <v>250</v>
      </c>
      <c r="AP126" s="4" t="s">
        <v>239</v>
      </c>
      <c r="AQ126" s="4" t="s">
        <v>441</v>
      </c>
      <c r="AR126" s="4" t="s">
        <v>706</v>
      </c>
      <c r="AZ126" s="4" t="s">
        <v>232</v>
      </c>
      <c r="BA126" s="4" t="s">
        <v>345</v>
      </c>
      <c r="BB126" s="4" t="s">
        <v>703</v>
      </c>
      <c r="BE126" s="4" t="s">
        <v>251</v>
      </c>
      <c r="BF126" s="4" t="s">
        <v>441</v>
      </c>
      <c r="BG126" s="4" t="s">
        <v>712</v>
      </c>
      <c r="BJ126" s="11" t="s">
        <v>249</v>
      </c>
      <c r="BK126" s="11" t="s">
        <v>441</v>
      </c>
      <c r="BL126" s="11" t="s">
        <v>831</v>
      </c>
      <c r="BY126" s="4" t="s">
        <v>272</v>
      </c>
      <c r="BZ126" s="4" t="s">
        <v>441</v>
      </c>
      <c r="CA126" s="4" t="s">
        <v>722</v>
      </c>
      <c r="CD126" s="4" t="s">
        <v>249</v>
      </c>
      <c r="CE126" s="4" t="s">
        <v>434</v>
      </c>
      <c r="CF126" s="4" t="s">
        <v>1019</v>
      </c>
      <c r="DC126" s="4" t="s">
        <v>257</v>
      </c>
      <c r="DD126" s="4" t="s">
        <v>441</v>
      </c>
      <c r="DE126" s="4" t="s">
        <v>1317</v>
      </c>
      <c r="DH126" s="4" t="s">
        <v>265</v>
      </c>
      <c r="DI126" s="4" t="s">
        <v>441</v>
      </c>
      <c r="DJ126" s="4" t="s">
        <v>719</v>
      </c>
      <c r="DM126" s="4" t="s">
        <v>274</v>
      </c>
      <c r="DN126" s="4" t="s">
        <v>346</v>
      </c>
      <c r="DO126" s="4" t="s">
        <v>1394</v>
      </c>
    </row>
    <row r="127" spans="2:124">
      <c r="B127" s="4" t="s">
        <v>251</v>
      </c>
      <c r="C127" s="4" t="s">
        <v>32</v>
      </c>
      <c r="D127" s="4" t="s">
        <v>252</v>
      </c>
      <c r="G127" s="4" t="s">
        <v>251</v>
      </c>
      <c r="H127" s="4" t="s">
        <v>289</v>
      </c>
      <c r="I127" s="4" t="s">
        <v>252</v>
      </c>
      <c r="L127" s="4" t="s">
        <v>234</v>
      </c>
      <c r="M127" s="4" t="s">
        <v>32</v>
      </c>
      <c r="N127" s="4" t="s">
        <v>233</v>
      </c>
      <c r="Q127" s="4" t="s">
        <v>234</v>
      </c>
      <c r="R127" s="4" t="s">
        <v>289</v>
      </c>
      <c r="S127" s="4" t="s">
        <v>233</v>
      </c>
      <c r="AA127" s="4" t="s">
        <v>234</v>
      </c>
      <c r="AB127" s="4" t="s">
        <v>345</v>
      </c>
      <c r="AC127" s="4" t="s">
        <v>233</v>
      </c>
      <c r="AK127" s="4" t="s">
        <v>251</v>
      </c>
      <c r="AL127" s="4" t="s">
        <v>441</v>
      </c>
      <c r="AM127" s="4" t="s">
        <v>252</v>
      </c>
      <c r="AP127" s="4" t="s">
        <v>241</v>
      </c>
      <c r="AQ127" s="4" t="s">
        <v>441</v>
      </c>
      <c r="AR127" s="4" t="s">
        <v>707</v>
      </c>
      <c r="AZ127" s="4" t="s">
        <v>234</v>
      </c>
      <c r="BA127" s="4" t="s">
        <v>345</v>
      </c>
      <c r="BB127" s="4" t="s">
        <v>703</v>
      </c>
      <c r="BE127" s="4" t="s">
        <v>253</v>
      </c>
      <c r="BF127" s="4" t="s">
        <v>441</v>
      </c>
      <c r="BG127" s="4" t="s">
        <v>713</v>
      </c>
      <c r="BJ127" s="11" t="s">
        <v>251</v>
      </c>
      <c r="BK127" s="11" t="s">
        <v>441</v>
      </c>
      <c r="BL127" s="11" t="s">
        <v>832</v>
      </c>
      <c r="BY127" s="4" t="s">
        <v>274</v>
      </c>
      <c r="BZ127" s="4" t="s">
        <v>441</v>
      </c>
      <c r="CA127" s="4" t="s">
        <v>723</v>
      </c>
      <c r="CD127" s="4" t="s">
        <v>251</v>
      </c>
      <c r="CE127" s="4" t="s">
        <v>446</v>
      </c>
      <c r="CF127" s="4" t="s">
        <v>1020</v>
      </c>
      <c r="DC127" s="4" t="s">
        <v>259</v>
      </c>
      <c r="DD127" s="4" t="s">
        <v>441</v>
      </c>
      <c r="DE127" s="4" t="s">
        <v>1318</v>
      </c>
      <c r="DH127" s="4" t="s">
        <v>267</v>
      </c>
      <c r="DI127" s="4" t="s">
        <v>441</v>
      </c>
      <c r="DJ127" s="4" t="s">
        <v>719</v>
      </c>
      <c r="DM127" s="4" t="s">
        <v>276</v>
      </c>
      <c r="DN127" s="4" t="s">
        <v>345</v>
      </c>
      <c r="DO127" s="4" t="s">
        <v>1395</v>
      </c>
    </row>
    <row r="128" spans="2:124">
      <c r="B128" s="4" t="s">
        <v>253</v>
      </c>
      <c r="C128" s="4" t="s">
        <v>32</v>
      </c>
      <c r="D128" s="4" t="s">
        <v>254</v>
      </c>
      <c r="G128" s="4" t="s">
        <v>253</v>
      </c>
      <c r="H128" s="4" t="s">
        <v>289</v>
      </c>
      <c r="I128" s="4" t="s">
        <v>254</v>
      </c>
      <c r="L128" s="4" t="s">
        <v>235</v>
      </c>
      <c r="M128" s="4" t="s">
        <v>32</v>
      </c>
      <c r="N128" s="4" t="s">
        <v>236</v>
      </c>
      <c r="Q128" s="4" t="s">
        <v>235</v>
      </c>
      <c r="R128" s="4" t="s">
        <v>289</v>
      </c>
      <c r="S128" s="4" t="s">
        <v>236</v>
      </c>
      <c r="AA128" s="4" t="s">
        <v>235</v>
      </c>
      <c r="AB128" s="4" t="s">
        <v>345</v>
      </c>
      <c r="AC128" s="4" t="s">
        <v>236</v>
      </c>
      <c r="AK128" s="4" t="s">
        <v>253</v>
      </c>
      <c r="AL128" s="4" t="s">
        <v>441</v>
      </c>
      <c r="AM128" s="4" t="s">
        <v>254</v>
      </c>
      <c r="AP128" s="4" t="s">
        <v>243</v>
      </c>
      <c r="AQ128" s="4" t="s">
        <v>441</v>
      </c>
      <c r="AR128" s="4" t="s">
        <v>708</v>
      </c>
      <c r="AZ128" s="4" t="s">
        <v>235</v>
      </c>
      <c r="BA128" s="4" t="s">
        <v>345</v>
      </c>
      <c r="BB128" s="4" t="s">
        <v>704</v>
      </c>
      <c r="BE128" s="4" t="s">
        <v>255</v>
      </c>
      <c r="BF128" s="4" t="s">
        <v>441</v>
      </c>
      <c r="BG128" s="4" t="s">
        <v>714</v>
      </c>
      <c r="BJ128" s="11" t="s">
        <v>253</v>
      </c>
      <c r="BK128" s="11" t="s">
        <v>441</v>
      </c>
      <c r="BL128" s="11" t="s">
        <v>833</v>
      </c>
      <c r="BY128" s="4" t="s">
        <v>276</v>
      </c>
      <c r="BZ128" s="4" t="s">
        <v>441</v>
      </c>
      <c r="CA128" s="4" t="s">
        <v>724</v>
      </c>
      <c r="CD128" s="4" t="s">
        <v>253</v>
      </c>
      <c r="CE128" s="4" t="s">
        <v>346</v>
      </c>
      <c r="CF128" s="4" t="s">
        <v>1021</v>
      </c>
      <c r="DC128" s="4" t="s">
        <v>261</v>
      </c>
      <c r="DD128" s="4" t="s">
        <v>441</v>
      </c>
      <c r="DE128" s="4" t="s">
        <v>1319</v>
      </c>
      <c r="DH128" s="4" t="s">
        <v>268</v>
      </c>
      <c r="DI128" s="4" t="s">
        <v>446</v>
      </c>
      <c r="DJ128" s="4" t="s">
        <v>1380</v>
      </c>
      <c r="DM128" s="4" t="s">
        <v>280</v>
      </c>
      <c r="DN128" s="4" t="s">
        <v>441</v>
      </c>
      <c r="DO128" s="4" t="s">
        <v>725</v>
      </c>
    </row>
    <row r="129" spans="2:119">
      <c r="B129" s="4" t="s">
        <v>255</v>
      </c>
      <c r="C129" s="4" t="s">
        <v>32</v>
      </c>
      <c r="D129" s="4" t="s">
        <v>256</v>
      </c>
      <c r="G129" s="4" t="s">
        <v>255</v>
      </c>
      <c r="H129" s="4" t="s">
        <v>289</v>
      </c>
      <c r="I129" s="4" t="s">
        <v>256</v>
      </c>
      <c r="L129" s="4" t="s">
        <v>237</v>
      </c>
      <c r="M129" s="4" t="s">
        <v>32</v>
      </c>
      <c r="N129" s="4" t="s">
        <v>238</v>
      </c>
      <c r="Q129" s="4" t="s">
        <v>237</v>
      </c>
      <c r="R129" s="4" t="s">
        <v>289</v>
      </c>
      <c r="S129" s="4" t="s">
        <v>238</v>
      </c>
      <c r="AA129" s="4" t="s">
        <v>237</v>
      </c>
      <c r="AB129" s="4" t="s">
        <v>345</v>
      </c>
      <c r="AC129" s="4" t="s">
        <v>238</v>
      </c>
      <c r="AK129" s="4" t="s">
        <v>255</v>
      </c>
      <c r="AL129" s="4" t="s">
        <v>441</v>
      </c>
      <c r="AM129" s="4" t="s">
        <v>335</v>
      </c>
      <c r="AP129" s="4" t="s">
        <v>245</v>
      </c>
      <c r="AQ129" s="4" t="s">
        <v>441</v>
      </c>
      <c r="AR129" s="4" t="s">
        <v>709</v>
      </c>
      <c r="AZ129" s="4" t="s">
        <v>237</v>
      </c>
      <c r="BA129" s="4" t="s">
        <v>345</v>
      </c>
      <c r="BB129" s="4" t="s">
        <v>768</v>
      </c>
      <c r="BE129" s="4" t="s">
        <v>257</v>
      </c>
      <c r="BF129" s="4" t="s">
        <v>441</v>
      </c>
      <c r="BG129" s="4" t="s">
        <v>715</v>
      </c>
      <c r="BJ129" s="11" t="s">
        <v>255</v>
      </c>
      <c r="BK129" s="11" t="s">
        <v>441</v>
      </c>
      <c r="BL129" s="11" t="s">
        <v>834</v>
      </c>
      <c r="BY129" s="4" t="s">
        <v>280</v>
      </c>
      <c r="BZ129" s="4" t="s">
        <v>441</v>
      </c>
      <c r="CA129" s="4" t="s">
        <v>725</v>
      </c>
      <c r="CD129" s="4" t="s">
        <v>255</v>
      </c>
      <c r="CE129" s="4" t="s">
        <v>360</v>
      </c>
      <c r="CF129" s="4" t="s">
        <v>256</v>
      </c>
      <c r="DC129" s="4" t="s">
        <v>263</v>
      </c>
      <c r="DD129" s="4" t="s">
        <v>441</v>
      </c>
      <c r="DE129" s="4" t="s">
        <v>1320</v>
      </c>
      <c r="DH129" s="4" t="s">
        <v>270</v>
      </c>
      <c r="DI129" s="4" t="s">
        <v>360</v>
      </c>
      <c r="DJ129" s="4" t="s">
        <v>1381</v>
      </c>
      <c r="DM129" s="4" t="s">
        <v>282</v>
      </c>
      <c r="DN129" s="4" t="s">
        <v>441</v>
      </c>
      <c r="DO129" s="4" t="s">
        <v>726</v>
      </c>
    </row>
    <row r="130" spans="2:119">
      <c r="B130" s="4" t="s">
        <v>257</v>
      </c>
      <c r="C130" s="4" t="s">
        <v>32</v>
      </c>
      <c r="D130" s="4" t="s">
        <v>258</v>
      </c>
      <c r="G130" s="4" t="s">
        <v>257</v>
      </c>
      <c r="H130" s="4" t="s">
        <v>289</v>
      </c>
      <c r="I130" s="4" t="s">
        <v>258</v>
      </c>
      <c r="L130" s="4" t="s">
        <v>239</v>
      </c>
      <c r="M130" s="4" t="s">
        <v>55</v>
      </c>
      <c r="N130" s="4" t="s">
        <v>333</v>
      </c>
      <c r="Q130" s="4" t="s">
        <v>239</v>
      </c>
      <c r="R130" s="4" t="s">
        <v>293</v>
      </c>
      <c r="S130" s="4" t="s">
        <v>333</v>
      </c>
      <c r="AA130" s="4" t="s">
        <v>239</v>
      </c>
      <c r="AB130" s="4" t="s">
        <v>345</v>
      </c>
      <c r="AC130" s="4" t="s">
        <v>240</v>
      </c>
      <c r="AK130" s="4" t="s">
        <v>257</v>
      </c>
      <c r="AL130" s="4" t="s">
        <v>441</v>
      </c>
      <c r="AM130" s="4" t="s">
        <v>630</v>
      </c>
      <c r="AP130" s="4" t="s">
        <v>247</v>
      </c>
      <c r="AQ130" s="4" t="s">
        <v>441</v>
      </c>
      <c r="AR130" s="4" t="s">
        <v>710</v>
      </c>
      <c r="AZ130" s="4" t="s">
        <v>239</v>
      </c>
      <c r="BA130" s="4" t="s">
        <v>345</v>
      </c>
      <c r="BB130" s="4" t="s">
        <v>706</v>
      </c>
      <c r="BE130" s="4" t="s">
        <v>259</v>
      </c>
      <c r="BF130" s="4" t="s">
        <v>441</v>
      </c>
      <c r="BG130" s="4" t="s">
        <v>716</v>
      </c>
      <c r="BJ130" s="11" t="s">
        <v>257</v>
      </c>
      <c r="BK130" s="11" t="s">
        <v>441</v>
      </c>
      <c r="BL130" s="11" t="s">
        <v>835</v>
      </c>
      <c r="BY130" s="4" t="s">
        <v>282</v>
      </c>
      <c r="BZ130" s="4" t="s">
        <v>441</v>
      </c>
      <c r="CA130" s="4" t="s">
        <v>726</v>
      </c>
      <c r="CD130" s="4" t="s">
        <v>257</v>
      </c>
      <c r="CE130" s="4" t="s">
        <v>446</v>
      </c>
      <c r="CF130" s="4" t="s">
        <v>258</v>
      </c>
      <c r="DC130" s="4" t="s">
        <v>265</v>
      </c>
      <c r="DD130" s="4" t="s">
        <v>441</v>
      </c>
      <c r="DE130" s="4" t="s">
        <v>1321</v>
      </c>
      <c r="DH130" s="4" t="s">
        <v>272</v>
      </c>
      <c r="DI130" s="4" t="s">
        <v>441</v>
      </c>
      <c r="DJ130" s="4" t="s">
        <v>722</v>
      </c>
      <c r="DM130" s="4" t="s">
        <v>336</v>
      </c>
      <c r="DN130" s="4" t="s">
        <v>450</v>
      </c>
      <c r="DO130" s="4" t="s">
        <v>632</v>
      </c>
    </row>
    <row r="131" spans="2:119">
      <c r="B131" s="4" t="s">
        <v>259</v>
      </c>
      <c r="C131" s="4" t="s">
        <v>32</v>
      </c>
      <c r="D131" s="4" t="s">
        <v>260</v>
      </c>
      <c r="G131" s="4" t="s">
        <v>259</v>
      </c>
      <c r="H131" s="4" t="s">
        <v>289</v>
      </c>
      <c r="I131" s="4" t="s">
        <v>260</v>
      </c>
      <c r="L131" s="4" t="s">
        <v>241</v>
      </c>
      <c r="M131" s="4" t="s">
        <v>32</v>
      </c>
      <c r="N131" s="4" t="s">
        <v>242</v>
      </c>
      <c r="Q131" s="4" t="s">
        <v>241</v>
      </c>
      <c r="R131" s="4" t="s">
        <v>289</v>
      </c>
      <c r="S131" s="4" t="s">
        <v>242</v>
      </c>
      <c r="AA131" s="4" t="s">
        <v>241</v>
      </c>
      <c r="AB131" s="4" t="s">
        <v>345</v>
      </c>
      <c r="AC131" s="4" t="s">
        <v>242</v>
      </c>
      <c r="AK131" s="4" t="s">
        <v>259</v>
      </c>
      <c r="AL131" s="4" t="s">
        <v>441</v>
      </c>
      <c r="AM131" s="4" t="s">
        <v>260</v>
      </c>
      <c r="AP131" s="4" t="s">
        <v>249</v>
      </c>
      <c r="AQ131" s="4" t="s">
        <v>345</v>
      </c>
      <c r="AR131" s="4" t="s">
        <v>711</v>
      </c>
      <c r="AZ131" s="4" t="s">
        <v>241</v>
      </c>
      <c r="BA131" s="4" t="s">
        <v>345</v>
      </c>
      <c r="BB131" s="4" t="s">
        <v>707</v>
      </c>
      <c r="BE131" s="4" t="s">
        <v>261</v>
      </c>
      <c r="BF131" s="4" t="s">
        <v>441</v>
      </c>
      <c r="BG131" s="4" t="s">
        <v>717</v>
      </c>
      <c r="BJ131" s="11" t="s">
        <v>259</v>
      </c>
      <c r="BK131" s="11" t="s">
        <v>441</v>
      </c>
      <c r="BL131" s="11" t="s">
        <v>836</v>
      </c>
      <c r="BY131" s="4" t="s">
        <v>336</v>
      </c>
      <c r="BZ131" s="4" t="s">
        <v>104</v>
      </c>
      <c r="CA131" s="4" t="s">
        <v>632</v>
      </c>
      <c r="CD131" s="4" t="s">
        <v>259</v>
      </c>
      <c r="CE131" s="4" t="s">
        <v>360</v>
      </c>
      <c r="CF131" s="4" t="s">
        <v>1022</v>
      </c>
      <c r="DC131" s="4" t="s">
        <v>267</v>
      </c>
      <c r="DD131" s="4" t="s">
        <v>441</v>
      </c>
      <c r="DE131" s="4" t="s">
        <v>1321</v>
      </c>
      <c r="DH131" s="4" t="s">
        <v>274</v>
      </c>
      <c r="DI131" s="4" t="s">
        <v>346</v>
      </c>
      <c r="DJ131" s="4" t="s">
        <v>1382</v>
      </c>
      <c r="DM131" s="4" t="s">
        <v>337</v>
      </c>
      <c r="DN131" s="4" t="s">
        <v>360</v>
      </c>
      <c r="DO131" s="4" t="s">
        <v>632</v>
      </c>
    </row>
    <row r="132" spans="2:119">
      <c r="B132" s="4" t="s">
        <v>261</v>
      </c>
      <c r="C132" s="4" t="s">
        <v>32</v>
      </c>
      <c r="D132" s="4" t="s">
        <v>262</v>
      </c>
      <c r="G132" s="4" t="s">
        <v>261</v>
      </c>
      <c r="H132" s="4" t="s">
        <v>289</v>
      </c>
      <c r="I132" s="4" t="s">
        <v>262</v>
      </c>
      <c r="L132" s="4" t="s">
        <v>243</v>
      </c>
      <c r="M132" s="4" t="s">
        <v>29</v>
      </c>
      <c r="N132" s="4" t="s">
        <v>334</v>
      </c>
      <c r="Q132" s="4" t="s">
        <v>243</v>
      </c>
      <c r="R132" s="4" t="s">
        <v>288</v>
      </c>
      <c r="S132" s="4" t="s">
        <v>334</v>
      </c>
      <c r="AA132" s="4" t="s">
        <v>243</v>
      </c>
      <c r="AB132" s="4" t="s">
        <v>345</v>
      </c>
      <c r="AC132" s="4" t="s">
        <v>244</v>
      </c>
      <c r="AK132" s="4" t="s">
        <v>261</v>
      </c>
      <c r="AL132" s="4" t="s">
        <v>441</v>
      </c>
      <c r="AM132" s="4" t="s">
        <v>262</v>
      </c>
      <c r="AP132" s="4" t="s">
        <v>251</v>
      </c>
      <c r="AQ132" s="4" t="s">
        <v>441</v>
      </c>
      <c r="AR132" s="4" t="s">
        <v>712</v>
      </c>
      <c r="AZ132" s="4" t="s">
        <v>243</v>
      </c>
      <c r="BA132" s="4" t="s">
        <v>345</v>
      </c>
      <c r="BB132" s="4" t="s">
        <v>708</v>
      </c>
      <c r="BE132" s="4" t="s">
        <v>263</v>
      </c>
      <c r="BF132" s="4" t="s">
        <v>441</v>
      </c>
      <c r="BG132" s="4" t="s">
        <v>718</v>
      </c>
      <c r="BJ132" s="11" t="s">
        <v>261</v>
      </c>
      <c r="BK132" s="11" t="s">
        <v>441</v>
      </c>
      <c r="BL132" s="11" t="s">
        <v>769</v>
      </c>
      <c r="BY132" s="4" t="s">
        <v>337</v>
      </c>
      <c r="BZ132" s="4" t="s">
        <v>345</v>
      </c>
      <c r="CA132" s="4" t="s">
        <v>632</v>
      </c>
      <c r="CD132" s="4" t="s">
        <v>261</v>
      </c>
      <c r="CE132" s="4" t="s">
        <v>346</v>
      </c>
      <c r="CF132" s="4" t="s">
        <v>1023</v>
      </c>
      <c r="DC132" s="4" t="s">
        <v>268</v>
      </c>
      <c r="DD132" s="4" t="s">
        <v>441</v>
      </c>
      <c r="DE132" s="4" t="s">
        <v>1322</v>
      </c>
      <c r="DH132" s="4" t="s">
        <v>276</v>
      </c>
      <c r="DI132" s="4" t="s">
        <v>441</v>
      </c>
      <c r="DJ132" s="4" t="s">
        <v>724</v>
      </c>
      <c r="DM132" s="4" t="s">
        <v>338</v>
      </c>
      <c r="DN132" s="4" t="s">
        <v>346</v>
      </c>
      <c r="DO132" s="4" t="s">
        <v>632</v>
      </c>
    </row>
    <row r="133" spans="2:119">
      <c r="B133" s="4" t="s">
        <v>263</v>
      </c>
      <c r="C133" s="4" t="s">
        <v>32</v>
      </c>
      <c r="D133" s="4" t="s">
        <v>264</v>
      </c>
      <c r="G133" s="4" t="s">
        <v>263</v>
      </c>
      <c r="H133" s="4" t="s">
        <v>289</v>
      </c>
      <c r="I133" s="4" t="s">
        <v>264</v>
      </c>
      <c r="L133" s="4" t="s">
        <v>245</v>
      </c>
      <c r="M133" s="4" t="s">
        <v>32</v>
      </c>
      <c r="N133" s="4" t="s">
        <v>246</v>
      </c>
      <c r="Q133" s="4" t="s">
        <v>245</v>
      </c>
      <c r="R133" s="4" t="s">
        <v>289</v>
      </c>
      <c r="S133" s="4" t="s">
        <v>246</v>
      </c>
      <c r="AA133" s="4" t="s">
        <v>245</v>
      </c>
      <c r="AB133" s="4" t="s">
        <v>345</v>
      </c>
      <c r="AC133" s="4" t="s">
        <v>246</v>
      </c>
      <c r="AK133" s="4" t="s">
        <v>263</v>
      </c>
      <c r="AL133" s="4" t="s">
        <v>441</v>
      </c>
      <c r="AM133" s="4" t="s">
        <v>264</v>
      </c>
      <c r="AP133" s="4" t="s">
        <v>253</v>
      </c>
      <c r="AQ133" s="4" t="s">
        <v>441</v>
      </c>
      <c r="AR133" s="4" t="s">
        <v>713</v>
      </c>
      <c r="AZ133" s="4" t="s">
        <v>245</v>
      </c>
      <c r="BA133" s="4" t="s">
        <v>345</v>
      </c>
      <c r="BB133" s="4" t="s">
        <v>709</v>
      </c>
      <c r="BE133" s="4" t="s">
        <v>265</v>
      </c>
      <c r="BF133" s="4" t="s">
        <v>441</v>
      </c>
      <c r="BG133" s="4" t="s">
        <v>719</v>
      </c>
      <c r="BJ133" s="11" t="s">
        <v>263</v>
      </c>
      <c r="BK133" s="11" t="s">
        <v>441</v>
      </c>
      <c r="BL133" s="11" t="s">
        <v>770</v>
      </c>
      <c r="BY133" s="4" t="s">
        <v>338</v>
      </c>
      <c r="BZ133" s="4" t="s">
        <v>298</v>
      </c>
      <c r="CA133" s="4" t="s">
        <v>632</v>
      </c>
      <c r="CD133" s="4" t="s">
        <v>263</v>
      </c>
      <c r="CE133" s="4" t="s">
        <v>346</v>
      </c>
      <c r="CF133" s="4" t="s">
        <v>1024</v>
      </c>
      <c r="DC133" s="4" t="s">
        <v>270</v>
      </c>
      <c r="DD133" s="4" t="s">
        <v>441</v>
      </c>
      <c r="DE133" s="4" t="s">
        <v>1283</v>
      </c>
      <c r="DH133" s="4" t="s">
        <v>280</v>
      </c>
      <c r="DI133" s="4" t="s">
        <v>441</v>
      </c>
      <c r="DJ133" s="4" t="s">
        <v>725</v>
      </c>
    </row>
    <row r="134" spans="2:119">
      <c r="B134" s="4" t="s">
        <v>265</v>
      </c>
      <c r="C134" s="4" t="s">
        <v>32</v>
      </c>
      <c r="D134" s="4" t="s">
        <v>266</v>
      </c>
      <c r="G134" s="4" t="s">
        <v>265</v>
      </c>
      <c r="H134" s="4" t="s">
        <v>289</v>
      </c>
      <c r="I134" s="4" t="s">
        <v>266</v>
      </c>
      <c r="L134" s="4" t="s">
        <v>247</v>
      </c>
      <c r="M134" s="4" t="s">
        <v>32</v>
      </c>
      <c r="N134" s="4" t="s">
        <v>248</v>
      </c>
      <c r="Q134" s="4" t="s">
        <v>247</v>
      </c>
      <c r="R134" s="4" t="s">
        <v>289</v>
      </c>
      <c r="S134" s="4" t="s">
        <v>248</v>
      </c>
      <c r="AA134" s="4" t="s">
        <v>247</v>
      </c>
      <c r="AB134" s="4" t="s">
        <v>345</v>
      </c>
      <c r="AC134" s="4" t="s">
        <v>248</v>
      </c>
      <c r="AK134" s="4" t="s">
        <v>265</v>
      </c>
      <c r="AL134" s="4" t="s">
        <v>441</v>
      </c>
      <c r="AM134" s="4" t="s">
        <v>266</v>
      </c>
      <c r="AP134" s="4" t="s">
        <v>255</v>
      </c>
      <c r="AQ134" s="4" t="s">
        <v>441</v>
      </c>
      <c r="AR134" s="4" t="s">
        <v>714</v>
      </c>
      <c r="AZ134" s="4" t="s">
        <v>247</v>
      </c>
      <c r="BA134" s="4" t="s">
        <v>345</v>
      </c>
      <c r="BB134" s="4" t="s">
        <v>710</v>
      </c>
      <c r="BE134" s="4" t="s">
        <v>267</v>
      </c>
      <c r="BF134" s="4" t="s">
        <v>441</v>
      </c>
      <c r="BG134" s="4" t="s">
        <v>719</v>
      </c>
      <c r="BJ134" s="11" t="s">
        <v>265</v>
      </c>
      <c r="BK134" s="11" t="s">
        <v>441</v>
      </c>
      <c r="BL134" s="11" t="s">
        <v>771</v>
      </c>
      <c r="CD134" s="4" t="s">
        <v>265</v>
      </c>
      <c r="CE134" s="4" t="s">
        <v>441</v>
      </c>
      <c r="CF134" s="4" t="s">
        <v>457</v>
      </c>
      <c r="DC134" s="4" t="s">
        <v>272</v>
      </c>
      <c r="DD134" s="4" t="s">
        <v>345</v>
      </c>
      <c r="DE134" s="4" t="s">
        <v>1323</v>
      </c>
      <c r="DH134" s="4" t="s">
        <v>282</v>
      </c>
      <c r="DI134" s="4" t="s">
        <v>441</v>
      </c>
      <c r="DJ134" s="4" t="s">
        <v>726</v>
      </c>
    </row>
    <row r="135" spans="2:119">
      <c r="B135" s="4" t="s">
        <v>267</v>
      </c>
      <c r="C135" s="4" t="s">
        <v>32</v>
      </c>
      <c r="D135" s="4" t="s">
        <v>266</v>
      </c>
      <c r="G135" s="4" t="s">
        <v>267</v>
      </c>
      <c r="H135" s="4" t="s">
        <v>289</v>
      </c>
      <c r="I135" s="4" t="s">
        <v>266</v>
      </c>
      <c r="L135" s="4" t="s">
        <v>249</v>
      </c>
      <c r="M135" s="4" t="s">
        <v>55</v>
      </c>
      <c r="N135" s="4" t="s">
        <v>250</v>
      </c>
      <c r="Q135" s="4" t="s">
        <v>249</v>
      </c>
      <c r="R135" s="4" t="s">
        <v>293</v>
      </c>
      <c r="S135" s="4" t="s">
        <v>250</v>
      </c>
      <c r="AA135" s="4" t="s">
        <v>249</v>
      </c>
      <c r="AB135" s="4" t="s">
        <v>346</v>
      </c>
      <c r="AC135" s="4" t="s">
        <v>250</v>
      </c>
      <c r="AK135" s="4" t="s">
        <v>267</v>
      </c>
      <c r="AL135" s="4" t="s">
        <v>441</v>
      </c>
      <c r="AM135" s="4" t="s">
        <v>266</v>
      </c>
      <c r="AP135" s="4" t="s">
        <v>257</v>
      </c>
      <c r="AQ135" s="4" t="s">
        <v>441</v>
      </c>
      <c r="AR135" s="4" t="s">
        <v>715</v>
      </c>
      <c r="AZ135" s="4" t="s">
        <v>249</v>
      </c>
      <c r="BA135" s="4" t="s">
        <v>346</v>
      </c>
      <c r="BB135" s="4" t="s">
        <v>711</v>
      </c>
      <c r="BE135" s="4" t="s">
        <v>268</v>
      </c>
      <c r="BF135" s="4" t="s">
        <v>345</v>
      </c>
      <c r="BG135" s="4" t="s">
        <v>720</v>
      </c>
      <c r="BJ135" s="11" t="s">
        <v>267</v>
      </c>
      <c r="BK135" s="11" t="s">
        <v>441</v>
      </c>
      <c r="BL135" s="11" t="s">
        <v>771</v>
      </c>
      <c r="CD135" s="4" t="s">
        <v>267</v>
      </c>
      <c r="CE135" s="4" t="s">
        <v>441</v>
      </c>
      <c r="CF135" s="4" t="s">
        <v>457</v>
      </c>
      <c r="DC135" s="4" t="s">
        <v>274</v>
      </c>
      <c r="DD135" s="4" t="s">
        <v>441</v>
      </c>
      <c r="DE135" s="4" t="s">
        <v>1324</v>
      </c>
      <c r="DH135" s="4" t="s">
        <v>336</v>
      </c>
      <c r="DI135" s="4" t="s">
        <v>377</v>
      </c>
      <c r="DJ135" s="4" t="s">
        <v>849</v>
      </c>
    </row>
    <row r="136" spans="2:119">
      <c r="B136" s="4" t="s">
        <v>268</v>
      </c>
      <c r="C136" s="4" t="s">
        <v>55</v>
      </c>
      <c r="D136" s="4" t="s">
        <v>269</v>
      </c>
      <c r="G136" s="4" t="s">
        <v>268</v>
      </c>
      <c r="H136" s="4" t="s">
        <v>293</v>
      </c>
      <c r="I136" s="4" t="s">
        <v>307</v>
      </c>
      <c r="L136" s="4" t="s">
        <v>251</v>
      </c>
      <c r="M136" s="4" t="s">
        <v>32</v>
      </c>
      <c r="N136" s="4" t="s">
        <v>252</v>
      </c>
      <c r="Q136" s="4" t="s">
        <v>251</v>
      </c>
      <c r="R136" s="4" t="s">
        <v>289</v>
      </c>
      <c r="S136" s="4" t="s">
        <v>252</v>
      </c>
      <c r="AA136" s="4" t="s">
        <v>251</v>
      </c>
      <c r="AB136" s="4" t="s">
        <v>345</v>
      </c>
      <c r="AC136" s="4" t="s">
        <v>252</v>
      </c>
      <c r="AK136" s="4" t="s">
        <v>268</v>
      </c>
      <c r="AL136" s="4" t="s">
        <v>441</v>
      </c>
      <c r="AM136" s="4" t="s">
        <v>307</v>
      </c>
      <c r="AP136" s="4" t="s">
        <v>259</v>
      </c>
      <c r="AQ136" s="4" t="s">
        <v>441</v>
      </c>
      <c r="AR136" s="4" t="s">
        <v>716</v>
      </c>
      <c r="AZ136" s="4" t="s">
        <v>251</v>
      </c>
      <c r="BA136" s="4" t="s">
        <v>345</v>
      </c>
      <c r="BB136" s="4" t="s">
        <v>712</v>
      </c>
      <c r="BE136" s="4" t="s">
        <v>270</v>
      </c>
      <c r="BF136" s="4" t="s">
        <v>441</v>
      </c>
      <c r="BG136" s="4" t="s">
        <v>721</v>
      </c>
      <c r="BJ136" s="11" t="s">
        <v>268</v>
      </c>
      <c r="BK136" s="11" t="s">
        <v>441</v>
      </c>
      <c r="BL136" s="11" t="s">
        <v>772</v>
      </c>
      <c r="CD136" s="4" t="s">
        <v>268</v>
      </c>
      <c r="CE136" s="4" t="s">
        <v>446</v>
      </c>
      <c r="CF136" s="4" t="s">
        <v>269</v>
      </c>
      <c r="DC136" s="4" t="s">
        <v>276</v>
      </c>
      <c r="DD136" s="4" t="s">
        <v>441</v>
      </c>
      <c r="DE136" s="4" t="s">
        <v>1325</v>
      </c>
      <c r="DH136" s="4" t="s">
        <v>337</v>
      </c>
      <c r="DI136" s="4" t="s">
        <v>346</v>
      </c>
      <c r="DJ136" s="4" t="s">
        <v>632</v>
      </c>
    </row>
    <row r="137" spans="2:119">
      <c r="B137" s="4" t="s">
        <v>270</v>
      </c>
      <c r="C137" s="4" t="s">
        <v>32</v>
      </c>
      <c r="D137" s="4" t="s">
        <v>271</v>
      </c>
      <c r="G137" s="4" t="s">
        <v>270</v>
      </c>
      <c r="H137" s="4" t="s">
        <v>289</v>
      </c>
      <c r="I137" s="4" t="s">
        <v>271</v>
      </c>
      <c r="L137" s="4" t="s">
        <v>253</v>
      </c>
      <c r="M137" s="4" t="s">
        <v>32</v>
      </c>
      <c r="N137" s="4" t="s">
        <v>254</v>
      </c>
      <c r="Q137" s="4" t="s">
        <v>253</v>
      </c>
      <c r="R137" s="4" t="s">
        <v>289</v>
      </c>
      <c r="S137" s="4" t="s">
        <v>254</v>
      </c>
      <c r="AA137" s="4" t="s">
        <v>253</v>
      </c>
      <c r="AB137" s="4" t="s">
        <v>345</v>
      </c>
      <c r="AC137" s="4" t="s">
        <v>254</v>
      </c>
      <c r="AK137" s="4" t="s">
        <v>270</v>
      </c>
      <c r="AL137" s="4" t="s">
        <v>441</v>
      </c>
      <c r="AM137" s="4" t="s">
        <v>271</v>
      </c>
      <c r="AP137" s="4" t="s">
        <v>261</v>
      </c>
      <c r="AQ137" s="4" t="s">
        <v>441</v>
      </c>
      <c r="AR137" s="4" t="s">
        <v>717</v>
      </c>
      <c r="AZ137" s="4" t="s">
        <v>253</v>
      </c>
      <c r="BA137" s="4" t="s">
        <v>345</v>
      </c>
      <c r="BB137" s="4" t="s">
        <v>713</v>
      </c>
      <c r="BE137" s="4" t="s">
        <v>272</v>
      </c>
      <c r="BF137" s="4" t="s">
        <v>441</v>
      </c>
      <c r="BG137" s="4" t="s">
        <v>722</v>
      </c>
      <c r="BJ137" s="11" t="s">
        <v>270</v>
      </c>
      <c r="BK137" s="11" t="s">
        <v>441</v>
      </c>
      <c r="BL137" s="11" t="s">
        <v>773</v>
      </c>
      <c r="CD137" s="4" t="s">
        <v>270</v>
      </c>
      <c r="CE137" s="4" t="s">
        <v>360</v>
      </c>
      <c r="CF137" s="4" t="s">
        <v>1025</v>
      </c>
      <c r="DC137" s="4" t="s">
        <v>278</v>
      </c>
      <c r="DD137" s="4" t="s">
        <v>345</v>
      </c>
      <c r="DE137" s="4" t="s">
        <v>1326</v>
      </c>
      <c r="DH137" s="4" t="s">
        <v>338</v>
      </c>
      <c r="DI137" s="4" t="s">
        <v>603</v>
      </c>
      <c r="DJ137" s="4" t="s">
        <v>849</v>
      </c>
    </row>
    <row r="138" spans="2:119">
      <c r="B138" s="4" t="s">
        <v>272</v>
      </c>
      <c r="C138" s="4" t="s">
        <v>32</v>
      </c>
      <c r="D138" s="4" t="s">
        <v>273</v>
      </c>
      <c r="G138" s="4" t="s">
        <v>272</v>
      </c>
      <c r="H138" s="4" t="s">
        <v>289</v>
      </c>
      <c r="I138" s="4" t="s">
        <v>273</v>
      </c>
      <c r="L138" s="4" t="s">
        <v>255</v>
      </c>
      <c r="M138" s="4" t="s">
        <v>32</v>
      </c>
      <c r="N138" s="4" t="s">
        <v>335</v>
      </c>
      <c r="Q138" s="4" t="s">
        <v>255</v>
      </c>
      <c r="R138" s="4" t="s">
        <v>289</v>
      </c>
      <c r="S138" s="4" t="s">
        <v>256</v>
      </c>
      <c r="AA138" s="4" t="s">
        <v>255</v>
      </c>
      <c r="AB138" s="4" t="s">
        <v>345</v>
      </c>
      <c r="AC138" s="4" t="s">
        <v>256</v>
      </c>
      <c r="AK138" s="4" t="s">
        <v>272</v>
      </c>
      <c r="AL138" s="4" t="s">
        <v>441</v>
      </c>
      <c r="AM138" s="4" t="s">
        <v>273</v>
      </c>
      <c r="AP138" s="4" t="s">
        <v>263</v>
      </c>
      <c r="AQ138" s="4" t="s">
        <v>441</v>
      </c>
      <c r="AR138" s="4" t="s">
        <v>718</v>
      </c>
      <c r="AZ138" s="4" t="s">
        <v>255</v>
      </c>
      <c r="BA138" s="4" t="s">
        <v>345</v>
      </c>
      <c r="BB138" s="4" t="s">
        <v>714</v>
      </c>
      <c r="BE138" s="4" t="s">
        <v>274</v>
      </c>
      <c r="BF138" s="4" t="s">
        <v>441</v>
      </c>
      <c r="BG138" s="4" t="s">
        <v>723</v>
      </c>
      <c r="BJ138" s="11" t="s">
        <v>272</v>
      </c>
      <c r="BK138" s="11" t="s">
        <v>441</v>
      </c>
      <c r="BL138" s="11" t="s">
        <v>774</v>
      </c>
      <c r="CD138" s="4" t="s">
        <v>272</v>
      </c>
      <c r="CE138" s="4" t="s">
        <v>346</v>
      </c>
      <c r="CF138" s="4" t="s">
        <v>1026</v>
      </c>
      <c r="DC138" s="4" t="s">
        <v>280</v>
      </c>
      <c r="DD138" s="4" t="s">
        <v>441</v>
      </c>
      <c r="DE138" s="4" t="s">
        <v>1327</v>
      </c>
    </row>
    <row r="139" spans="2:119">
      <c r="B139" s="4" t="s">
        <v>274</v>
      </c>
      <c r="C139" s="4" t="s">
        <v>32</v>
      </c>
      <c r="D139" s="4" t="s">
        <v>275</v>
      </c>
      <c r="G139" s="4" t="s">
        <v>274</v>
      </c>
      <c r="H139" s="4" t="s">
        <v>289</v>
      </c>
      <c r="I139" s="4" t="s">
        <v>275</v>
      </c>
      <c r="L139" s="4" t="s">
        <v>257</v>
      </c>
      <c r="M139" s="4" t="s">
        <v>32</v>
      </c>
      <c r="N139" s="4" t="s">
        <v>258</v>
      </c>
      <c r="Q139" s="4" t="s">
        <v>257</v>
      </c>
      <c r="R139" s="4" t="s">
        <v>289</v>
      </c>
      <c r="S139" s="4" t="s">
        <v>258</v>
      </c>
      <c r="AA139" s="4" t="s">
        <v>257</v>
      </c>
      <c r="AB139" s="4" t="s">
        <v>345</v>
      </c>
      <c r="AC139" s="4" t="s">
        <v>258</v>
      </c>
      <c r="AK139" s="4" t="s">
        <v>274</v>
      </c>
      <c r="AL139" s="4" t="s">
        <v>441</v>
      </c>
      <c r="AM139" s="4" t="s">
        <v>275</v>
      </c>
      <c r="AP139" s="4" t="s">
        <v>265</v>
      </c>
      <c r="AQ139" s="4" t="s">
        <v>441</v>
      </c>
      <c r="AR139" s="4" t="s">
        <v>719</v>
      </c>
      <c r="AZ139" s="4" t="s">
        <v>257</v>
      </c>
      <c r="BA139" s="4" t="s">
        <v>345</v>
      </c>
      <c r="BB139" s="4" t="s">
        <v>715</v>
      </c>
      <c r="BE139" s="4" t="s">
        <v>276</v>
      </c>
      <c r="BF139" s="4" t="s">
        <v>441</v>
      </c>
      <c r="BG139" s="4" t="s">
        <v>724</v>
      </c>
      <c r="BJ139" s="11" t="s">
        <v>274</v>
      </c>
      <c r="BK139" s="11" t="s">
        <v>441</v>
      </c>
      <c r="BL139" s="11" t="s">
        <v>775</v>
      </c>
      <c r="CD139" s="4" t="s">
        <v>274</v>
      </c>
      <c r="CE139" s="4" t="s">
        <v>446</v>
      </c>
      <c r="CF139" s="4" t="s">
        <v>1027</v>
      </c>
      <c r="DC139" s="4" t="s">
        <v>282</v>
      </c>
      <c r="DD139" s="4" t="s">
        <v>345</v>
      </c>
      <c r="DE139" s="4" t="s">
        <v>1328</v>
      </c>
    </row>
    <row r="140" spans="2:119">
      <c r="B140" s="4" t="s">
        <v>276</v>
      </c>
      <c r="C140" s="4" t="s">
        <v>32</v>
      </c>
      <c r="D140" s="4" t="s">
        <v>277</v>
      </c>
      <c r="G140" s="4" t="s">
        <v>276</v>
      </c>
      <c r="H140" s="4" t="s">
        <v>289</v>
      </c>
      <c r="I140" s="4" t="s">
        <v>277</v>
      </c>
      <c r="L140" s="4" t="s">
        <v>259</v>
      </c>
      <c r="M140" s="4" t="s">
        <v>32</v>
      </c>
      <c r="N140" s="4" t="s">
        <v>260</v>
      </c>
      <c r="Q140" s="4" t="s">
        <v>259</v>
      </c>
      <c r="R140" s="4" t="s">
        <v>289</v>
      </c>
      <c r="S140" s="4" t="s">
        <v>260</v>
      </c>
      <c r="AA140" s="4" t="s">
        <v>259</v>
      </c>
      <c r="AB140" s="4" t="s">
        <v>345</v>
      </c>
      <c r="AC140" s="4" t="s">
        <v>260</v>
      </c>
      <c r="AK140" s="4" t="s">
        <v>276</v>
      </c>
      <c r="AL140" s="4" t="s">
        <v>441</v>
      </c>
      <c r="AM140" s="4" t="s">
        <v>277</v>
      </c>
      <c r="AP140" s="4" t="s">
        <v>267</v>
      </c>
      <c r="AQ140" s="4" t="s">
        <v>441</v>
      </c>
      <c r="AR140" s="4" t="s">
        <v>719</v>
      </c>
      <c r="AZ140" s="4" t="s">
        <v>259</v>
      </c>
      <c r="BA140" s="4" t="s">
        <v>345</v>
      </c>
      <c r="BB140" s="4" t="s">
        <v>716</v>
      </c>
      <c r="BE140" s="4" t="s">
        <v>280</v>
      </c>
      <c r="BF140" s="4" t="s">
        <v>441</v>
      </c>
      <c r="BG140" s="4" t="s">
        <v>725</v>
      </c>
      <c r="BJ140" s="11" t="s">
        <v>276</v>
      </c>
      <c r="BK140" s="11" t="s">
        <v>441</v>
      </c>
      <c r="BL140" s="11" t="s">
        <v>776</v>
      </c>
      <c r="CD140" s="4" t="s">
        <v>276</v>
      </c>
      <c r="CE140" s="4" t="s">
        <v>446</v>
      </c>
      <c r="CF140" s="4" t="s">
        <v>458</v>
      </c>
    </row>
    <row r="141" spans="2:119">
      <c r="B141" s="4" t="s">
        <v>278</v>
      </c>
      <c r="C141" s="4" t="s">
        <v>104</v>
      </c>
      <c r="D141" s="4" t="s">
        <v>279</v>
      </c>
      <c r="G141" s="4" t="s">
        <v>278</v>
      </c>
      <c r="H141" s="4" t="s">
        <v>298</v>
      </c>
      <c r="I141" s="4" t="s">
        <v>308</v>
      </c>
      <c r="L141" s="4" t="s">
        <v>261</v>
      </c>
      <c r="M141" s="4" t="s">
        <v>32</v>
      </c>
      <c r="N141" s="4" t="s">
        <v>262</v>
      </c>
      <c r="Q141" s="4" t="s">
        <v>261</v>
      </c>
      <c r="R141" s="4" t="s">
        <v>289</v>
      </c>
      <c r="S141" s="4" t="s">
        <v>262</v>
      </c>
      <c r="AA141" s="4" t="s">
        <v>261</v>
      </c>
      <c r="AB141" s="4" t="s">
        <v>345</v>
      </c>
      <c r="AC141" s="4" t="s">
        <v>262</v>
      </c>
      <c r="AK141" s="4" t="s">
        <v>278</v>
      </c>
      <c r="AL141" s="4" t="s">
        <v>441</v>
      </c>
      <c r="AM141" s="4" t="s">
        <v>308</v>
      </c>
      <c r="AP141" s="4" t="s">
        <v>268</v>
      </c>
      <c r="AQ141" s="4" t="s">
        <v>345</v>
      </c>
      <c r="AR141" s="4" t="s">
        <v>720</v>
      </c>
      <c r="AZ141" s="4" t="s">
        <v>261</v>
      </c>
      <c r="BA141" s="4" t="s">
        <v>345</v>
      </c>
      <c r="BB141" s="4" t="s">
        <v>769</v>
      </c>
      <c r="BE141" s="4" t="s">
        <v>282</v>
      </c>
      <c r="BF141" s="4" t="s">
        <v>441</v>
      </c>
      <c r="BG141" s="4" t="s">
        <v>726</v>
      </c>
      <c r="BJ141" s="11" t="s">
        <v>278</v>
      </c>
      <c r="BK141" s="11" t="s">
        <v>441</v>
      </c>
      <c r="BL141" s="11" t="s">
        <v>777</v>
      </c>
      <c r="CD141" s="4" t="s">
        <v>278</v>
      </c>
      <c r="CE141" s="4" t="s">
        <v>441</v>
      </c>
      <c r="CF141" s="4" t="s">
        <v>279</v>
      </c>
    </row>
    <row r="142" spans="2:119">
      <c r="B142" s="4" t="s">
        <v>280</v>
      </c>
      <c r="C142" s="4" t="s">
        <v>32</v>
      </c>
      <c r="D142" s="4" t="s">
        <v>281</v>
      </c>
      <c r="G142" s="4" t="s">
        <v>280</v>
      </c>
      <c r="H142" s="4" t="s">
        <v>289</v>
      </c>
      <c r="I142" s="4" t="s">
        <v>281</v>
      </c>
      <c r="L142" s="4" t="s">
        <v>263</v>
      </c>
      <c r="M142" s="4" t="s">
        <v>32</v>
      </c>
      <c r="N142" s="4" t="s">
        <v>264</v>
      </c>
      <c r="Q142" s="4" t="s">
        <v>263</v>
      </c>
      <c r="R142" s="4" t="s">
        <v>289</v>
      </c>
      <c r="S142" s="4" t="s">
        <v>264</v>
      </c>
      <c r="AA142" s="4" t="s">
        <v>263</v>
      </c>
      <c r="AB142" s="4" t="s">
        <v>345</v>
      </c>
      <c r="AC142" s="4" t="s">
        <v>264</v>
      </c>
      <c r="AK142" s="4" t="s">
        <v>280</v>
      </c>
      <c r="AL142" s="4" t="s">
        <v>441</v>
      </c>
      <c r="AM142" s="4" t="s">
        <v>281</v>
      </c>
      <c r="AP142" s="4" t="s">
        <v>270</v>
      </c>
      <c r="AQ142" s="4" t="s">
        <v>441</v>
      </c>
      <c r="AR142" s="4" t="s">
        <v>721</v>
      </c>
      <c r="AZ142" s="4" t="s">
        <v>263</v>
      </c>
      <c r="BA142" s="4" t="s">
        <v>345</v>
      </c>
      <c r="BB142" s="4" t="s">
        <v>770</v>
      </c>
      <c r="BE142" s="4" t="s">
        <v>336</v>
      </c>
      <c r="BF142" s="4" t="s">
        <v>438</v>
      </c>
      <c r="BG142" s="4" t="s">
        <v>632</v>
      </c>
      <c r="BJ142" s="11" t="s">
        <v>280</v>
      </c>
      <c r="BK142" s="11" t="s">
        <v>441</v>
      </c>
      <c r="BL142" s="11" t="s">
        <v>778</v>
      </c>
      <c r="CD142" s="4" t="s">
        <v>280</v>
      </c>
      <c r="CE142" s="4" t="s">
        <v>441</v>
      </c>
      <c r="CF142" s="4" t="s">
        <v>1028</v>
      </c>
    </row>
    <row r="143" spans="2:119">
      <c r="B143" s="4" t="s">
        <v>282</v>
      </c>
      <c r="C143" s="4" t="s">
        <v>32</v>
      </c>
      <c r="D143" s="4" t="s">
        <v>283</v>
      </c>
      <c r="G143" s="4" t="s">
        <v>282</v>
      </c>
      <c r="H143" s="4" t="s">
        <v>289</v>
      </c>
      <c r="I143" s="4" t="s">
        <v>283</v>
      </c>
      <c r="L143" s="4" t="s">
        <v>265</v>
      </c>
      <c r="M143" s="4" t="s">
        <v>32</v>
      </c>
      <c r="N143" s="4" t="s">
        <v>266</v>
      </c>
      <c r="Q143" s="4" t="s">
        <v>265</v>
      </c>
      <c r="R143" s="4" t="s">
        <v>289</v>
      </c>
      <c r="S143" s="4" t="s">
        <v>266</v>
      </c>
      <c r="AA143" s="4" t="s">
        <v>265</v>
      </c>
      <c r="AB143" s="4" t="s">
        <v>345</v>
      </c>
      <c r="AC143" s="4" t="s">
        <v>457</v>
      </c>
      <c r="AK143" s="4" t="s">
        <v>282</v>
      </c>
      <c r="AL143" s="4" t="s">
        <v>441</v>
      </c>
      <c r="AM143" s="4" t="s">
        <v>283</v>
      </c>
      <c r="AP143" s="4" t="s">
        <v>272</v>
      </c>
      <c r="AQ143" s="4" t="s">
        <v>441</v>
      </c>
      <c r="AR143" s="4" t="s">
        <v>722</v>
      </c>
      <c r="AZ143" s="4" t="s">
        <v>265</v>
      </c>
      <c r="BA143" s="4" t="s">
        <v>345</v>
      </c>
      <c r="BB143" s="4" t="s">
        <v>771</v>
      </c>
      <c r="BE143" s="4" t="s">
        <v>337</v>
      </c>
      <c r="BF143" s="4" t="s">
        <v>345</v>
      </c>
      <c r="BG143" s="4" t="s">
        <v>632</v>
      </c>
      <c r="BJ143" s="11" t="s">
        <v>282</v>
      </c>
      <c r="BK143" s="11" t="s">
        <v>441</v>
      </c>
      <c r="BL143" s="11" t="s">
        <v>779</v>
      </c>
      <c r="CD143" s="4" t="s">
        <v>282</v>
      </c>
      <c r="CE143" s="4" t="s">
        <v>360</v>
      </c>
      <c r="CF143" s="4" t="s">
        <v>1029</v>
      </c>
    </row>
    <row r="144" spans="2:119">
      <c r="B144" s="4" t="s">
        <v>284</v>
      </c>
      <c r="C144" s="4" t="s">
        <v>104</v>
      </c>
      <c r="D144" s="4" t="s">
        <v>30</v>
      </c>
      <c r="G144" s="4" t="s">
        <v>284</v>
      </c>
      <c r="H144" s="4" t="s">
        <v>298</v>
      </c>
      <c r="I144" s="4" t="s">
        <v>30</v>
      </c>
      <c r="L144" s="4" t="s">
        <v>267</v>
      </c>
      <c r="M144" s="4" t="s">
        <v>32</v>
      </c>
      <c r="N144" s="4" t="s">
        <v>266</v>
      </c>
      <c r="Q144" s="4" t="s">
        <v>267</v>
      </c>
      <c r="R144" s="4" t="s">
        <v>289</v>
      </c>
      <c r="S144" s="4" t="s">
        <v>266</v>
      </c>
      <c r="AA144" s="4" t="s">
        <v>267</v>
      </c>
      <c r="AB144" s="4" t="s">
        <v>345</v>
      </c>
      <c r="AC144" s="4" t="s">
        <v>457</v>
      </c>
      <c r="AK144" s="4" t="s">
        <v>284</v>
      </c>
      <c r="AL144" s="4" t="s">
        <v>441</v>
      </c>
      <c r="AM144" s="4" t="s">
        <v>30</v>
      </c>
      <c r="AP144" s="4" t="s">
        <v>274</v>
      </c>
      <c r="AQ144" s="4" t="s">
        <v>441</v>
      </c>
      <c r="AR144" s="4" t="s">
        <v>723</v>
      </c>
      <c r="AZ144" s="4" t="s">
        <v>267</v>
      </c>
      <c r="BA144" s="4" t="s">
        <v>345</v>
      </c>
      <c r="BB144" s="4" t="s">
        <v>771</v>
      </c>
      <c r="BE144" s="4" t="s">
        <v>338</v>
      </c>
      <c r="BF144" s="4" t="s">
        <v>345</v>
      </c>
      <c r="BG144" s="4" t="s">
        <v>632</v>
      </c>
      <c r="BJ144" s="11" t="s">
        <v>284</v>
      </c>
      <c r="BK144" s="11" t="s">
        <v>441</v>
      </c>
      <c r="BL144" s="11" t="s">
        <v>732</v>
      </c>
      <c r="CD144" s="4" t="s">
        <v>336</v>
      </c>
      <c r="CE144" s="4" t="s">
        <v>346</v>
      </c>
      <c r="CF144" s="4" t="s">
        <v>1030</v>
      </c>
    </row>
    <row r="145" spans="12:84">
      <c r="L145" s="4" t="s">
        <v>268</v>
      </c>
      <c r="M145" s="4" t="s">
        <v>55</v>
      </c>
      <c r="N145" s="4" t="s">
        <v>269</v>
      </c>
      <c r="Q145" s="4" t="s">
        <v>268</v>
      </c>
      <c r="R145" s="4" t="s">
        <v>293</v>
      </c>
      <c r="S145" s="4" t="s">
        <v>307</v>
      </c>
      <c r="AA145" s="4" t="s">
        <v>268</v>
      </c>
      <c r="AB145" s="4" t="s">
        <v>346</v>
      </c>
      <c r="AC145" s="4" t="s">
        <v>307</v>
      </c>
      <c r="AK145" s="4" t="s">
        <v>631</v>
      </c>
      <c r="AL145" s="4" t="s">
        <v>441</v>
      </c>
      <c r="AM145" s="4" t="s">
        <v>30</v>
      </c>
      <c r="AP145" s="4" t="s">
        <v>276</v>
      </c>
      <c r="AQ145" s="4" t="s">
        <v>441</v>
      </c>
      <c r="AR145" s="4" t="s">
        <v>724</v>
      </c>
      <c r="AZ145" s="4" t="s">
        <v>268</v>
      </c>
      <c r="BA145" s="4" t="s">
        <v>346</v>
      </c>
      <c r="BB145" s="4" t="s">
        <v>772</v>
      </c>
      <c r="CD145" s="4" t="s">
        <v>337</v>
      </c>
      <c r="CE145" s="4" t="s">
        <v>345</v>
      </c>
      <c r="CF145" s="4" t="s">
        <v>1030</v>
      </c>
    </row>
    <row r="146" spans="12:84">
      <c r="L146" s="4" t="s">
        <v>270</v>
      </c>
      <c r="M146" s="4" t="s">
        <v>32</v>
      </c>
      <c r="N146" s="4" t="s">
        <v>271</v>
      </c>
      <c r="Q146" s="4" t="s">
        <v>270</v>
      </c>
      <c r="R146" s="4" t="s">
        <v>289</v>
      </c>
      <c r="S146" s="4" t="s">
        <v>271</v>
      </c>
      <c r="AA146" s="4" t="s">
        <v>270</v>
      </c>
      <c r="AB146" s="4" t="s">
        <v>345</v>
      </c>
      <c r="AC146" s="4" t="s">
        <v>271</v>
      </c>
      <c r="AP146" s="4" t="s">
        <v>280</v>
      </c>
      <c r="AQ146" s="4" t="s">
        <v>441</v>
      </c>
      <c r="AR146" s="4" t="s">
        <v>725</v>
      </c>
      <c r="AZ146" s="4" t="s">
        <v>270</v>
      </c>
      <c r="BA146" s="4" t="s">
        <v>345</v>
      </c>
      <c r="BB146" s="4" t="s">
        <v>773</v>
      </c>
      <c r="CD146" s="4" t="s">
        <v>338</v>
      </c>
      <c r="CE146" s="4" t="s">
        <v>346</v>
      </c>
      <c r="CF146" s="4" t="s">
        <v>1030</v>
      </c>
    </row>
    <row r="147" spans="12:84">
      <c r="L147" s="4" t="s">
        <v>272</v>
      </c>
      <c r="M147" s="4" t="s">
        <v>32</v>
      </c>
      <c r="N147" s="4" t="s">
        <v>273</v>
      </c>
      <c r="Q147" s="4" t="s">
        <v>272</v>
      </c>
      <c r="R147" s="4" t="s">
        <v>289</v>
      </c>
      <c r="S147" s="4" t="s">
        <v>273</v>
      </c>
      <c r="AA147" s="4" t="s">
        <v>272</v>
      </c>
      <c r="AB147" s="4" t="s">
        <v>345</v>
      </c>
      <c r="AC147" s="4" t="s">
        <v>273</v>
      </c>
      <c r="AP147" s="4" t="s">
        <v>282</v>
      </c>
      <c r="AQ147" s="4" t="s">
        <v>441</v>
      </c>
      <c r="AR147" s="4" t="s">
        <v>726</v>
      </c>
      <c r="AZ147" s="4" t="s">
        <v>272</v>
      </c>
      <c r="BA147" s="4" t="s">
        <v>345</v>
      </c>
      <c r="BB147" s="4" t="s">
        <v>774</v>
      </c>
      <c r="CD147" s="4" t="s">
        <v>284</v>
      </c>
      <c r="CE147" s="4" t="s">
        <v>1031</v>
      </c>
      <c r="CF147" s="4" t="s">
        <v>1032</v>
      </c>
    </row>
    <row r="148" spans="12:84">
      <c r="L148" s="4" t="s">
        <v>274</v>
      </c>
      <c r="M148" s="4" t="s">
        <v>32</v>
      </c>
      <c r="N148" s="4" t="s">
        <v>275</v>
      </c>
      <c r="Q148" s="4" t="s">
        <v>274</v>
      </c>
      <c r="R148" s="4" t="s">
        <v>289</v>
      </c>
      <c r="S148" s="4" t="s">
        <v>275</v>
      </c>
      <c r="AA148" s="4" t="s">
        <v>274</v>
      </c>
      <c r="AB148" s="4" t="s">
        <v>345</v>
      </c>
      <c r="AC148" s="4" t="s">
        <v>275</v>
      </c>
      <c r="AP148" s="4" t="s">
        <v>336</v>
      </c>
      <c r="AQ148" s="4" t="s">
        <v>104</v>
      </c>
      <c r="AR148" s="4" t="s">
        <v>632</v>
      </c>
      <c r="AZ148" s="4" t="s">
        <v>274</v>
      </c>
      <c r="BA148" s="4" t="s">
        <v>345</v>
      </c>
      <c r="BB148" s="4" t="s">
        <v>775</v>
      </c>
    </row>
    <row r="149" spans="12:84">
      <c r="L149" s="4" t="s">
        <v>276</v>
      </c>
      <c r="M149" s="4" t="s">
        <v>32</v>
      </c>
      <c r="N149" s="4" t="s">
        <v>277</v>
      </c>
      <c r="Q149" s="4" t="s">
        <v>276</v>
      </c>
      <c r="R149" s="4" t="s">
        <v>289</v>
      </c>
      <c r="S149" s="4" t="s">
        <v>277</v>
      </c>
      <c r="AA149" s="4" t="s">
        <v>276</v>
      </c>
      <c r="AB149" s="4" t="s">
        <v>345</v>
      </c>
      <c r="AC149" s="4" t="s">
        <v>458</v>
      </c>
      <c r="AP149" s="4" t="s">
        <v>337</v>
      </c>
      <c r="AQ149" s="4" t="s">
        <v>446</v>
      </c>
      <c r="AR149" s="4" t="s">
        <v>632</v>
      </c>
      <c r="AZ149" s="4" t="s">
        <v>276</v>
      </c>
      <c r="BA149" s="4" t="s">
        <v>345</v>
      </c>
      <c r="BB149" s="4" t="s">
        <v>776</v>
      </c>
    </row>
    <row r="150" spans="12:84">
      <c r="L150" s="4" t="s">
        <v>278</v>
      </c>
      <c r="M150" s="4" t="s">
        <v>104</v>
      </c>
      <c r="N150" s="4" t="s">
        <v>308</v>
      </c>
      <c r="Q150" s="4" t="s">
        <v>278</v>
      </c>
      <c r="R150" s="4" t="s">
        <v>298</v>
      </c>
      <c r="S150" s="4" t="s">
        <v>308</v>
      </c>
      <c r="AA150" s="4" t="s">
        <v>278</v>
      </c>
      <c r="AB150" s="4" t="s">
        <v>441</v>
      </c>
      <c r="AC150" s="4" t="s">
        <v>308</v>
      </c>
      <c r="AP150" s="4" t="s">
        <v>338</v>
      </c>
      <c r="AQ150" s="4" t="s">
        <v>360</v>
      </c>
      <c r="AR150" s="4" t="s">
        <v>632</v>
      </c>
      <c r="AZ150" s="4" t="s">
        <v>278</v>
      </c>
      <c r="BA150" s="4" t="s">
        <v>441</v>
      </c>
      <c r="BB150" s="4" t="s">
        <v>777</v>
      </c>
    </row>
    <row r="151" spans="12:84">
      <c r="L151" s="4" t="s">
        <v>280</v>
      </c>
      <c r="M151" s="4" t="s">
        <v>32</v>
      </c>
      <c r="N151" s="4" t="s">
        <v>281</v>
      </c>
      <c r="Q151" s="4" t="s">
        <v>280</v>
      </c>
      <c r="R151" s="4" t="s">
        <v>289</v>
      </c>
      <c r="S151" s="4" t="s">
        <v>281</v>
      </c>
      <c r="AA151" s="4" t="s">
        <v>280</v>
      </c>
      <c r="AB151" s="4" t="s">
        <v>345</v>
      </c>
      <c r="AC151" s="4" t="s">
        <v>281</v>
      </c>
      <c r="AP151" s="4" t="s">
        <v>284</v>
      </c>
      <c r="AQ151" s="4" t="s">
        <v>441</v>
      </c>
      <c r="AR151" s="4" t="s">
        <v>632</v>
      </c>
      <c r="AZ151" s="4" t="s">
        <v>280</v>
      </c>
      <c r="BA151" s="4" t="s">
        <v>345</v>
      </c>
      <c r="BB151" s="4" t="s">
        <v>778</v>
      </c>
    </row>
    <row r="152" spans="12:84">
      <c r="L152" s="4" t="s">
        <v>282</v>
      </c>
      <c r="M152" s="4" t="s">
        <v>32</v>
      </c>
      <c r="N152" s="4" t="s">
        <v>283</v>
      </c>
      <c r="Q152" s="4" t="s">
        <v>282</v>
      </c>
      <c r="R152" s="4" t="s">
        <v>289</v>
      </c>
      <c r="S152" s="4" t="s">
        <v>283</v>
      </c>
      <c r="AA152" s="4" t="s">
        <v>282</v>
      </c>
      <c r="AB152" s="4" t="s">
        <v>345</v>
      </c>
      <c r="AC152" s="4" t="s">
        <v>283</v>
      </c>
      <c r="AZ152" s="4" t="s">
        <v>282</v>
      </c>
      <c r="BA152" s="4" t="s">
        <v>345</v>
      </c>
      <c r="BB152" s="4" t="s">
        <v>779</v>
      </c>
    </row>
    <row r="153" spans="12:84">
      <c r="L153" s="4" t="s">
        <v>336</v>
      </c>
      <c r="M153" s="4" t="s">
        <v>32</v>
      </c>
      <c r="N153" s="4" t="s">
        <v>311</v>
      </c>
      <c r="Q153" s="4" t="s">
        <v>336</v>
      </c>
      <c r="R153" s="4" t="s">
        <v>289</v>
      </c>
      <c r="S153" s="4" t="s">
        <v>311</v>
      </c>
      <c r="AA153" s="4" t="s">
        <v>336</v>
      </c>
      <c r="AB153" s="4" t="s">
        <v>345</v>
      </c>
      <c r="AC153" s="4" t="s">
        <v>442</v>
      </c>
      <c r="AZ153" s="4" t="s">
        <v>336</v>
      </c>
      <c r="BA153" s="4" t="s">
        <v>345</v>
      </c>
      <c r="BB153" s="4" t="s">
        <v>632</v>
      </c>
    </row>
    <row r="154" spans="12:84">
      <c r="L154" s="4" t="s">
        <v>337</v>
      </c>
      <c r="M154" s="4" t="s">
        <v>104</v>
      </c>
      <c r="N154" s="4" t="s">
        <v>311</v>
      </c>
      <c r="Q154" s="4" t="s">
        <v>337</v>
      </c>
      <c r="R154" s="4" t="s">
        <v>298</v>
      </c>
      <c r="S154" s="4" t="s">
        <v>311</v>
      </c>
      <c r="AA154" s="4" t="s">
        <v>337</v>
      </c>
      <c r="AB154" s="4" t="s">
        <v>441</v>
      </c>
      <c r="AC154" s="4" t="s">
        <v>442</v>
      </c>
      <c r="AZ154" s="4" t="s">
        <v>337</v>
      </c>
      <c r="BA154" s="4" t="s">
        <v>441</v>
      </c>
      <c r="BB154" s="4" t="s">
        <v>632</v>
      </c>
    </row>
    <row r="155" spans="12:84">
      <c r="L155" s="4" t="s">
        <v>338</v>
      </c>
      <c r="M155" s="4" t="s">
        <v>32</v>
      </c>
      <c r="N155" s="4" t="s">
        <v>311</v>
      </c>
      <c r="Q155" s="4" t="s">
        <v>338</v>
      </c>
      <c r="R155" s="4" t="s">
        <v>289</v>
      </c>
      <c r="S155" s="4" t="s">
        <v>311</v>
      </c>
      <c r="AA155" s="4" t="s">
        <v>338</v>
      </c>
      <c r="AB155" s="4" t="s">
        <v>345</v>
      </c>
      <c r="AC155" s="4" t="s">
        <v>442</v>
      </c>
      <c r="AZ155" s="4" t="s">
        <v>338</v>
      </c>
      <c r="BA155" s="4" t="s">
        <v>345</v>
      </c>
      <c r="BB155" s="4" t="s">
        <v>632</v>
      </c>
    </row>
    <row r="156" spans="12:84">
      <c r="L156" s="4" t="s">
        <v>284</v>
      </c>
      <c r="M156" s="4" t="s">
        <v>104</v>
      </c>
      <c r="N156" s="4" t="s">
        <v>30</v>
      </c>
      <c r="Q156" s="4" t="s">
        <v>284</v>
      </c>
      <c r="R156" s="4" t="s">
        <v>298</v>
      </c>
      <c r="S156" s="4" t="s">
        <v>30</v>
      </c>
      <c r="AA156" s="4" t="s">
        <v>284</v>
      </c>
      <c r="AB156" s="4" t="s">
        <v>345</v>
      </c>
      <c r="AC156" s="4" t="s">
        <v>30</v>
      </c>
      <c r="AZ156" s="4" t="s">
        <v>284</v>
      </c>
      <c r="BA156" s="4" t="s">
        <v>441</v>
      </c>
      <c r="BB156" s="4" t="s">
        <v>732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8642-1D92-4A54-A576-58A70737F446}">
  <dimension ref="B1:DT156"/>
  <sheetViews>
    <sheetView topLeftCell="CO1" workbookViewId="0">
      <selection activeCell="CZ1" sqref="CZ1"/>
    </sheetView>
  </sheetViews>
  <sheetFormatPr defaultRowHeight="18.75"/>
  <cols>
    <col min="1" max="16384" width="9" style="4"/>
  </cols>
  <sheetData>
    <row r="1" spans="2:124">
      <c r="B1" s="4" t="s">
        <v>2</v>
      </c>
    </row>
    <row r="2" spans="2:124">
      <c r="B2" s="4" t="s">
        <v>8</v>
      </c>
      <c r="G2" s="4" t="s">
        <v>7</v>
      </c>
      <c r="L2" s="4" t="s">
        <v>309</v>
      </c>
      <c r="Q2" s="4" t="s">
        <v>9</v>
      </c>
      <c r="V2" s="4" t="s">
        <v>10</v>
      </c>
      <c r="AA2" s="4" t="s">
        <v>3</v>
      </c>
      <c r="AF2" s="4" t="s">
        <v>459</v>
      </c>
      <c r="AK2" s="4" t="s">
        <v>613</v>
      </c>
      <c r="AP2" s="4" t="s">
        <v>4</v>
      </c>
      <c r="AU2" s="4" t="s">
        <v>6</v>
      </c>
      <c r="AZ2" s="4" t="s">
        <v>731</v>
      </c>
      <c r="BE2" s="4" t="s">
        <v>780</v>
      </c>
      <c r="BJ2" s="4" t="s">
        <v>791</v>
      </c>
      <c r="BO2" s="4" t="s">
        <v>837</v>
      </c>
      <c r="BT2" s="4" t="s">
        <v>13</v>
      </c>
      <c r="BY2" s="4" t="s">
        <v>14</v>
      </c>
      <c r="CD2" s="4" t="s">
        <v>966</v>
      </c>
      <c r="CI2" s="4" t="s">
        <v>1034</v>
      </c>
      <c r="CN2" s="4" t="s">
        <v>1067</v>
      </c>
      <c r="CS2" s="4" t="s">
        <v>1068</v>
      </c>
      <c r="CX2" s="4" t="s">
        <v>5</v>
      </c>
      <c r="DC2" s="4" t="s">
        <v>12</v>
      </c>
      <c r="DH2" s="4" t="s">
        <v>1329</v>
      </c>
      <c r="DM2" s="4" t="s">
        <v>11</v>
      </c>
      <c r="DR2" s="4" t="s">
        <v>1396</v>
      </c>
    </row>
    <row r="4" spans="2:124">
      <c r="B4" s="4" t="s">
        <v>20</v>
      </c>
      <c r="C4" s="4" t="s">
        <v>21</v>
      </c>
      <c r="D4" s="4" t="s">
        <v>22</v>
      </c>
      <c r="G4" s="4" t="s">
        <v>20</v>
      </c>
      <c r="H4" s="4" t="s">
        <v>285</v>
      </c>
      <c r="I4" s="4" t="s">
        <v>22</v>
      </c>
      <c r="L4" s="4" t="s">
        <v>310</v>
      </c>
      <c r="M4" s="4" t="s">
        <v>104</v>
      </c>
      <c r="N4" s="4" t="s">
        <v>311</v>
      </c>
      <c r="Q4" s="4" t="s">
        <v>310</v>
      </c>
      <c r="R4" s="4" t="s">
        <v>298</v>
      </c>
      <c r="S4" s="4" t="s">
        <v>311</v>
      </c>
      <c r="V4" s="4" t="s">
        <v>310</v>
      </c>
      <c r="W4" s="4" t="s">
        <v>345</v>
      </c>
      <c r="X4" s="4" t="s">
        <v>30</v>
      </c>
      <c r="AA4" s="4" t="s">
        <v>310</v>
      </c>
      <c r="AB4" s="4" t="s">
        <v>441</v>
      </c>
      <c r="AC4" s="4" t="s">
        <v>442</v>
      </c>
      <c r="AF4" s="4" t="s">
        <v>310</v>
      </c>
      <c r="AG4" s="4" t="s">
        <v>345</v>
      </c>
      <c r="AH4" s="4" t="s">
        <v>30</v>
      </c>
      <c r="AK4" s="4" t="s">
        <v>20</v>
      </c>
      <c r="AL4" s="4" t="s">
        <v>441</v>
      </c>
      <c r="AM4" s="4" t="s">
        <v>30</v>
      </c>
      <c r="AP4" s="4" t="s">
        <v>310</v>
      </c>
      <c r="AQ4" s="4" t="s">
        <v>346</v>
      </c>
      <c r="AR4" s="4" t="s">
        <v>632</v>
      </c>
      <c r="AU4" s="4" t="s">
        <v>310</v>
      </c>
      <c r="AV4" s="4" t="s">
        <v>346</v>
      </c>
      <c r="AW4" s="4" t="s">
        <v>632</v>
      </c>
      <c r="AZ4" s="4" t="s">
        <v>310</v>
      </c>
      <c r="BA4" s="4" t="s">
        <v>441</v>
      </c>
      <c r="BB4" s="4" t="s">
        <v>632</v>
      </c>
      <c r="BE4" s="4" t="s">
        <v>310</v>
      </c>
      <c r="BF4" s="4" t="s">
        <v>345</v>
      </c>
      <c r="BG4" s="4" t="s">
        <v>632</v>
      </c>
      <c r="BJ4" s="4" t="s">
        <v>1033</v>
      </c>
      <c r="BK4" s="4" t="s">
        <v>441</v>
      </c>
      <c r="BL4" s="4" t="s">
        <v>732</v>
      </c>
      <c r="BO4" s="4" t="s">
        <v>1587</v>
      </c>
      <c r="BT4" s="4" t="s">
        <v>20</v>
      </c>
      <c r="BU4" s="4" t="s">
        <v>511</v>
      </c>
      <c r="BV4" s="4" t="s">
        <v>839</v>
      </c>
      <c r="BY4" s="4" t="s">
        <v>310</v>
      </c>
      <c r="BZ4" s="4" t="s">
        <v>345</v>
      </c>
      <c r="CA4" s="4" t="s">
        <v>632</v>
      </c>
      <c r="CD4" s="4" t="s">
        <v>20</v>
      </c>
      <c r="CE4" s="4" t="s">
        <v>438</v>
      </c>
      <c r="CF4" s="4" t="s">
        <v>967</v>
      </c>
      <c r="CI4" s="4" t="s">
        <v>310</v>
      </c>
      <c r="CJ4" s="4" t="s">
        <v>346</v>
      </c>
      <c r="CK4" s="4" t="s">
        <v>632</v>
      </c>
      <c r="CN4" s="4" t="s">
        <v>310</v>
      </c>
      <c r="CO4" s="4" t="s">
        <v>346</v>
      </c>
      <c r="CP4" s="4" t="s">
        <v>632</v>
      </c>
      <c r="CS4" s="4" t="s">
        <v>310</v>
      </c>
      <c r="CT4" s="4" t="s">
        <v>289</v>
      </c>
      <c r="CU4" s="4" t="s">
        <v>632</v>
      </c>
      <c r="CX4" s="4" t="s">
        <v>20</v>
      </c>
      <c r="CY4" s="4" t="s">
        <v>1076</v>
      </c>
      <c r="CZ4" s="4" t="s">
        <v>1080</v>
      </c>
      <c r="DC4" s="4" t="s">
        <v>20</v>
      </c>
      <c r="DD4" s="4" t="s">
        <v>346</v>
      </c>
      <c r="DE4" s="4" t="s">
        <v>1280</v>
      </c>
      <c r="DM4" s="4" t="s">
        <v>310</v>
      </c>
      <c r="DN4" s="4" t="s">
        <v>445</v>
      </c>
      <c r="DO4" s="4" t="s">
        <v>632</v>
      </c>
      <c r="DR4" s="4" t="s">
        <v>310</v>
      </c>
      <c r="DS4" s="4" t="s">
        <v>345</v>
      </c>
      <c r="DT4" s="4" t="s">
        <v>632</v>
      </c>
    </row>
    <row r="5" spans="2:124">
      <c r="B5" s="4" t="s">
        <v>23</v>
      </c>
      <c r="C5" s="4" t="s">
        <v>24</v>
      </c>
      <c r="D5" s="4" t="s">
        <v>25</v>
      </c>
      <c r="G5" s="4" t="s">
        <v>23</v>
      </c>
      <c r="H5" s="4" t="s">
        <v>286</v>
      </c>
      <c r="I5" s="4" t="s">
        <v>25</v>
      </c>
      <c r="L5" s="4" t="s">
        <v>312</v>
      </c>
      <c r="M5" s="4" t="s">
        <v>104</v>
      </c>
      <c r="N5" s="4" t="s">
        <v>311</v>
      </c>
      <c r="Q5" s="4" t="s">
        <v>312</v>
      </c>
      <c r="R5" s="4" t="s">
        <v>298</v>
      </c>
      <c r="S5" s="4" t="s">
        <v>311</v>
      </c>
      <c r="V5" s="4" t="s">
        <v>318</v>
      </c>
      <c r="W5" s="4" t="s">
        <v>346</v>
      </c>
      <c r="X5" s="4" t="s">
        <v>30</v>
      </c>
      <c r="AA5" s="4" t="s">
        <v>312</v>
      </c>
      <c r="AB5" s="4" t="s">
        <v>441</v>
      </c>
      <c r="AC5" s="4" t="s">
        <v>442</v>
      </c>
      <c r="AF5" s="4" t="s">
        <v>318</v>
      </c>
      <c r="AG5" s="4" t="s">
        <v>346</v>
      </c>
      <c r="AH5" s="4" t="s">
        <v>30</v>
      </c>
      <c r="AK5" s="4" t="s">
        <v>23</v>
      </c>
      <c r="AL5" s="4" t="s">
        <v>441</v>
      </c>
      <c r="AM5" s="4" t="s">
        <v>30</v>
      </c>
      <c r="AP5" s="4" t="s">
        <v>312</v>
      </c>
      <c r="AQ5" s="4" t="s">
        <v>441</v>
      </c>
      <c r="AR5" s="4" t="s">
        <v>632</v>
      </c>
      <c r="AU5" s="4" t="s">
        <v>318</v>
      </c>
      <c r="AV5" s="4" t="s">
        <v>441</v>
      </c>
      <c r="AW5" s="4" t="s">
        <v>632</v>
      </c>
      <c r="AZ5" s="4" t="s">
        <v>312</v>
      </c>
      <c r="BA5" s="4" t="s">
        <v>441</v>
      </c>
      <c r="BB5" s="4" t="s">
        <v>632</v>
      </c>
      <c r="BE5" s="4" t="s">
        <v>318</v>
      </c>
      <c r="BF5" s="4" t="s">
        <v>345</v>
      </c>
      <c r="BG5" s="4" t="s">
        <v>632</v>
      </c>
      <c r="BJ5" s="4" t="s">
        <v>23</v>
      </c>
      <c r="BK5" s="4" t="s">
        <v>441</v>
      </c>
      <c r="BL5" s="4" t="s">
        <v>732</v>
      </c>
      <c r="BT5" s="4" t="s">
        <v>23</v>
      </c>
      <c r="BU5" s="4" t="s">
        <v>438</v>
      </c>
      <c r="BV5" s="4" t="s">
        <v>840</v>
      </c>
      <c r="BY5" s="4" t="s">
        <v>318</v>
      </c>
      <c r="BZ5" s="4" t="s">
        <v>345</v>
      </c>
      <c r="CA5" s="4" t="s">
        <v>632</v>
      </c>
      <c r="CD5" s="4" t="s">
        <v>23</v>
      </c>
      <c r="CE5" s="4" t="s">
        <v>397</v>
      </c>
      <c r="CF5" s="4" t="s">
        <v>968</v>
      </c>
      <c r="CI5" s="4" t="s">
        <v>318</v>
      </c>
      <c r="CJ5" s="4" t="s">
        <v>434</v>
      </c>
      <c r="CK5" s="4" t="s">
        <v>632</v>
      </c>
      <c r="CN5" s="4" t="s">
        <v>318</v>
      </c>
      <c r="CO5" s="4" t="s">
        <v>434</v>
      </c>
      <c r="CP5" s="4" t="s">
        <v>632</v>
      </c>
      <c r="CS5" s="4" t="s">
        <v>318</v>
      </c>
      <c r="CT5" s="4" t="s">
        <v>513</v>
      </c>
      <c r="CU5" s="4" t="s">
        <v>632</v>
      </c>
      <c r="CX5" s="4" t="s">
        <v>23</v>
      </c>
      <c r="CY5" s="4" t="s">
        <v>1588</v>
      </c>
      <c r="CZ5" s="4" t="s">
        <v>1082</v>
      </c>
      <c r="DC5" s="4" t="s">
        <v>23</v>
      </c>
      <c r="DD5" s="4" t="s">
        <v>441</v>
      </c>
      <c r="DE5" s="4" t="s">
        <v>1281</v>
      </c>
      <c r="DM5" s="4" t="s">
        <v>318</v>
      </c>
      <c r="DN5" s="4" t="s">
        <v>346</v>
      </c>
      <c r="DO5" s="4" t="s">
        <v>632</v>
      </c>
      <c r="DR5" s="4" t="s">
        <v>318</v>
      </c>
      <c r="DS5" s="4" t="s">
        <v>346</v>
      </c>
      <c r="DT5" s="4" t="s">
        <v>632</v>
      </c>
    </row>
    <row r="6" spans="2:124">
      <c r="B6" s="4" t="s">
        <v>26</v>
      </c>
      <c r="C6" s="4" t="s">
        <v>27</v>
      </c>
      <c r="D6" s="4" t="s">
        <v>25</v>
      </c>
      <c r="G6" s="4" t="s">
        <v>26</v>
      </c>
      <c r="H6" s="4" t="s">
        <v>287</v>
      </c>
      <c r="I6" s="4" t="s">
        <v>25</v>
      </c>
      <c r="L6" s="4" t="s">
        <v>313</v>
      </c>
      <c r="M6" s="4" t="s">
        <v>104</v>
      </c>
      <c r="N6" s="4" t="s">
        <v>311</v>
      </c>
      <c r="Q6" s="4" t="s">
        <v>313</v>
      </c>
      <c r="R6" s="4" t="s">
        <v>298</v>
      </c>
      <c r="S6" s="4" t="s">
        <v>311</v>
      </c>
      <c r="V6" s="4" t="s">
        <v>20</v>
      </c>
      <c r="W6" s="4" t="s">
        <v>347</v>
      </c>
      <c r="X6" s="4" t="s">
        <v>22</v>
      </c>
      <c r="AA6" s="4" t="s">
        <v>313</v>
      </c>
      <c r="AB6" s="4" t="s">
        <v>441</v>
      </c>
      <c r="AC6" s="4" t="s">
        <v>442</v>
      </c>
      <c r="AF6" s="4" t="s">
        <v>20</v>
      </c>
      <c r="AG6" s="4" t="s">
        <v>460</v>
      </c>
      <c r="AH6" s="4" t="s">
        <v>461</v>
      </c>
      <c r="AK6" s="4" t="s">
        <v>26</v>
      </c>
      <c r="AL6" s="4" t="s">
        <v>441</v>
      </c>
      <c r="AM6" s="4" t="s">
        <v>30</v>
      </c>
      <c r="AP6" s="4" t="s">
        <v>313</v>
      </c>
      <c r="AQ6" s="4" t="s">
        <v>441</v>
      </c>
      <c r="AR6" s="4" t="s">
        <v>632</v>
      </c>
      <c r="AU6" s="4" t="s">
        <v>20</v>
      </c>
      <c r="AV6" s="4" t="s">
        <v>377</v>
      </c>
      <c r="AW6" s="4" t="s">
        <v>727</v>
      </c>
      <c r="AZ6" s="4" t="s">
        <v>313</v>
      </c>
      <c r="BA6" s="4" t="s">
        <v>441</v>
      </c>
      <c r="BB6" s="4" t="s">
        <v>632</v>
      </c>
      <c r="BE6" s="4" t="s">
        <v>20</v>
      </c>
      <c r="BF6" s="4" t="s">
        <v>438</v>
      </c>
      <c r="BG6" s="4" t="s">
        <v>781</v>
      </c>
      <c r="BJ6" s="4" t="s">
        <v>26</v>
      </c>
      <c r="BK6" s="4" t="s">
        <v>441</v>
      </c>
      <c r="BL6" s="4" t="s">
        <v>732</v>
      </c>
      <c r="BT6" s="4" t="s">
        <v>26</v>
      </c>
      <c r="BU6" s="4" t="s">
        <v>555</v>
      </c>
      <c r="BV6" s="4" t="s">
        <v>841</v>
      </c>
      <c r="BY6" s="4" t="s">
        <v>20</v>
      </c>
      <c r="BZ6" s="4" t="s">
        <v>104</v>
      </c>
      <c r="CA6" s="4" t="s">
        <v>962</v>
      </c>
      <c r="CD6" s="4" t="s">
        <v>26</v>
      </c>
      <c r="CE6" s="4" t="s">
        <v>969</v>
      </c>
      <c r="CF6" s="4" t="s">
        <v>970</v>
      </c>
      <c r="CI6" s="4" t="s">
        <v>20</v>
      </c>
      <c r="CJ6" s="4" t="s">
        <v>563</v>
      </c>
      <c r="CK6" s="4" t="s">
        <v>1035</v>
      </c>
      <c r="CN6" s="4" t="s">
        <v>20</v>
      </c>
      <c r="CO6" s="4" t="s">
        <v>563</v>
      </c>
      <c r="CP6" s="4" t="s">
        <v>1035</v>
      </c>
      <c r="CS6" s="4" t="s">
        <v>20</v>
      </c>
      <c r="CT6" s="4" t="s">
        <v>1069</v>
      </c>
      <c r="CU6" s="4" t="s">
        <v>1035</v>
      </c>
      <c r="CX6" s="4" t="s">
        <v>34</v>
      </c>
      <c r="CY6" s="4" t="s">
        <v>1589</v>
      </c>
      <c r="CZ6" s="4" t="s">
        <v>1085</v>
      </c>
      <c r="DC6" s="4" t="s">
        <v>26</v>
      </c>
      <c r="DD6" s="4" t="s">
        <v>345</v>
      </c>
      <c r="DE6" s="4" t="s">
        <v>1281</v>
      </c>
      <c r="DM6" s="4" t="s">
        <v>20</v>
      </c>
      <c r="DN6" s="4" t="s">
        <v>555</v>
      </c>
      <c r="DO6" s="4" t="s">
        <v>1383</v>
      </c>
      <c r="DR6" s="4" t="s">
        <v>20</v>
      </c>
      <c r="DS6" s="4" t="s">
        <v>460</v>
      </c>
      <c r="DT6" s="4" t="s">
        <v>1397</v>
      </c>
    </row>
    <row r="7" spans="2:124">
      <c r="B7" s="4" t="s">
        <v>28</v>
      </c>
      <c r="C7" s="4" t="s">
        <v>29</v>
      </c>
      <c r="D7" s="4" t="s">
        <v>30</v>
      </c>
      <c r="G7" s="4" t="s">
        <v>28</v>
      </c>
      <c r="H7" s="4" t="s">
        <v>288</v>
      </c>
      <c r="I7" s="4" t="s">
        <v>30</v>
      </c>
      <c r="L7" s="4" t="s">
        <v>314</v>
      </c>
      <c r="M7" s="4" t="s">
        <v>104</v>
      </c>
      <c r="N7" s="4" t="s">
        <v>311</v>
      </c>
      <c r="Q7" s="4" t="s">
        <v>314</v>
      </c>
      <c r="R7" s="4" t="s">
        <v>298</v>
      </c>
      <c r="S7" s="4" t="s">
        <v>311</v>
      </c>
      <c r="V7" s="4" t="s">
        <v>23</v>
      </c>
      <c r="W7" s="4" t="s">
        <v>348</v>
      </c>
      <c r="X7" s="4" t="s">
        <v>349</v>
      </c>
      <c r="AA7" s="4" t="s">
        <v>314</v>
      </c>
      <c r="AB7" s="4" t="s">
        <v>441</v>
      </c>
      <c r="AC7" s="4" t="s">
        <v>442</v>
      </c>
      <c r="AF7" s="4" t="s">
        <v>23</v>
      </c>
      <c r="AG7" s="4" t="s">
        <v>462</v>
      </c>
      <c r="AH7" s="4" t="s">
        <v>463</v>
      </c>
      <c r="AK7" s="4" t="s">
        <v>28</v>
      </c>
      <c r="AL7" s="4" t="s">
        <v>441</v>
      </c>
      <c r="AM7" s="4" t="s">
        <v>30</v>
      </c>
      <c r="AP7" s="4" t="s">
        <v>314</v>
      </c>
      <c r="AQ7" s="4" t="s">
        <v>441</v>
      </c>
      <c r="AR7" s="4" t="s">
        <v>632</v>
      </c>
      <c r="AU7" s="4" t="s">
        <v>99</v>
      </c>
      <c r="AV7" s="4" t="s">
        <v>728</v>
      </c>
      <c r="AW7" s="4" t="s">
        <v>729</v>
      </c>
      <c r="AZ7" s="4" t="s">
        <v>314</v>
      </c>
      <c r="BA7" s="4" t="s">
        <v>441</v>
      </c>
      <c r="BB7" s="4" t="s">
        <v>632</v>
      </c>
      <c r="BE7" s="4" t="s">
        <v>23</v>
      </c>
      <c r="BF7" s="4" t="s">
        <v>444</v>
      </c>
      <c r="BG7" s="4" t="s">
        <v>634</v>
      </c>
      <c r="BJ7" s="4" t="s">
        <v>28</v>
      </c>
      <c r="BK7" s="4" t="s">
        <v>441</v>
      </c>
      <c r="BL7" s="4" t="s">
        <v>792</v>
      </c>
      <c r="BT7" s="4" t="s">
        <v>28</v>
      </c>
      <c r="BU7" s="4" t="s">
        <v>842</v>
      </c>
      <c r="BV7" s="4" t="s">
        <v>843</v>
      </c>
      <c r="BY7" s="4" t="s">
        <v>23</v>
      </c>
      <c r="BZ7" s="4" t="s">
        <v>434</v>
      </c>
      <c r="CA7" s="4" t="s">
        <v>634</v>
      </c>
      <c r="CD7" s="4" t="s">
        <v>28</v>
      </c>
      <c r="CE7" s="4" t="s">
        <v>521</v>
      </c>
      <c r="CF7" s="4" t="s">
        <v>30</v>
      </c>
      <c r="CI7" s="4" t="s">
        <v>23</v>
      </c>
      <c r="CJ7" s="4" t="s">
        <v>298</v>
      </c>
      <c r="CK7" s="4" t="s">
        <v>1036</v>
      </c>
      <c r="CN7" s="4" t="s">
        <v>23</v>
      </c>
      <c r="CO7" s="4" t="s">
        <v>298</v>
      </c>
      <c r="CP7" s="4" t="s">
        <v>1036</v>
      </c>
      <c r="CS7" s="4" t="s">
        <v>23</v>
      </c>
      <c r="CT7" s="4" t="s">
        <v>361</v>
      </c>
      <c r="CU7" s="4" t="s">
        <v>1036</v>
      </c>
      <c r="CX7" s="4" t="s">
        <v>37</v>
      </c>
      <c r="CY7" s="4" t="s">
        <v>1590</v>
      </c>
      <c r="CZ7" s="4" t="s">
        <v>1087</v>
      </c>
      <c r="DC7" s="4" t="s">
        <v>28</v>
      </c>
      <c r="DD7" s="4" t="s">
        <v>441</v>
      </c>
      <c r="DE7" s="4" t="s">
        <v>1281</v>
      </c>
      <c r="DM7" s="4" t="s">
        <v>23</v>
      </c>
      <c r="DN7" s="4" t="s">
        <v>444</v>
      </c>
      <c r="DO7" s="4" t="s">
        <v>634</v>
      </c>
      <c r="DR7" s="4" t="s">
        <v>23</v>
      </c>
      <c r="DS7" s="4" t="s">
        <v>462</v>
      </c>
      <c r="DT7" s="4" t="s">
        <v>1398</v>
      </c>
    </row>
    <row r="8" spans="2:124">
      <c r="B8" s="4" t="s">
        <v>31</v>
      </c>
      <c r="C8" s="4" t="s">
        <v>32</v>
      </c>
      <c r="D8" s="4" t="s">
        <v>33</v>
      </c>
      <c r="G8" s="4" t="s">
        <v>31</v>
      </c>
      <c r="H8" s="4" t="s">
        <v>289</v>
      </c>
      <c r="I8" s="4" t="s">
        <v>33</v>
      </c>
      <c r="L8" s="4" t="s">
        <v>315</v>
      </c>
      <c r="M8" s="4" t="s">
        <v>104</v>
      </c>
      <c r="N8" s="4" t="s">
        <v>311</v>
      </c>
      <c r="Q8" s="4" t="s">
        <v>315</v>
      </c>
      <c r="R8" s="4" t="s">
        <v>298</v>
      </c>
      <c r="S8" s="4" t="s">
        <v>311</v>
      </c>
      <c r="V8" s="4" t="s">
        <v>26</v>
      </c>
      <c r="W8" s="4" t="s">
        <v>350</v>
      </c>
      <c r="X8" s="4" t="s">
        <v>30</v>
      </c>
      <c r="AA8" s="4" t="s">
        <v>315</v>
      </c>
      <c r="AB8" s="4" t="s">
        <v>441</v>
      </c>
      <c r="AC8" s="4" t="s">
        <v>442</v>
      </c>
      <c r="AF8" s="4" t="s">
        <v>26</v>
      </c>
      <c r="AG8" s="4" t="s">
        <v>436</v>
      </c>
      <c r="AH8" s="4" t="s">
        <v>464</v>
      </c>
      <c r="AK8" s="4" t="s">
        <v>31</v>
      </c>
      <c r="AL8" s="4" t="s">
        <v>441</v>
      </c>
      <c r="AM8" s="4" t="s">
        <v>321</v>
      </c>
      <c r="AP8" s="4" t="s">
        <v>315</v>
      </c>
      <c r="AQ8" s="4" t="s">
        <v>441</v>
      </c>
      <c r="AR8" s="4" t="s">
        <v>632</v>
      </c>
      <c r="AU8" s="4" t="s">
        <v>336</v>
      </c>
      <c r="AV8" s="4" t="s">
        <v>730</v>
      </c>
      <c r="AW8" s="4" t="s">
        <v>632</v>
      </c>
      <c r="AZ8" s="4" t="s">
        <v>315</v>
      </c>
      <c r="BA8" s="4" t="s">
        <v>441</v>
      </c>
      <c r="BB8" s="4" t="s">
        <v>632</v>
      </c>
      <c r="BE8" s="4" t="s">
        <v>26</v>
      </c>
      <c r="BF8" s="4" t="s">
        <v>445</v>
      </c>
      <c r="BG8" s="4" t="s">
        <v>634</v>
      </c>
      <c r="BJ8" s="4" t="s">
        <v>31</v>
      </c>
      <c r="BK8" s="4" t="s">
        <v>441</v>
      </c>
      <c r="BL8" s="4" t="s">
        <v>793</v>
      </c>
      <c r="BT8" s="4" t="s">
        <v>31</v>
      </c>
      <c r="BU8" s="4" t="s">
        <v>346</v>
      </c>
      <c r="BV8" s="4" t="s">
        <v>844</v>
      </c>
      <c r="BY8" s="4" t="s">
        <v>26</v>
      </c>
      <c r="BZ8" s="4" t="s">
        <v>441</v>
      </c>
      <c r="CA8" s="4" t="s">
        <v>634</v>
      </c>
      <c r="CD8" s="4" t="s">
        <v>31</v>
      </c>
      <c r="CE8" s="4" t="s">
        <v>346</v>
      </c>
      <c r="CF8" s="4" t="s">
        <v>971</v>
      </c>
      <c r="CI8" s="4" t="s">
        <v>28</v>
      </c>
      <c r="CJ8" s="4" t="s">
        <v>441</v>
      </c>
      <c r="CK8" s="4" t="s">
        <v>1037</v>
      </c>
      <c r="CN8" s="4" t="s">
        <v>28</v>
      </c>
      <c r="CO8" s="4" t="s">
        <v>441</v>
      </c>
      <c r="CP8" s="4" t="s">
        <v>1037</v>
      </c>
      <c r="CS8" s="4" t="s">
        <v>28</v>
      </c>
      <c r="CT8" s="4" t="s">
        <v>360</v>
      </c>
      <c r="CU8" s="4" t="s">
        <v>1037</v>
      </c>
      <c r="CX8" s="4" t="s">
        <v>42</v>
      </c>
      <c r="CY8" s="4" t="s">
        <v>1591</v>
      </c>
      <c r="CZ8" s="4" t="s">
        <v>1089</v>
      </c>
      <c r="DC8" s="4" t="s">
        <v>31</v>
      </c>
      <c r="DD8" s="4" t="s">
        <v>345</v>
      </c>
      <c r="DE8" s="4" t="s">
        <v>1282</v>
      </c>
      <c r="DM8" s="4" t="s">
        <v>26</v>
      </c>
      <c r="DN8" s="4" t="s">
        <v>603</v>
      </c>
      <c r="DO8" s="4" t="s">
        <v>634</v>
      </c>
      <c r="DR8" s="4" t="s">
        <v>26</v>
      </c>
      <c r="DS8" s="4" t="s">
        <v>436</v>
      </c>
      <c r="DT8" s="4" t="s">
        <v>1399</v>
      </c>
    </row>
    <row r="9" spans="2:124">
      <c r="B9" s="4" t="s">
        <v>34</v>
      </c>
      <c r="C9" s="4" t="s">
        <v>35</v>
      </c>
      <c r="D9" s="4" t="s">
        <v>36</v>
      </c>
      <c r="G9" s="4" t="s">
        <v>34</v>
      </c>
      <c r="H9" s="4" t="s">
        <v>290</v>
      </c>
      <c r="I9" s="4" t="s">
        <v>36</v>
      </c>
      <c r="L9" s="4" t="s">
        <v>316</v>
      </c>
      <c r="M9" s="4" t="s">
        <v>104</v>
      </c>
      <c r="N9" s="4" t="s">
        <v>311</v>
      </c>
      <c r="Q9" s="4" t="s">
        <v>316</v>
      </c>
      <c r="R9" s="4" t="s">
        <v>298</v>
      </c>
      <c r="S9" s="4" t="s">
        <v>311</v>
      </c>
      <c r="V9" s="4" t="s">
        <v>28</v>
      </c>
      <c r="W9" s="4" t="s">
        <v>351</v>
      </c>
      <c r="X9" s="4" t="s">
        <v>30</v>
      </c>
      <c r="AA9" s="4" t="s">
        <v>316</v>
      </c>
      <c r="AB9" s="4" t="s">
        <v>441</v>
      </c>
      <c r="AC9" s="4" t="s">
        <v>442</v>
      </c>
      <c r="AF9" s="4" t="s">
        <v>28</v>
      </c>
      <c r="AG9" s="4" t="s">
        <v>351</v>
      </c>
      <c r="AH9" s="4" t="s">
        <v>30</v>
      </c>
      <c r="AK9" s="4" t="s">
        <v>34</v>
      </c>
      <c r="AL9" s="4" t="s">
        <v>441</v>
      </c>
      <c r="AM9" s="4" t="s">
        <v>30</v>
      </c>
      <c r="AP9" s="4" t="s">
        <v>316</v>
      </c>
      <c r="AQ9" s="4" t="s">
        <v>441</v>
      </c>
      <c r="AR9" s="4" t="s">
        <v>632</v>
      </c>
      <c r="AU9" s="4" t="s">
        <v>337</v>
      </c>
      <c r="AV9" s="4" t="s">
        <v>450</v>
      </c>
      <c r="AW9" s="4" t="s">
        <v>632</v>
      </c>
      <c r="AZ9" s="4" t="s">
        <v>316</v>
      </c>
      <c r="BA9" s="4" t="s">
        <v>441</v>
      </c>
      <c r="BB9" s="4" t="s">
        <v>632</v>
      </c>
      <c r="BE9" s="4" t="s">
        <v>28</v>
      </c>
      <c r="BF9" s="4" t="s">
        <v>346</v>
      </c>
      <c r="BG9" s="4" t="s">
        <v>635</v>
      </c>
      <c r="BJ9" s="4" t="s">
        <v>34</v>
      </c>
      <c r="BK9" s="4" t="s">
        <v>441</v>
      </c>
      <c r="BL9" s="4" t="s">
        <v>732</v>
      </c>
      <c r="BT9" s="4" t="s">
        <v>34</v>
      </c>
      <c r="BU9" s="4" t="s">
        <v>845</v>
      </c>
      <c r="BV9" s="4" t="s">
        <v>846</v>
      </c>
      <c r="BY9" s="4" t="s">
        <v>28</v>
      </c>
      <c r="BZ9" s="4" t="s">
        <v>346</v>
      </c>
      <c r="CA9" s="4" t="s">
        <v>635</v>
      </c>
      <c r="CD9" s="4" t="s">
        <v>34</v>
      </c>
      <c r="CE9" s="4" t="s">
        <v>593</v>
      </c>
      <c r="CF9" s="4" t="s">
        <v>30</v>
      </c>
      <c r="CI9" s="4" t="s">
        <v>34</v>
      </c>
      <c r="CJ9" s="4" t="s">
        <v>1038</v>
      </c>
      <c r="CK9" s="4" t="s">
        <v>1039</v>
      </c>
      <c r="CN9" s="4" t="s">
        <v>34</v>
      </c>
      <c r="CO9" s="4" t="s">
        <v>1038</v>
      </c>
      <c r="CP9" s="4" t="s">
        <v>1039</v>
      </c>
      <c r="CS9" s="4" t="s">
        <v>34</v>
      </c>
      <c r="CT9" s="4" t="s">
        <v>1070</v>
      </c>
      <c r="CU9" s="4" t="s">
        <v>1039</v>
      </c>
      <c r="CX9" s="4" t="s">
        <v>48</v>
      </c>
      <c r="CY9" s="4" t="s">
        <v>1592</v>
      </c>
      <c r="CZ9" s="4" t="s">
        <v>1091</v>
      </c>
      <c r="DC9" s="4" t="s">
        <v>34</v>
      </c>
      <c r="DD9" s="4" t="s">
        <v>441</v>
      </c>
      <c r="DE9" s="4" t="s">
        <v>1281</v>
      </c>
      <c r="DM9" s="4" t="s">
        <v>28</v>
      </c>
      <c r="DN9" s="4" t="s">
        <v>346</v>
      </c>
      <c r="DO9" s="4" t="s">
        <v>635</v>
      </c>
      <c r="DR9" s="4" t="s">
        <v>28</v>
      </c>
      <c r="DS9" s="4" t="s">
        <v>351</v>
      </c>
      <c r="DT9" s="4" t="s">
        <v>1400</v>
      </c>
    </row>
    <row r="10" spans="2:124">
      <c r="B10" s="4" t="s">
        <v>37</v>
      </c>
      <c r="C10" s="4" t="s">
        <v>38</v>
      </c>
      <c r="D10" s="4" t="s">
        <v>39</v>
      </c>
      <c r="G10" s="4" t="s">
        <v>37</v>
      </c>
      <c r="H10" s="4" t="s">
        <v>291</v>
      </c>
      <c r="I10" s="4" t="s">
        <v>39</v>
      </c>
      <c r="L10" s="4" t="s">
        <v>317</v>
      </c>
      <c r="M10" s="4" t="s">
        <v>104</v>
      </c>
      <c r="N10" s="4" t="s">
        <v>311</v>
      </c>
      <c r="Q10" s="4" t="s">
        <v>317</v>
      </c>
      <c r="R10" s="4" t="s">
        <v>298</v>
      </c>
      <c r="S10" s="4" t="s">
        <v>311</v>
      </c>
      <c r="V10" s="4" t="s">
        <v>34</v>
      </c>
      <c r="W10" s="4" t="s">
        <v>352</v>
      </c>
      <c r="X10" s="4" t="s">
        <v>36</v>
      </c>
      <c r="AA10" s="4" t="s">
        <v>317</v>
      </c>
      <c r="AB10" s="4" t="s">
        <v>441</v>
      </c>
      <c r="AC10" s="4" t="s">
        <v>442</v>
      </c>
      <c r="AF10" s="4" t="s">
        <v>31</v>
      </c>
      <c r="AG10" s="4" t="s">
        <v>296</v>
      </c>
      <c r="AH10" s="4" t="s">
        <v>465</v>
      </c>
      <c r="AK10" s="4" t="s">
        <v>37</v>
      </c>
      <c r="AL10" s="4" t="s">
        <v>441</v>
      </c>
      <c r="AM10" s="4" t="s">
        <v>30</v>
      </c>
      <c r="AP10" s="4" t="s">
        <v>317</v>
      </c>
      <c r="AQ10" s="4" t="s">
        <v>441</v>
      </c>
      <c r="AR10" s="4" t="s">
        <v>632</v>
      </c>
      <c r="AU10" s="4" t="s">
        <v>338</v>
      </c>
      <c r="AV10" s="4" t="s">
        <v>289</v>
      </c>
      <c r="AW10" s="4" t="s">
        <v>632</v>
      </c>
      <c r="AZ10" s="4" t="s">
        <v>317</v>
      </c>
      <c r="BA10" s="4" t="s">
        <v>441</v>
      </c>
      <c r="BB10" s="4" t="s">
        <v>632</v>
      </c>
      <c r="BE10" s="4" t="s">
        <v>31</v>
      </c>
      <c r="BF10" s="4" t="s">
        <v>441</v>
      </c>
      <c r="BG10" s="4" t="s">
        <v>636</v>
      </c>
      <c r="BJ10" s="4" t="s">
        <v>37</v>
      </c>
      <c r="BK10" s="4" t="s">
        <v>441</v>
      </c>
      <c r="BL10" s="4" t="s">
        <v>732</v>
      </c>
      <c r="BT10" s="4" t="s">
        <v>37</v>
      </c>
      <c r="BU10" s="4" t="s">
        <v>847</v>
      </c>
      <c r="BV10" s="4" t="s">
        <v>848</v>
      </c>
      <c r="BY10" s="4" t="s">
        <v>31</v>
      </c>
      <c r="BZ10" s="4" t="s">
        <v>441</v>
      </c>
      <c r="CA10" s="4" t="s">
        <v>636</v>
      </c>
      <c r="CD10" s="4" t="s">
        <v>37</v>
      </c>
      <c r="CE10" s="4" t="s">
        <v>434</v>
      </c>
      <c r="CF10" s="4" t="s">
        <v>30</v>
      </c>
      <c r="CI10" s="4" t="s">
        <v>50</v>
      </c>
      <c r="CJ10" s="4" t="s">
        <v>298</v>
      </c>
      <c r="CK10" s="4" t="s">
        <v>632</v>
      </c>
      <c r="CN10" s="4" t="s">
        <v>50</v>
      </c>
      <c r="CO10" s="4" t="s">
        <v>298</v>
      </c>
      <c r="CP10" s="4" t="s">
        <v>632</v>
      </c>
      <c r="CS10" s="4" t="s">
        <v>50</v>
      </c>
      <c r="CT10" s="4" t="s">
        <v>898</v>
      </c>
      <c r="CU10" s="4" t="s">
        <v>632</v>
      </c>
      <c r="CX10" s="4" t="s">
        <v>50</v>
      </c>
      <c r="CY10" s="4" t="s">
        <v>1593</v>
      </c>
      <c r="CZ10" s="4" t="s">
        <v>1093</v>
      </c>
      <c r="DC10" s="4" t="s">
        <v>37</v>
      </c>
      <c r="DD10" s="4" t="s">
        <v>441</v>
      </c>
      <c r="DE10" s="4" t="s">
        <v>1281</v>
      </c>
      <c r="DM10" s="4" t="s">
        <v>31</v>
      </c>
      <c r="DN10" s="4" t="s">
        <v>441</v>
      </c>
      <c r="DO10" s="4" t="s">
        <v>636</v>
      </c>
      <c r="DR10" s="4" t="s">
        <v>31</v>
      </c>
      <c r="DS10" s="4" t="s">
        <v>296</v>
      </c>
      <c r="DT10" s="4" t="s">
        <v>1401</v>
      </c>
    </row>
    <row r="11" spans="2:124">
      <c r="B11" s="4" t="s">
        <v>40</v>
      </c>
      <c r="C11" s="4" t="s">
        <v>32</v>
      </c>
      <c r="D11" s="4" t="s">
        <v>30</v>
      </c>
      <c r="G11" s="4" t="s">
        <v>40</v>
      </c>
      <c r="H11" s="4" t="s">
        <v>289</v>
      </c>
      <c r="I11" s="4" t="s">
        <v>30</v>
      </c>
      <c r="L11" s="4" t="s">
        <v>318</v>
      </c>
      <c r="M11" s="4" t="s">
        <v>32</v>
      </c>
      <c r="N11" s="4" t="s">
        <v>311</v>
      </c>
      <c r="Q11" s="4" t="s">
        <v>318</v>
      </c>
      <c r="R11" s="4" t="s">
        <v>289</v>
      </c>
      <c r="S11" s="4" t="s">
        <v>311</v>
      </c>
      <c r="V11" s="4" t="s">
        <v>37</v>
      </c>
      <c r="W11" s="4" t="s">
        <v>353</v>
      </c>
      <c r="X11" s="4" t="s">
        <v>39</v>
      </c>
      <c r="AA11" s="4" t="s">
        <v>318</v>
      </c>
      <c r="AB11" s="4" t="s">
        <v>345</v>
      </c>
      <c r="AC11" s="4" t="s">
        <v>442</v>
      </c>
      <c r="AF11" s="4" t="s">
        <v>34</v>
      </c>
      <c r="AG11" s="4" t="s">
        <v>466</v>
      </c>
      <c r="AH11" s="4" t="s">
        <v>467</v>
      </c>
      <c r="AK11" s="4" t="s">
        <v>40</v>
      </c>
      <c r="AL11" s="4" t="s">
        <v>441</v>
      </c>
      <c r="AM11" s="4" t="s">
        <v>30</v>
      </c>
      <c r="AP11" s="4" t="s">
        <v>318</v>
      </c>
      <c r="AQ11" s="4" t="s">
        <v>346</v>
      </c>
      <c r="AR11" s="4" t="s">
        <v>632</v>
      </c>
      <c r="AZ11" s="4" t="s">
        <v>318</v>
      </c>
      <c r="BA11" s="4" t="s">
        <v>345</v>
      </c>
      <c r="BB11" s="4" t="s">
        <v>632</v>
      </c>
      <c r="BE11" s="4" t="s">
        <v>34</v>
      </c>
      <c r="BF11" s="4" t="s">
        <v>345</v>
      </c>
      <c r="BG11" s="4" t="s">
        <v>632</v>
      </c>
      <c r="BJ11" s="4" t="s">
        <v>40</v>
      </c>
      <c r="BK11" s="4" t="s">
        <v>441</v>
      </c>
      <c r="BL11" s="4" t="s">
        <v>732</v>
      </c>
      <c r="BT11" s="4" t="s">
        <v>40</v>
      </c>
      <c r="BU11" s="4" t="s">
        <v>441</v>
      </c>
      <c r="BV11" s="4" t="s">
        <v>849</v>
      </c>
      <c r="BY11" s="4" t="s">
        <v>34</v>
      </c>
      <c r="BZ11" s="4" t="s">
        <v>345</v>
      </c>
      <c r="CA11" s="4" t="s">
        <v>632</v>
      </c>
      <c r="CD11" s="4" t="s">
        <v>40</v>
      </c>
      <c r="CE11" s="4" t="s">
        <v>346</v>
      </c>
      <c r="CF11" s="4" t="s">
        <v>30</v>
      </c>
      <c r="CI11" s="4" t="s">
        <v>57</v>
      </c>
      <c r="CJ11" s="4" t="s">
        <v>341</v>
      </c>
      <c r="CK11" s="4" t="s">
        <v>1040</v>
      </c>
      <c r="CN11" s="4" t="s">
        <v>57</v>
      </c>
      <c r="CO11" s="4" t="s">
        <v>341</v>
      </c>
      <c r="CP11" s="4" t="s">
        <v>1040</v>
      </c>
      <c r="CS11" s="4" t="s">
        <v>57</v>
      </c>
      <c r="CT11" s="4" t="s">
        <v>1071</v>
      </c>
      <c r="CU11" s="4" t="s">
        <v>1040</v>
      </c>
      <c r="CX11" s="4" t="s">
        <v>53</v>
      </c>
      <c r="CY11" s="4" t="s">
        <v>1594</v>
      </c>
      <c r="CZ11" s="4" t="s">
        <v>1095</v>
      </c>
      <c r="DC11" s="4" t="s">
        <v>40</v>
      </c>
      <c r="DD11" s="4" t="s">
        <v>441</v>
      </c>
      <c r="DE11" s="4" t="s">
        <v>1281</v>
      </c>
      <c r="DM11" s="4" t="s">
        <v>34</v>
      </c>
      <c r="DN11" s="4" t="s">
        <v>346</v>
      </c>
      <c r="DO11" s="4" t="s">
        <v>1384</v>
      </c>
      <c r="DR11" s="4" t="s">
        <v>34</v>
      </c>
      <c r="DS11" s="4" t="s">
        <v>466</v>
      </c>
      <c r="DT11" s="4" t="s">
        <v>1402</v>
      </c>
    </row>
    <row r="12" spans="2:124">
      <c r="B12" s="4" t="s">
        <v>41</v>
      </c>
      <c r="C12" s="4" t="s">
        <v>32</v>
      </c>
      <c r="D12" s="4" t="s">
        <v>30</v>
      </c>
      <c r="G12" s="4" t="s">
        <v>41</v>
      </c>
      <c r="H12" s="4" t="s">
        <v>289</v>
      </c>
      <c r="I12" s="4" t="s">
        <v>30</v>
      </c>
      <c r="L12" s="4" t="s">
        <v>20</v>
      </c>
      <c r="M12" s="4" t="s">
        <v>319</v>
      </c>
      <c r="N12" s="4" t="s">
        <v>320</v>
      </c>
      <c r="Q12" s="4" t="s">
        <v>20</v>
      </c>
      <c r="R12" s="4" t="s">
        <v>339</v>
      </c>
      <c r="S12" s="4" t="s">
        <v>320</v>
      </c>
      <c r="V12" s="4" t="s">
        <v>42</v>
      </c>
      <c r="W12" s="4" t="s">
        <v>354</v>
      </c>
      <c r="X12" s="4" t="s">
        <v>43</v>
      </c>
      <c r="AA12" s="4" t="s">
        <v>20</v>
      </c>
      <c r="AB12" s="4" t="s">
        <v>298</v>
      </c>
      <c r="AC12" s="4" t="s">
        <v>443</v>
      </c>
      <c r="AF12" s="4" t="s">
        <v>37</v>
      </c>
      <c r="AG12" s="4" t="s">
        <v>468</v>
      </c>
      <c r="AH12" s="4" t="s">
        <v>469</v>
      </c>
      <c r="AK12" s="4" t="s">
        <v>41</v>
      </c>
      <c r="AL12" s="4" t="s">
        <v>441</v>
      </c>
      <c r="AM12" s="4" t="s">
        <v>30</v>
      </c>
      <c r="AP12" s="4" t="s">
        <v>20</v>
      </c>
      <c r="AQ12" s="4" t="s">
        <v>396</v>
      </c>
      <c r="AR12" s="4" t="s">
        <v>633</v>
      </c>
      <c r="AZ12" s="4" t="s">
        <v>20</v>
      </c>
      <c r="BA12" s="4" t="s">
        <v>360</v>
      </c>
      <c r="BB12" s="4" t="s">
        <v>732</v>
      </c>
      <c r="BE12" s="4" t="s">
        <v>37</v>
      </c>
      <c r="BF12" s="4" t="s">
        <v>346</v>
      </c>
      <c r="BG12" s="4" t="s">
        <v>632</v>
      </c>
      <c r="BJ12" s="4" t="s">
        <v>41</v>
      </c>
      <c r="BK12" s="4" t="s">
        <v>441</v>
      </c>
      <c r="BL12" s="4" t="s">
        <v>732</v>
      </c>
      <c r="BT12" s="4" t="s">
        <v>42</v>
      </c>
      <c r="BU12" s="4" t="s">
        <v>850</v>
      </c>
      <c r="BV12" s="4" t="s">
        <v>851</v>
      </c>
      <c r="BY12" s="4" t="s">
        <v>37</v>
      </c>
      <c r="BZ12" s="4" t="s">
        <v>441</v>
      </c>
      <c r="CA12" s="4" t="s">
        <v>632</v>
      </c>
      <c r="CD12" s="4" t="s">
        <v>41</v>
      </c>
      <c r="CE12" s="4" t="s">
        <v>346</v>
      </c>
      <c r="CF12" s="4" t="s">
        <v>30</v>
      </c>
      <c r="CI12" s="4" t="s">
        <v>61</v>
      </c>
      <c r="CJ12" s="4" t="s">
        <v>360</v>
      </c>
      <c r="CK12" s="4" t="s">
        <v>1041</v>
      </c>
      <c r="CN12" s="4" t="s">
        <v>61</v>
      </c>
      <c r="CO12" s="4" t="s">
        <v>360</v>
      </c>
      <c r="CP12" s="4" t="s">
        <v>1041</v>
      </c>
      <c r="CS12" s="4" t="s">
        <v>61</v>
      </c>
      <c r="CT12" s="4" t="s">
        <v>614</v>
      </c>
      <c r="CU12" s="4" t="s">
        <v>1041</v>
      </c>
      <c r="CX12" s="4" t="s">
        <v>54</v>
      </c>
      <c r="CY12" s="4" t="s">
        <v>1595</v>
      </c>
      <c r="CZ12" s="4" t="s">
        <v>1097</v>
      </c>
      <c r="DC12" s="4" t="s">
        <v>41</v>
      </c>
      <c r="DD12" s="4" t="s">
        <v>441</v>
      </c>
      <c r="DE12" s="4" t="s">
        <v>1281</v>
      </c>
      <c r="DM12" s="4" t="s">
        <v>37</v>
      </c>
      <c r="DN12" s="4" t="s">
        <v>345</v>
      </c>
      <c r="DO12" s="4" t="s">
        <v>1385</v>
      </c>
      <c r="DR12" s="4" t="s">
        <v>37</v>
      </c>
      <c r="DS12" s="4" t="s">
        <v>468</v>
      </c>
      <c r="DT12" s="4" t="s">
        <v>1403</v>
      </c>
    </row>
    <row r="13" spans="2:124">
      <c r="B13" s="4" t="s">
        <v>42</v>
      </c>
      <c r="C13" s="4" t="s">
        <v>35</v>
      </c>
      <c r="D13" s="4" t="s">
        <v>43</v>
      </c>
      <c r="G13" s="4" t="s">
        <v>42</v>
      </c>
      <c r="H13" s="4" t="s">
        <v>290</v>
      </c>
      <c r="I13" s="4" t="s">
        <v>43</v>
      </c>
      <c r="L13" s="4" t="s">
        <v>23</v>
      </c>
      <c r="M13" s="4" t="s">
        <v>24</v>
      </c>
      <c r="N13" s="4" t="s">
        <v>25</v>
      </c>
      <c r="Q13" s="4" t="s">
        <v>23</v>
      </c>
      <c r="R13" s="4" t="s">
        <v>286</v>
      </c>
      <c r="S13" s="4" t="s">
        <v>25</v>
      </c>
      <c r="V13" s="4" t="s">
        <v>44</v>
      </c>
      <c r="W13" s="4" t="s">
        <v>355</v>
      </c>
      <c r="X13" s="4" t="s">
        <v>46</v>
      </c>
      <c r="AA13" s="4" t="s">
        <v>23</v>
      </c>
      <c r="AB13" s="4" t="s">
        <v>444</v>
      </c>
      <c r="AC13" s="4" t="s">
        <v>25</v>
      </c>
      <c r="AF13" s="4" t="s">
        <v>42</v>
      </c>
      <c r="AG13" s="4" t="s">
        <v>470</v>
      </c>
      <c r="AH13" s="4" t="s">
        <v>471</v>
      </c>
      <c r="AK13" s="4" t="s">
        <v>42</v>
      </c>
      <c r="AL13" s="4" t="s">
        <v>441</v>
      </c>
      <c r="AM13" s="4" t="s">
        <v>30</v>
      </c>
      <c r="AP13" s="4" t="s">
        <v>23</v>
      </c>
      <c r="AQ13" s="4" t="s">
        <v>450</v>
      </c>
      <c r="AR13" s="4" t="s">
        <v>634</v>
      </c>
      <c r="AZ13" s="4" t="s">
        <v>23</v>
      </c>
      <c r="BA13" s="4" t="s">
        <v>444</v>
      </c>
      <c r="BB13" s="4" t="s">
        <v>634</v>
      </c>
      <c r="BE13" s="4" t="s">
        <v>40</v>
      </c>
      <c r="BF13" s="4" t="s">
        <v>441</v>
      </c>
      <c r="BG13" s="4" t="s">
        <v>632</v>
      </c>
      <c r="BJ13" s="4" t="s">
        <v>42</v>
      </c>
      <c r="BK13" s="4" t="s">
        <v>441</v>
      </c>
      <c r="BL13" s="4" t="s">
        <v>732</v>
      </c>
      <c r="BT13" s="4" t="s">
        <v>44</v>
      </c>
      <c r="BU13" s="4" t="s">
        <v>350</v>
      </c>
      <c r="BV13" s="4" t="s">
        <v>852</v>
      </c>
      <c r="BY13" s="4" t="s">
        <v>42</v>
      </c>
      <c r="BZ13" s="4" t="s">
        <v>441</v>
      </c>
      <c r="CA13" s="4" t="s">
        <v>632</v>
      </c>
      <c r="CD13" s="4" t="s">
        <v>42</v>
      </c>
      <c r="CE13" s="4" t="s">
        <v>446</v>
      </c>
      <c r="CF13" s="4" t="s">
        <v>30</v>
      </c>
      <c r="CI13" s="4" t="s">
        <v>64</v>
      </c>
      <c r="CJ13" s="4" t="s">
        <v>360</v>
      </c>
      <c r="CK13" s="4" t="s">
        <v>632</v>
      </c>
      <c r="CN13" s="4" t="s">
        <v>64</v>
      </c>
      <c r="CO13" s="4" t="s">
        <v>360</v>
      </c>
      <c r="CP13" s="4" t="s">
        <v>632</v>
      </c>
      <c r="CS13" s="4" t="s">
        <v>64</v>
      </c>
      <c r="CT13" s="4" t="s">
        <v>377</v>
      </c>
      <c r="CU13" s="4" t="s">
        <v>632</v>
      </c>
      <c r="CX13" s="4" t="s">
        <v>57</v>
      </c>
      <c r="CY13" s="4" t="s">
        <v>1596</v>
      </c>
      <c r="CZ13" s="4" t="s">
        <v>1099</v>
      </c>
      <c r="DC13" s="4" t="s">
        <v>42</v>
      </c>
      <c r="DD13" s="4" t="s">
        <v>441</v>
      </c>
      <c r="DE13" s="4" t="s">
        <v>1281</v>
      </c>
      <c r="DM13" s="4" t="s">
        <v>42</v>
      </c>
      <c r="DN13" s="4" t="s">
        <v>441</v>
      </c>
      <c r="DO13" s="4" t="s">
        <v>632</v>
      </c>
      <c r="DR13" s="4" t="s">
        <v>42</v>
      </c>
      <c r="DS13" s="4" t="s">
        <v>470</v>
      </c>
      <c r="DT13" s="4" t="s">
        <v>1404</v>
      </c>
    </row>
    <row r="14" spans="2:124">
      <c r="B14" s="4" t="s">
        <v>44</v>
      </c>
      <c r="C14" s="4" t="s">
        <v>45</v>
      </c>
      <c r="D14" s="4" t="s">
        <v>46</v>
      </c>
      <c r="G14" s="4" t="s">
        <v>44</v>
      </c>
      <c r="H14" s="4" t="s">
        <v>292</v>
      </c>
      <c r="I14" s="4" t="s">
        <v>46</v>
      </c>
      <c r="L14" s="4" t="s">
        <v>26</v>
      </c>
      <c r="M14" s="4" t="s">
        <v>27</v>
      </c>
      <c r="N14" s="4" t="s">
        <v>25</v>
      </c>
      <c r="Q14" s="4" t="s">
        <v>26</v>
      </c>
      <c r="R14" s="4" t="s">
        <v>287</v>
      </c>
      <c r="S14" s="4" t="s">
        <v>25</v>
      </c>
      <c r="V14" s="4" t="s">
        <v>47</v>
      </c>
      <c r="W14" s="4" t="s">
        <v>356</v>
      </c>
      <c r="X14" s="4" t="s">
        <v>30</v>
      </c>
      <c r="AA14" s="4" t="s">
        <v>26</v>
      </c>
      <c r="AB14" s="4" t="s">
        <v>445</v>
      </c>
      <c r="AC14" s="4" t="s">
        <v>25</v>
      </c>
      <c r="AF14" s="4" t="s">
        <v>44</v>
      </c>
      <c r="AG14" s="4" t="s">
        <v>472</v>
      </c>
      <c r="AH14" s="4" t="s">
        <v>473</v>
      </c>
      <c r="AK14" s="4" t="s">
        <v>44</v>
      </c>
      <c r="AL14" s="4" t="s">
        <v>441</v>
      </c>
      <c r="AM14" s="4" t="s">
        <v>30</v>
      </c>
      <c r="AP14" s="4" t="s">
        <v>26</v>
      </c>
      <c r="AQ14" s="4" t="s">
        <v>445</v>
      </c>
      <c r="AR14" s="4" t="s">
        <v>634</v>
      </c>
      <c r="AZ14" s="4" t="s">
        <v>26</v>
      </c>
      <c r="BA14" s="4" t="s">
        <v>445</v>
      </c>
      <c r="BB14" s="4" t="s">
        <v>634</v>
      </c>
      <c r="BE14" s="4" t="s">
        <v>41</v>
      </c>
      <c r="BF14" s="4" t="s">
        <v>441</v>
      </c>
      <c r="BG14" s="4" t="s">
        <v>632</v>
      </c>
      <c r="BJ14" s="4" t="s">
        <v>44</v>
      </c>
      <c r="BK14" s="4" t="s">
        <v>441</v>
      </c>
      <c r="BL14" s="4" t="s">
        <v>732</v>
      </c>
      <c r="BT14" s="4" t="s">
        <v>47</v>
      </c>
      <c r="BU14" s="4" t="s">
        <v>555</v>
      </c>
      <c r="BV14" s="4" t="s">
        <v>849</v>
      </c>
      <c r="BY14" s="4" t="s">
        <v>48</v>
      </c>
      <c r="BZ14" s="4" t="s">
        <v>345</v>
      </c>
      <c r="CA14" s="4" t="s">
        <v>632</v>
      </c>
      <c r="CD14" s="4" t="s">
        <v>44</v>
      </c>
      <c r="CE14" s="4" t="s">
        <v>360</v>
      </c>
      <c r="CF14" s="4" t="s">
        <v>30</v>
      </c>
      <c r="CI14" s="4" t="s">
        <v>68</v>
      </c>
      <c r="CJ14" s="4" t="s">
        <v>360</v>
      </c>
      <c r="CK14" s="4" t="s">
        <v>632</v>
      </c>
      <c r="CN14" s="4" t="s">
        <v>68</v>
      </c>
      <c r="CO14" s="4" t="s">
        <v>360</v>
      </c>
      <c r="CP14" s="4" t="s">
        <v>632</v>
      </c>
      <c r="CS14" s="4" t="s">
        <v>68</v>
      </c>
      <c r="CT14" s="4" t="s">
        <v>293</v>
      </c>
      <c r="CU14" s="4" t="s">
        <v>632</v>
      </c>
      <c r="CX14" s="4" t="s">
        <v>59</v>
      </c>
      <c r="CY14" s="4" t="s">
        <v>1241</v>
      </c>
      <c r="CZ14" s="4" t="s">
        <v>1101</v>
      </c>
      <c r="DC14" s="4" t="s">
        <v>44</v>
      </c>
      <c r="DD14" s="4" t="s">
        <v>441</v>
      </c>
      <c r="DE14" s="4" t="s">
        <v>1281</v>
      </c>
      <c r="DM14" s="4" t="s">
        <v>44</v>
      </c>
      <c r="DN14" s="4" t="s">
        <v>345</v>
      </c>
      <c r="DO14" s="4" t="s">
        <v>632</v>
      </c>
      <c r="DR14" s="4" t="s">
        <v>44</v>
      </c>
      <c r="DS14" s="4" t="s">
        <v>932</v>
      </c>
      <c r="DT14" s="4" t="s">
        <v>1405</v>
      </c>
    </row>
    <row r="15" spans="2:124">
      <c r="B15" s="4" t="s">
        <v>47</v>
      </c>
      <c r="C15" s="4" t="s">
        <v>32</v>
      </c>
      <c r="D15" s="4" t="s">
        <v>30</v>
      </c>
      <c r="G15" s="4" t="s">
        <v>47</v>
      </c>
      <c r="H15" s="4" t="s">
        <v>289</v>
      </c>
      <c r="I15" s="4" t="s">
        <v>30</v>
      </c>
      <c r="L15" s="4" t="s">
        <v>28</v>
      </c>
      <c r="M15" s="4" t="s">
        <v>29</v>
      </c>
      <c r="N15" s="4" t="s">
        <v>30</v>
      </c>
      <c r="Q15" s="4" t="s">
        <v>28</v>
      </c>
      <c r="R15" s="4" t="s">
        <v>288</v>
      </c>
      <c r="S15" s="4" t="s">
        <v>30</v>
      </c>
      <c r="V15" s="4" t="s">
        <v>48</v>
      </c>
      <c r="W15" s="4" t="s">
        <v>357</v>
      </c>
      <c r="X15" s="4" t="s">
        <v>358</v>
      </c>
      <c r="AA15" s="4" t="s">
        <v>28</v>
      </c>
      <c r="AB15" s="4" t="s">
        <v>360</v>
      </c>
      <c r="AC15" s="4" t="s">
        <v>30</v>
      </c>
      <c r="AF15" s="4" t="s">
        <v>47</v>
      </c>
      <c r="AG15" s="4" t="s">
        <v>356</v>
      </c>
      <c r="AH15" s="4" t="s">
        <v>30</v>
      </c>
      <c r="AK15" s="4" t="s">
        <v>47</v>
      </c>
      <c r="AL15" s="4" t="s">
        <v>441</v>
      </c>
      <c r="AM15" s="4" t="s">
        <v>30</v>
      </c>
      <c r="AP15" s="4" t="s">
        <v>28</v>
      </c>
      <c r="AQ15" s="4" t="s">
        <v>346</v>
      </c>
      <c r="AR15" s="4" t="s">
        <v>635</v>
      </c>
      <c r="AZ15" s="4" t="s">
        <v>28</v>
      </c>
      <c r="BA15" s="4" t="s">
        <v>360</v>
      </c>
      <c r="BB15" s="4" t="s">
        <v>635</v>
      </c>
      <c r="BE15" s="4" t="s">
        <v>42</v>
      </c>
      <c r="BF15" s="4" t="s">
        <v>346</v>
      </c>
      <c r="BG15" s="4" t="s">
        <v>632</v>
      </c>
      <c r="BJ15" s="4" t="s">
        <v>47</v>
      </c>
      <c r="BK15" s="4" t="s">
        <v>441</v>
      </c>
      <c r="BL15" s="4" t="s">
        <v>732</v>
      </c>
      <c r="BT15" s="4" t="s">
        <v>48</v>
      </c>
      <c r="BU15" s="4" t="s">
        <v>847</v>
      </c>
      <c r="BV15" s="4" t="s">
        <v>853</v>
      </c>
      <c r="BY15" s="4" t="s">
        <v>50</v>
      </c>
      <c r="BZ15" s="4" t="s">
        <v>441</v>
      </c>
      <c r="CA15" s="4" t="s">
        <v>632</v>
      </c>
      <c r="CD15" s="4" t="s">
        <v>47</v>
      </c>
      <c r="CE15" s="4" t="s">
        <v>446</v>
      </c>
      <c r="CF15" s="4" t="s">
        <v>30</v>
      </c>
      <c r="CI15" s="4" t="s">
        <v>72</v>
      </c>
      <c r="CJ15" s="4" t="s">
        <v>446</v>
      </c>
      <c r="CK15" s="4" t="s">
        <v>1042</v>
      </c>
      <c r="CN15" s="4" t="s">
        <v>72</v>
      </c>
      <c r="CO15" s="4" t="s">
        <v>446</v>
      </c>
      <c r="CP15" s="4" t="s">
        <v>1042</v>
      </c>
      <c r="CS15" s="4" t="s">
        <v>72</v>
      </c>
      <c r="CT15" s="4" t="s">
        <v>293</v>
      </c>
      <c r="CU15" s="4" t="s">
        <v>1042</v>
      </c>
      <c r="CX15" s="4" t="s">
        <v>61</v>
      </c>
      <c r="CY15" s="4" t="s">
        <v>1597</v>
      </c>
      <c r="CZ15" s="4" t="s">
        <v>1103</v>
      </c>
      <c r="DC15" s="4" t="s">
        <v>47</v>
      </c>
      <c r="DD15" s="4" t="s">
        <v>441</v>
      </c>
      <c r="DE15" s="4" t="s">
        <v>1281</v>
      </c>
      <c r="DM15" s="4" t="s">
        <v>47</v>
      </c>
      <c r="DN15" s="4" t="s">
        <v>441</v>
      </c>
      <c r="DO15" s="4" t="s">
        <v>632</v>
      </c>
      <c r="DR15" s="4" t="s">
        <v>47</v>
      </c>
      <c r="DS15" s="4" t="s">
        <v>356</v>
      </c>
      <c r="DT15" s="4" t="s">
        <v>632</v>
      </c>
    </row>
    <row r="16" spans="2:124">
      <c r="B16" s="4" t="s">
        <v>48</v>
      </c>
      <c r="C16" s="4" t="s">
        <v>45</v>
      </c>
      <c r="D16" s="4" t="s">
        <v>49</v>
      </c>
      <c r="G16" s="4" t="s">
        <v>48</v>
      </c>
      <c r="H16" s="4" t="s">
        <v>292</v>
      </c>
      <c r="I16" s="4" t="s">
        <v>49</v>
      </c>
      <c r="L16" s="4" t="s">
        <v>31</v>
      </c>
      <c r="M16" s="4" t="s">
        <v>32</v>
      </c>
      <c r="N16" s="4" t="s">
        <v>321</v>
      </c>
      <c r="Q16" s="4" t="s">
        <v>31</v>
      </c>
      <c r="R16" s="4" t="s">
        <v>289</v>
      </c>
      <c r="S16" s="4" t="s">
        <v>33</v>
      </c>
      <c r="V16" s="4" t="s">
        <v>50</v>
      </c>
      <c r="W16" s="4" t="s">
        <v>359</v>
      </c>
      <c r="X16" s="4" t="s">
        <v>51</v>
      </c>
      <c r="AA16" s="4" t="s">
        <v>31</v>
      </c>
      <c r="AB16" s="4" t="s">
        <v>345</v>
      </c>
      <c r="AC16" s="4" t="s">
        <v>33</v>
      </c>
      <c r="AF16" s="4" t="s">
        <v>48</v>
      </c>
      <c r="AG16" s="4" t="s">
        <v>474</v>
      </c>
      <c r="AH16" s="4" t="s">
        <v>475</v>
      </c>
      <c r="AK16" s="4" t="s">
        <v>48</v>
      </c>
      <c r="AL16" s="4" t="s">
        <v>441</v>
      </c>
      <c r="AM16" s="4" t="s">
        <v>30</v>
      </c>
      <c r="AP16" s="4" t="s">
        <v>31</v>
      </c>
      <c r="AQ16" s="4" t="s">
        <v>441</v>
      </c>
      <c r="AR16" s="4" t="s">
        <v>636</v>
      </c>
      <c r="AZ16" s="4" t="s">
        <v>31</v>
      </c>
      <c r="BA16" s="4" t="s">
        <v>345</v>
      </c>
      <c r="BB16" s="4" t="s">
        <v>636</v>
      </c>
      <c r="BE16" s="4" t="s">
        <v>44</v>
      </c>
      <c r="BF16" s="4" t="s">
        <v>345</v>
      </c>
      <c r="BG16" s="4" t="s">
        <v>632</v>
      </c>
      <c r="BJ16" s="4" t="s">
        <v>48</v>
      </c>
      <c r="BK16" s="4" t="s">
        <v>441</v>
      </c>
      <c r="BL16" s="4" t="s">
        <v>732</v>
      </c>
      <c r="BT16" s="4" t="s">
        <v>50</v>
      </c>
      <c r="BU16" s="4" t="s">
        <v>610</v>
      </c>
      <c r="BV16" s="4" t="s">
        <v>854</v>
      </c>
      <c r="BY16" s="4" t="s">
        <v>52</v>
      </c>
      <c r="BZ16" s="4" t="s">
        <v>441</v>
      </c>
      <c r="CA16" s="4" t="s">
        <v>632</v>
      </c>
      <c r="CD16" s="4" t="s">
        <v>48</v>
      </c>
      <c r="CE16" s="4" t="s">
        <v>298</v>
      </c>
      <c r="CF16" s="4" t="s">
        <v>30</v>
      </c>
      <c r="CI16" s="4" t="s">
        <v>82</v>
      </c>
      <c r="CJ16" s="4" t="s">
        <v>345</v>
      </c>
      <c r="CK16" s="4" t="s">
        <v>632</v>
      </c>
      <c r="CN16" s="4" t="s">
        <v>82</v>
      </c>
      <c r="CO16" s="4" t="s">
        <v>345</v>
      </c>
      <c r="CP16" s="4" t="s">
        <v>632</v>
      </c>
      <c r="CS16" s="4" t="s">
        <v>82</v>
      </c>
      <c r="CT16" s="4" t="s">
        <v>450</v>
      </c>
      <c r="CU16" s="4" t="s">
        <v>632</v>
      </c>
      <c r="CX16" s="4" t="s">
        <v>64</v>
      </c>
      <c r="CY16" s="4" t="s">
        <v>1598</v>
      </c>
      <c r="CZ16" s="4" t="s">
        <v>1105</v>
      </c>
      <c r="DC16" s="4" t="s">
        <v>48</v>
      </c>
      <c r="DD16" s="4" t="s">
        <v>441</v>
      </c>
      <c r="DE16" s="4" t="s">
        <v>1281</v>
      </c>
      <c r="DM16" s="4" t="s">
        <v>48</v>
      </c>
      <c r="DN16" s="4" t="s">
        <v>345</v>
      </c>
      <c r="DO16" s="4" t="s">
        <v>632</v>
      </c>
      <c r="DR16" s="4" t="s">
        <v>48</v>
      </c>
      <c r="DS16" s="4" t="s">
        <v>474</v>
      </c>
      <c r="DT16" s="4" t="s">
        <v>1406</v>
      </c>
    </row>
    <row r="17" spans="2:124">
      <c r="B17" s="4" t="s">
        <v>50</v>
      </c>
      <c r="C17" s="4" t="s">
        <v>29</v>
      </c>
      <c r="D17" s="4" t="s">
        <v>51</v>
      </c>
      <c r="G17" s="4" t="s">
        <v>50</v>
      </c>
      <c r="H17" s="4" t="s">
        <v>288</v>
      </c>
      <c r="I17" s="4" t="s">
        <v>51</v>
      </c>
      <c r="L17" s="4" t="s">
        <v>34</v>
      </c>
      <c r="M17" s="4" t="s">
        <v>35</v>
      </c>
      <c r="N17" s="4" t="s">
        <v>36</v>
      </c>
      <c r="Q17" s="4" t="s">
        <v>34</v>
      </c>
      <c r="R17" s="4" t="s">
        <v>290</v>
      </c>
      <c r="S17" s="4" t="s">
        <v>36</v>
      </c>
      <c r="V17" s="4" t="s">
        <v>52</v>
      </c>
      <c r="W17" s="4" t="s">
        <v>360</v>
      </c>
      <c r="X17" s="4" t="s">
        <v>30</v>
      </c>
      <c r="AA17" s="4" t="s">
        <v>34</v>
      </c>
      <c r="AB17" s="4" t="s">
        <v>346</v>
      </c>
      <c r="AC17" s="4" t="s">
        <v>30</v>
      </c>
      <c r="AF17" s="4" t="s">
        <v>50</v>
      </c>
      <c r="AG17" s="4" t="s">
        <v>476</v>
      </c>
      <c r="AH17" s="4" t="s">
        <v>477</v>
      </c>
      <c r="AK17" s="4" t="s">
        <v>50</v>
      </c>
      <c r="AL17" s="4" t="s">
        <v>441</v>
      </c>
      <c r="AM17" s="4" t="s">
        <v>30</v>
      </c>
      <c r="AP17" s="4" t="s">
        <v>34</v>
      </c>
      <c r="AQ17" s="4" t="s">
        <v>360</v>
      </c>
      <c r="AR17" s="4" t="s">
        <v>632</v>
      </c>
      <c r="AZ17" s="4" t="s">
        <v>34</v>
      </c>
      <c r="BA17" s="4" t="s">
        <v>346</v>
      </c>
      <c r="BB17" s="4" t="s">
        <v>732</v>
      </c>
      <c r="BE17" s="4" t="s">
        <v>47</v>
      </c>
      <c r="BF17" s="4" t="s">
        <v>345</v>
      </c>
      <c r="BG17" s="4" t="s">
        <v>632</v>
      </c>
      <c r="BJ17" s="4" t="s">
        <v>50</v>
      </c>
      <c r="BK17" s="4" t="s">
        <v>441</v>
      </c>
      <c r="BL17" s="4" t="s">
        <v>732</v>
      </c>
      <c r="BT17" s="4" t="s">
        <v>53</v>
      </c>
      <c r="BU17" s="4" t="s">
        <v>436</v>
      </c>
      <c r="BV17" s="4" t="s">
        <v>855</v>
      </c>
      <c r="BY17" s="4" t="s">
        <v>59</v>
      </c>
      <c r="BZ17" s="4" t="s">
        <v>441</v>
      </c>
      <c r="CA17" s="4" t="s">
        <v>632</v>
      </c>
      <c r="CD17" s="4" t="s">
        <v>50</v>
      </c>
      <c r="CE17" s="4" t="s">
        <v>298</v>
      </c>
      <c r="CF17" s="4" t="s">
        <v>972</v>
      </c>
      <c r="CI17" s="4" t="s">
        <v>109</v>
      </c>
      <c r="CJ17" s="4" t="s">
        <v>360</v>
      </c>
      <c r="CK17" s="4" t="s">
        <v>1043</v>
      </c>
      <c r="CN17" s="4" t="s">
        <v>109</v>
      </c>
      <c r="CO17" s="4" t="s">
        <v>360</v>
      </c>
      <c r="CP17" s="4" t="s">
        <v>1043</v>
      </c>
      <c r="CS17" s="4" t="s">
        <v>109</v>
      </c>
      <c r="CT17" s="4" t="s">
        <v>555</v>
      </c>
      <c r="CU17" s="4" t="s">
        <v>1043</v>
      </c>
      <c r="CX17" s="4" t="s">
        <v>66</v>
      </c>
      <c r="CY17" s="4" t="s">
        <v>1599</v>
      </c>
      <c r="CZ17" s="4" t="s">
        <v>1107</v>
      </c>
      <c r="DC17" s="4" t="s">
        <v>50</v>
      </c>
      <c r="DD17" s="4" t="s">
        <v>441</v>
      </c>
      <c r="DE17" s="4" t="s">
        <v>1281</v>
      </c>
      <c r="DM17" s="4" t="s">
        <v>50</v>
      </c>
      <c r="DN17" s="4" t="s">
        <v>441</v>
      </c>
      <c r="DO17" s="4" t="s">
        <v>632</v>
      </c>
      <c r="DR17" s="4" t="s">
        <v>50</v>
      </c>
      <c r="DS17" s="4" t="s">
        <v>476</v>
      </c>
      <c r="DT17" s="4" t="s">
        <v>1407</v>
      </c>
    </row>
    <row r="18" spans="2:124">
      <c r="B18" s="4" t="s">
        <v>52</v>
      </c>
      <c r="C18" s="4" t="s">
        <v>32</v>
      </c>
      <c r="D18" s="4" t="s">
        <v>30</v>
      </c>
      <c r="G18" s="4" t="s">
        <v>52</v>
      </c>
      <c r="H18" s="4" t="s">
        <v>289</v>
      </c>
      <c r="I18" s="4" t="s">
        <v>30</v>
      </c>
      <c r="L18" s="4" t="s">
        <v>37</v>
      </c>
      <c r="M18" s="4" t="s">
        <v>38</v>
      </c>
      <c r="N18" s="4" t="s">
        <v>39</v>
      </c>
      <c r="Q18" s="4" t="s">
        <v>37</v>
      </c>
      <c r="R18" s="4" t="s">
        <v>291</v>
      </c>
      <c r="S18" s="4" t="s">
        <v>39</v>
      </c>
      <c r="V18" s="4" t="s">
        <v>53</v>
      </c>
      <c r="W18" s="4" t="s">
        <v>361</v>
      </c>
      <c r="X18" s="4" t="s">
        <v>30</v>
      </c>
      <c r="AA18" s="4" t="s">
        <v>37</v>
      </c>
      <c r="AB18" s="4" t="s">
        <v>346</v>
      </c>
      <c r="AC18" s="4" t="s">
        <v>30</v>
      </c>
      <c r="AF18" s="4" t="s">
        <v>52</v>
      </c>
      <c r="AG18" s="4" t="s">
        <v>360</v>
      </c>
      <c r="AH18" s="4" t="s">
        <v>30</v>
      </c>
      <c r="AK18" s="4" t="s">
        <v>52</v>
      </c>
      <c r="AL18" s="4" t="s">
        <v>441</v>
      </c>
      <c r="AM18" s="4" t="s">
        <v>30</v>
      </c>
      <c r="AP18" s="4" t="s">
        <v>37</v>
      </c>
      <c r="AQ18" s="4" t="s">
        <v>346</v>
      </c>
      <c r="AR18" s="4" t="s">
        <v>632</v>
      </c>
      <c r="AZ18" s="4" t="s">
        <v>37</v>
      </c>
      <c r="BA18" s="4" t="s">
        <v>346</v>
      </c>
      <c r="BB18" s="4" t="s">
        <v>732</v>
      </c>
      <c r="BE18" s="4" t="s">
        <v>48</v>
      </c>
      <c r="BF18" s="4" t="s">
        <v>346</v>
      </c>
      <c r="BG18" s="4" t="s">
        <v>632</v>
      </c>
      <c r="BJ18" s="4" t="s">
        <v>52</v>
      </c>
      <c r="BK18" s="4" t="s">
        <v>441</v>
      </c>
      <c r="BL18" s="4" t="s">
        <v>732</v>
      </c>
      <c r="BT18" s="4" t="s">
        <v>54</v>
      </c>
      <c r="BU18" s="4" t="s">
        <v>104</v>
      </c>
      <c r="BV18" s="4" t="s">
        <v>856</v>
      </c>
      <c r="BY18" s="4" t="s">
        <v>61</v>
      </c>
      <c r="BZ18" s="4" t="s">
        <v>346</v>
      </c>
      <c r="CA18" s="4" t="s">
        <v>632</v>
      </c>
      <c r="CD18" s="4" t="s">
        <v>52</v>
      </c>
      <c r="CE18" s="4" t="s">
        <v>446</v>
      </c>
      <c r="CF18" s="4" t="s">
        <v>30</v>
      </c>
      <c r="CI18" s="4" t="s">
        <v>111</v>
      </c>
      <c r="CJ18" s="4" t="s">
        <v>1044</v>
      </c>
      <c r="CK18" s="4" t="s">
        <v>1045</v>
      </c>
      <c r="CN18" s="4" t="s">
        <v>111</v>
      </c>
      <c r="CO18" s="4" t="s">
        <v>1044</v>
      </c>
      <c r="CP18" s="4" t="s">
        <v>1045</v>
      </c>
      <c r="CS18" s="4" t="s">
        <v>111</v>
      </c>
      <c r="CT18" s="4" t="s">
        <v>1072</v>
      </c>
      <c r="CU18" s="4" t="s">
        <v>1045</v>
      </c>
      <c r="CX18" s="4" t="s">
        <v>68</v>
      </c>
      <c r="CY18" s="4" t="s">
        <v>1600</v>
      </c>
      <c r="CZ18" s="4" t="s">
        <v>1109</v>
      </c>
      <c r="DC18" s="4" t="s">
        <v>52</v>
      </c>
      <c r="DD18" s="4" t="s">
        <v>441</v>
      </c>
      <c r="DE18" s="4" t="s">
        <v>1281</v>
      </c>
      <c r="DM18" s="4" t="s">
        <v>52</v>
      </c>
      <c r="DN18" s="4" t="s">
        <v>441</v>
      </c>
      <c r="DO18" s="4" t="s">
        <v>632</v>
      </c>
      <c r="DR18" s="4" t="s">
        <v>52</v>
      </c>
      <c r="DS18" s="4" t="s">
        <v>360</v>
      </c>
      <c r="DT18" s="4" t="s">
        <v>632</v>
      </c>
    </row>
    <row r="19" spans="2:124">
      <c r="B19" s="4" t="s">
        <v>53</v>
      </c>
      <c r="C19" s="4" t="s">
        <v>32</v>
      </c>
      <c r="D19" s="4" t="s">
        <v>30</v>
      </c>
      <c r="G19" s="4" t="s">
        <v>53</v>
      </c>
      <c r="H19" s="4" t="s">
        <v>289</v>
      </c>
      <c r="I19" s="4" t="s">
        <v>30</v>
      </c>
      <c r="L19" s="4" t="s">
        <v>40</v>
      </c>
      <c r="M19" s="4" t="s">
        <v>32</v>
      </c>
      <c r="N19" s="4" t="s">
        <v>30</v>
      </c>
      <c r="Q19" s="4" t="s">
        <v>40</v>
      </c>
      <c r="R19" s="4" t="s">
        <v>289</v>
      </c>
      <c r="S19" s="4" t="s">
        <v>30</v>
      </c>
      <c r="V19" s="4" t="s">
        <v>54</v>
      </c>
      <c r="W19" s="4" t="s">
        <v>290</v>
      </c>
      <c r="X19" s="4" t="s">
        <v>56</v>
      </c>
      <c r="AA19" s="4" t="s">
        <v>40</v>
      </c>
      <c r="AB19" s="4" t="s">
        <v>345</v>
      </c>
      <c r="AC19" s="4" t="s">
        <v>30</v>
      </c>
      <c r="AF19" s="4" t="s">
        <v>53</v>
      </c>
      <c r="AG19" s="4" t="s">
        <v>478</v>
      </c>
      <c r="AH19" s="4" t="s">
        <v>479</v>
      </c>
      <c r="AK19" s="4" t="s">
        <v>53</v>
      </c>
      <c r="AL19" s="4" t="s">
        <v>441</v>
      </c>
      <c r="AM19" s="4" t="s">
        <v>30</v>
      </c>
      <c r="AP19" s="4" t="s">
        <v>40</v>
      </c>
      <c r="AQ19" s="4" t="s">
        <v>441</v>
      </c>
      <c r="AR19" s="4" t="s">
        <v>632</v>
      </c>
      <c r="AZ19" s="4" t="s">
        <v>40</v>
      </c>
      <c r="BA19" s="4" t="s">
        <v>345</v>
      </c>
      <c r="BB19" s="4" t="s">
        <v>732</v>
      </c>
      <c r="BE19" s="4" t="s">
        <v>50</v>
      </c>
      <c r="BF19" s="4" t="s">
        <v>345</v>
      </c>
      <c r="BG19" s="4" t="s">
        <v>632</v>
      </c>
      <c r="BJ19" s="4" t="s">
        <v>53</v>
      </c>
      <c r="BK19" s="4" t="s">
        <v>441</v>
      </c>
      <c r="BL19" s="4" t="s">
        <v>732</v>
      </c>
      <c r="BT19" s="4" t="s">
        <v>57</v>
      </c>
      <c r="BU19" s="4" t="s">
        <v>450</v>
      </c>
      <c r="BV19" s="4" t="s">
        <v>857</v>
      </c>
      <c r="BY19" s="4" t="s">
        <v>64</v>
      </c>
      <c r="BZ19" s="4" t="s">
        <v>441</v>
      </c>
      <c r="CA19" s="4" t="s">
        <v>632</v>
      </c>
      <c r="CD19" s="4" t="s">
        <v>53</v>
      </c>
      <c r="CE19" s="4" t="s">
        <v>434</v>
      </c>
      <c r="CF19" s="4" t="s">
        <v>30</v>
      </c>
      <c r="CI19" s="4" t="s">
        <v>118</v>
      </c>
      <c r="CJ19" s="4" t="s">
        <v>345</v>
      </c>
      <c r="CK19" s="4" t="s">
        <v>1046</v>
      </c>
      <c r="CN19" s="4" t="s">
        <v>118</v>
      </c>
      <c r="CO19" s="4" t="s">
        <v>345</v>
      </c>
      <c r="CP19" s="4" t="s">
        <v>1046</v>
      </c>
      <c r="CS19" s="4" t="s">
        <v>118</v>
      </c>
      <c r="CT19" s="4" t="s">
        <v>444</v>
      </c>
      <c r="CU19" s="4" t="s">
        <v>1046</v>
      </c>
      <c r="CX19" s="4" t="s">
        <v>70</v>
      </c>
      <c r="CY19" s="4" t="s">
        <v>1601</v>
      </c>
      <c r="CZ19" s="4" t="s">
        <v>1602</v>
      </c>
      <c r="DC19" s="4" t="s">
        <v>53</v>
      </c>
      <c r="DD19" s="4" t="s">
        <v>441</v>
      </c>
      <c r="DE19" s="4" t="s">
        <v>1281</v>
      </c>
      <c r="DM19" s="4" t="s">
        <v>53</v>
      </c>
      <c r="DN19" s="4" t="s">
        <v>441</v>
      </c>
      <c r="DO19" s="4" t="s">
        <v>632</v>
      </c>
      <c r="DR19" s="4" t="s">
        <v>53</v>
      </c>
      <c r="DS19" s="4" t="s">
        <v>478</v>
      </c>
      <c r="DT19" s="4" t="s">
        <v>1408</v>
      </c>
    </row>
    <row r="20" spans="2:124">
      <c r="B20" s="4" t="s">
        <v>54</v>
      </c>
      <c r="C20" s="4" t="s">
        <v>55</v>
      </c>
      <c r="D20" s="4" t="s">
        <v>56</v>
      </c>
      <c r="G20" s="4" t="s">
        <v>54</v>
      </c>
      <c r="H20" s="4" t="s">
        <v>293</v>
      </c>
      <c r="I20" s="4" t="s">
        <v>56</v>
      </c>
      <c r="L20" s="4" t="s">
        <v>41</v>
      </c>
      <c r="M20" s="4" t="s">
        <v>32</v>
      </c>
      <c r="N20" s="4" t="s">
        <v>30</v>
      </c>
      <c r="Q20" s="4" t="s">
        <v>41</v>
      </c>
      <c r="R20" s="4" t="s">
        <v>289</v>
      </c>
      <c r="S20" s="4" t="s">
        <v>30</v>
      </c>
      <c r="V20" s="4" t="s">
        <v>57</v>
      </c>
      <c r="W20" s="4" t="s">
        <v>362</v>
      </c>
      <c r="X20" s="4" t="s">
        <v>58</v>
      </c>
      <c r="AA20" s="4" t="s">
        <v>41</v>
      </c>
      <c r="AB20" s="4" t="s">
        <v>345</v>
      </c>
      <c r="AC20" s="4" t="s">
        <v>30</v>
      </c>
      <c r="AF20" s="4" t="s">
        <v>54</v>
      </c>
      <c r="AG20" s="4" t="s">
        <v>32</v>
      </c>
      <c r="AH20" s="4" t="s">
        <v>480</v>
      </c>
      <c r="AK20" s="4" t="s">
        <v>54</v>
      </c>
      <c r="AL20" s="4" t="s">
        <v>441</v>
      </c>
      <c r="AM20" s="4" t="s">
        <v>30</v>
      </c>
      <c r="AP20" s="4" t="s">
        <v>41</v>
      </c>
      <c r="AQ20" s="4" t="s">
        <v>441</v>
      </c>
      <c r="AR20" s="4" t="s">
        <v>632</v>
      </c>
      <c r="AZ20" s="4" t="s">
        <v>41</v>
      </c>
      <c r="BA20" s="4" t="s">
        <v>345</v>
      </c>
      <c r="BB20" s="4" t="s">
        <v>732</v>
      </c>
      <c r="BE20" s="4" t="s">
        <v>52</v>
      </c>
      <c r="BF20" s="4" t="s">
        <v>345</v>
      </c>
      <c r="BG20" s="4" t="s">
        <v>632</v>
      </c>
      <c r="BJ20" s="4" t="s">
        <v>54</v>
      </c>
      <c r="BK20" s="4" t="s">
        <v>441</v>
      </c>
      <c r="BL20" s="4" t="s">
        <v>732</v>
      </c>
      <c r="BT20" s="4" t="s">
        <v>59</v>
      </c>
      <c r="BU20" s="4" t="s">
        <v>397</v>
      </c>
      <c r="BV20" s="4" t="s">
        <v>858</v>
      </c>
      <c r="BY20" s="4" t="s">
        <v>66</v>
      </c>
      <c r="BZ20" s="4" t="s">
        <v>441</v>
      </c>
      <c r="CA20" s="4" t="s">
        <v>632</v>
      </c>
      <c r="CD20" s="4" t="s">
        <v>54</v>
      </c>
      <c r="CE20" s="4" t="s">
        <v>446</v>
      </c>
      <c r="CF20" s="4" t="s">
        <v>30</v>
      </c>
      <c r="CI20" s="4" t="s">
        <v>138</v>
      </c>
      <c r="CJ20" s="4" t="s">
        <v>441</v>
      </c>
      <c r="CK20" s="4" t="s">
        <v>1047</v>
      </c>
      <c r="CN20" s="4" t="s">
        <v>138</v>
      </c>
      <c r="CO20" s="4" t="s">
        <v>441</v>
      </c>
      <c r="CP20" s="4" t="s">
        <v>1047</v>
      </c>
      <c r="CS20" s="4" t="s">
        <v>138</v>
      </c>
      <c r="CT20" s="4" t="s">
        <v>360</v>
      </c>
      <c r="CU20" s="4" t="s">
        <v>1047</v>
      </c>
      <c r="CX20" s="4" t="s">
        <v>72</v>
      </c>
      <c r="CY20" s="4" t="s">
        <v>287</v>
      </c>
      <c r="CZ20" s="4" t="s">
        <v>1112</v>
      </c>
      <c r="DC20" s="4" t="s">
        <v>54</v>
      </c>
      <c r="DD20" s="4" t="s">
        <v>441</v>
      </c>
      <c r="DE20" s="4" t="s">
        <v>1281</v>
      </c>
      <c r="DM20" s="4" t="s">
        <v>54</v>
      </c>
      <c r="DN20" s="4" t="s">
        <v>441</v>
      </c>
      <c r="DO20" s="4" t="s">
        <v>632</v>
      </c>
      <c r="DR20" s="4" t="s">
        <v>54</v>
      </c>
      <c r="DS20" s="4" t="s">
        <v>32</v>
      </c>
      <c r="DT20" s="4" t="s">
        <v>1409</v>
      </c>
    </row>
    <row r="21" spans="2:124">
      <c r="B21" s="4" t="s">
        <v>57</v>
      </c>
      <c r="C21" s="4" t="s">
        <v>45</v>
      </c>
      <c r="D21" s="4" t="s">
        <v>58</v>
      </c>
      <c r="G21" s="4" t="s">
        <v>57</v>
      </c>
      <c r="H21" s="4" t="s">
        <v>292</v>
      </c>
      <c r="I21" s="4" t="s">
        <v>58</v>
      </c>
      <c r="L21" s="4" t="s">
        <v>42</v>
      </c>
      <c r="M21" s="4" t="s">
        <v>35</v>
      </c>
      <c r="N21" s="4" t="s">
        <v>43</v>
      </c>
      <c r="Q21" s="4" t="s">
        <v>42</v>
      </c>
      <c r="R21" s="4" t="s">
        <v>290</v>
      </c>
      <c r="S21" s="4" t="s">
        <v>43</v>
      </c>
      <c r="V21" s="4" t="s">
        <v>59</v>
      </c>
      <c r="W21" s="4" t="s">
        <v>363</v>
      </c>
      <c r="X21" s="4" t="s">
        <v>60</v>
      </c>
      <c r="AA21" s="4" t="s">
        <v>42</v>
      </c>
      <c r="AB21" s="4" t="s">
        <v>346</v>
      </c>
      <c r="AC21" s="4" t="s">
        <v>30</v>
      </c>
      <c r="AF21" s="4" t="s">
        <v>57</v>
      </c>
      <c r="AG21" s="4" t="s">
        <v>289</v>
      </c>
      <c r="AH21" s="4" t="s">
        <v>58</v>
      </c>
      <c r="AK21" s="4" t="s">
        <v>57</v>
      </c>
      <c r="AL21" s="4" t="s">
        <v>441</v>
      </c>
      <c r="AM21" s="4" t="s">
        <v>30</v>
      </c>
      <c r="AP21" s="4" t="s">
        <v>42</v>
      </c>
      <c r="AQ21" s="4" t="s">
        <v>346</v>
      </c>
      <c r="AR21" s="4" t="s">
        <v>632</v>
      </c>
      <c r="AZ21" s="4" t="s">
        <v>42</v>
      </c>
      <c r="BA21" s="4" t="s">
        <v>346</v>
      </c>
      <c r="BB21" s="4" t="s">
        <v>732</v>
      </c>
      <c r="BE21" s="4" t="s">
        <v>53</v>
      </c>
      <c r="BF21" s="4" t="s">
        <v>345</v>
      </c>
      <c r="BG21" s="4" t="s">
        <v>632</v>
      </c>
      <c r="BJ21" s="4" t="s">
        <v>57</v>
      </c>
      <c r="BK21" s="4" t="s">
        <v>441</v>
      </c>
      <c r="BL21" s="4" t="s">
        <v>732</v>
      </c>
      <c r="BT21" s="4" t="s">
        <v>61</v>
      </c>
      <c r="BU21" s="4" t="s">
        <v>859</v>
      </c>
      <c r="BV21" s="4" t="s">
        <v>860</v>
      </c>
      <c r="BY21" s="4" t="s">
        <v>68</v>
      </c>
      <c r="BZ21" s="4" t="s">
        <v>345</v>
      </c>
      <c r="CA21" s="4" t="s">
        <v>637</v>
      </c>
      <c r="CD21" s="4" t="s">
        <v>57</v>
      </c>
      <c r="CE21" s="4" t="s">
        <v>446</v>
      </c>
      <c r="CF21" s="4" t="s">
        <v>30</v>
      </c>
      <c r="CI21" s="4" t="s">
        <v>152</v>
      </c>
      <c r="CJ21" s="4" t="s">
        <v>441</v>
      </c>
      <c r="CK21" s="4" t="s">
        <v>1048</v>
      </c>
      <c r="CN21" s="4" t="s">
        <v>152</v>
      </c>
      <c r="CO21" s="4" t="s">
        <v>441</v>
      </c>
      <c r="CP21" s="4" t="s">
        <v>1048</v>
      </c>
      <c r="CS21" s="4" t="s">
        <v>152</v>
      </c>
      <c r="CT21" s="4" t="s">
        <v>360</v>
      </c>
      <c r="CU21" s="4" t="s">
        <v>1048</v>
      </c>
      <c r="CX21" s="4" t="s">
        <v>73</v>
      </c>
      <c r="CY21" s="4" t="s">
        <v>1603</v>
      </c>
      <c r="CZ21" s="4" t="s">
        <v>1114</v>
      </c>
      <c r="DC21" s="4" t="s">
        <v>57</v>
      </c>
      <c r="DD21" s="4" t="s">
        <v>441</v>
      </c>
      <c r="DE21" s="4" t="s">
        <v>1281</v>
      </c>
      <c r="DM21" s="4" t="s">
        <v>57</v>
      </c>
      <c r="DN21" s="4" t="s">
        <v>441</v>
      </c>
      <c r="DO21" s="4" t="s">
        <v>632</v>
      </c>
      <c r="DR21" s="4" t="s">
        <v>57</v>
      </c>
      <c r="DS21" s="4" t="s">
        <v>289</v>
      </c>
      <c r="DT21" s="4" t="s">
        <v>58</v>
      </c>
    </row>
    <row r="22" spans="2:124">
      <c r="B22" s="4" t="s">
        <v>59</v>
      </c>
      <c r="C22" s="4" t="s">
        <v>45</v>
      </c>
      <c r="D22" s="4" t="s">
        <v>60</v>
      </c>
      <c r="G22" s="4" t="s">
        <v>59</v>
      </c>
      <c r="H22" s="4" t="s">
        <v>292</v>
      </c>
      <c r="I22" s="4" t="s">
        <v>60</v>
      </c>
      <c r="L22" s="4" t="s">
        <v>44</v>
      </c>
      <c r="M22" s="4" t="s">
        <v>45</v>
      </c>
      <c r="N22" s="4" t="s">
        <v>46</v>
      </c>
      <c r="Q22" s="4" t="s">
        <v>44</v>
      </c>
      <c r="R22" s="4" t="s">
        <v>292</v>
      </c>
      <c r="S22" s="4" t="s">
        <v>46</v>
      </c>
      <c r="V22" s="4" t="s">
        <v>61</v>
      </c>
      <c r="W22" s="4" t="s">
        <v>364</v>
      </c>
      <c r="X22" s="4" t="s">
        <v>63</v>
      </c>
      <c r="AA22" s="4" t="s">
        <v>44</v>
      </c>
      <c r="AB22" s="4" t="s">
        <v>345</v>
      </c>
      <c r="AC22" s="4" t="s">
        <v>30</v>
      </c>
      <c r="AF22" s="4" t="s">
        <v>59</v>
      </c>
      <c r="AG22" s="4" t="s">
        <v>481</v>
      </c>
      <c r="AH22" s="4" t="s">
        <v>482</v>
      </c>
      <c r="AK22" s="4" t="s">
        <v>59</v>
      </c>
      <c r="AL22" s="4" t="s">
        <v>441</v>
      </c>
      <c r="AM22" s="4" t="s">
        <v>30</v>
      </c>
      <c r="AP22" s="4" t="s">
        <v>44</v>
      </c>
      <c r="AQ22" s="4" t="s">
        <v>345</v>
      </c>
      <c r="AR22" s="4" t="s">
        <v>632</v>
      </c>
      <c r="AZ22" s="4" t="s">
        <v>44</v>
      </c>
      <c r="BA22" s="4" t="s">
        <v>345</v>
      </c>
      <c r="BB22" s="4" t="s">
        <v>732</v>
      </c>
      <c r="BE22" s="4" t="s">
        <v>54</v>
      </c>
      <c r="BF22" s="4" t="s">
        <v>345</v>
      </c>
      <c r="BG22" s="4" t="s">
        <v>632</v>
      </c>
      <c r="BJ22" s="4" t="s">
        <v>59</v>
      </c>
      <c r="BK22" s="4" t="s">
        <v>441</v>
      </c>
      <c r="BL22" s="4" t="s">
        <v>732</v>
      </c>
      <c r="BT22" s="4" t="s">
        <v>64</v>
      </c>
      <c r="BU22" s="4" t="s">
        <v>521</v>
      </c>
      <c r="BV22" s="4" t="s">
        <v>861</v>
      </c>
      <c r="BY22" s="4" t="s">
        <v>70</v>
      </c>
      <c r="BZ22" s="4" t="s">
        <v>441</v>
      </c>
      <c r="CA22" s="4" t="s">
        <v>632</v>
      </c>
      <c r="CD22" s="4" t="s">
        <v>59</v>
      </c>
      <c r="CE22" s="4" t="s">
        <v>298</v>
      </c>
      <c r="CF22" s="4" t="s">
        <v>972</v>
      </c>
      <c r="CI22" s="4" t="s">
        <v>160</v>
      </c>
      <c r="CJ22" s="4" t="s">
        <v>360</v>
      </c>
      <c r="CK22" s="4" t="s">
        <v>1049</v>
      </c>
      <c r="CN22" s="4" t="s">
        <v>160</v>
      </c>
      <c r="CO22" s="4" t="s">
        <v>360</v>
      </c>
      <c r="CP22" s="4" t="s">
        <v>1049</v>
      </c>
      <c r="CS22" s="4" t="s">
        <v>160</v>
      </c>
      <c r="CT22" s="4" t="s">
        <v>499</v>
      </c>
      <c r="CU22" s="4" t="s">
        <v>1049</v>
      </c>
      <c r="CX22" s="4" t="s">
        <v>76</v>
      </c>
      <c r="CY22" s="4" t="s">
        <v>1604</v>
      </c>
      <c r="CZ22" s="4" t="s">
        <v>1116</v>
      </c>
      <c r="DC22" s="4" t="s">
        <v>322</v>
      </c>
      <c r="DD22" s="4" t="s">
        <v>441</v>
      </c>
      <c r="DE22" s="4" t="s">
        <v>1281</v>
      </c>
      <c r="DM22" s="4" t="s">
        <v>59</v>
      </c>
      <c r="DN22" s="4" t="s">
        <v>441</v>
      </c>
      <c r="DO22" s="4" t="s">
        <v>632</v>
      </c>
      <c r="DR22" s="4" t="s">
        <v>59</v>
      </c>
      <c r="DS22" s="4" t="s">
        <v>385</v>
      </c>
      <c r="DT22" s="4" t="s">
        <v>1410</v>
      </c>
    </row>
    <row r="23" spans="2:124">
      <c r="B23" s="4" t="s">
        <v>61</v>
      </c>
      <c r="C23" s="4" t="s">
        <v>62</v>
      </c>
      <c r="D23" s="4" t="s">
        <v>63</v>
      </c>
      <c r="G23" s="4" t="s">
        <v>61</v>
      </c>
      <c r="H23" s="4" t="s">
        <v>294</v>
      </c>
      <c r="I23" s="4" t="s">
        <v>63</v>
      </c>
      <c r="L23" s="4" t="s">
        <v>47</v>
      </c>
      <c r="M23" s="4" t="s">
        <v>32</v>
      </c>
      <c r="N23" s="4" t="s">
        <v>30</v>
      </c>
      <c r="Q23" s="4" t="s">
        <v>47</v>
      </c>
      <c r="R23" s="4" t="s">
        <v>289</v>
      </c>
      <c r="S23" s="4" t="s">
        <v>30</v>
      </c>
      <c r="V23" s="4" t="s">
        <v>64</v>
      </c>
      <c r="W23" s="4" t="s">
        <v>365</v>
      </c>
      <c r="X23" s="4" t="s">
        <v>65</v>
      </c>
      <c r="AA23" s="4" t="s">
        <v>47</v>
      </c>
      <c r="AB23" s="4" t="s">
        <v>345</v>
      </c>
      <c r="AC23" s="4" t="s">
        <v>30</v>
      </c>
      <c r="AF23" s="4" t="s">
        <v>61</v>
      </c>
      <c r="AG23" s="4" t="s">
        <v>348</v>
      </c>
      <c r="AH23" s="4" t="s">
        <v>483</v>
      </c>
      <c r="AK23" s="4" t="s">
        <v>61</v>
      </c>
      <c r="AL23" s="4" t="s">
        <v>441</v>
      </c>
      <c r="AM23" s="4" t="s">
        <v>30</v>
      </c>
      <c r="AP23" s="4" t="s">
        <v>47</v>
      </c>
      <c r="AQ23" s="4" t="s">
        <v>345</v>
      </c>
      <c r="AR23" s="4" t="s">
        <v>632</v>
      </c>
      <c r="AZ23" s="4" t="s">
        <v>47</v>
      </c>
      <c r="BA23" s="4" t="s">
        <v>345</v>
      </c>
      <c r="BB23" s="4" t="s">
        <v>732</v>
      </c>
      <c r="BE23" s="4" t="s">
        <v>57</v>
      </c>
      <c r="BF23" s="4" t="s">
        <v>346</v>
      </c>
      <c r="BG23" s="4" t="s">
        <v>632</v>
      </c>
      <c r="BJ23" s="4" t="s">
        <v>61</v>
      </c>
      <c r="BK23" s="4" t="s">
        <v>441</v>
      </c>
      <c r="BL23" s="4" t="s">
        <v>732</v>
      </c>
      <c r="BT23" s="4" t="s">
        <v>66</v>
      </c>
      <c r="BU23" s="4" t="s">
        <v>497</v>
      </c>
      <c r="BV23" s="4" t="s">
        <v>862</v>
      </c>
      <c r="BY23" s="4" t="s">
        <v>72</v>
      </c>
      <c r="BZ23" s="4" t="s">
        <v>441</v>
      </c>
      <c r="CA23" s="4" t="s">
        <v>632</v>
      </c>
      <c r="CD23" s="4" t="s">
        <v>61</v>
      </c>
      <c r="CE23" s="4" t="s">
        <v>377</v>
      </c>
      <c r="CF23" s="4" t="s">
        <v>973</v>
      </c>
      <c r="CI23" s="4" t="s">
        <v>164</v>
      </c>
      <c r="CJ23" s="4" t="s">
        <v>356</v>
      </c>
      <c r="CK23" s="4" t="s">
        <v>1050</v>
      </c>
      <c r="CN23" s="4" t="s">
        <v>164</v>
      </c>
      <c r="CO23" s="4" t="s">
        <v>356</v>
      </c>
      <c r="CP23" s="4" t="s">
        <v>1050</v>
      </c>
      <c r="CS23" s="4" t="s">
        <v>164</v>
      </c>
      <c r="CT23" s="4" t="s">
        <v>503</v>
      </c>
      <c r="CU23" s="4" t="s">
        <v>1050</v>
      </c>
      <c r="CX23" s="4" t="s">
        <v>79</v>
      </c>
      <c r="CY23" s="4" t="s">
        <v>1605</v>
      </c>
      <c r="CZ23" s="4" t="s">
        <v>1118</v>
      </c>
      <c r="DC23" s="4" t="s">
        <v>59</v>
      </c>
      <c r="DD23" s="4" t="s">
        <v>441</v>
      </c>
      <c r="DE23" s="4" t="s">
        <v>1281</v>
      </c>
      <c r="DM23" s="4" t="s">
        <v>61</v>
      </c>
      <c r="DN23" s="4" t="s">
        <v>360</v>
      </c>
      <c r="DO23" s="4" t="s">
        <v>632</v>
      </c>
      <c r="DR23" s="4" t="s">
        <v>61</v>
      </c>
      <c r="DS23" s="4" t="s">
        <v>348</v>
      </c>
      <c r="DT23" s="4" t="s">
        <v>1411</v>
      </c>
    </row>
    <row r="24" spans="2:124">
      <c r="B24" s="4" t="s">
        <v>64</v>
      </c>
      <c r="C24" s="4" t="s">
        <v>29</v>
      </c>
      <c r="D24" s="4" t="s">
        <v>65</v>
      </c>
      <c r="G24" s="4" t="s">
        <v>64</v>
      </c>
      <c r="H24" s="4" t="s">
        <v>288</v>
      </c>
      <c r="I24" s="4" t="s">
        <v>65</v>
      </c>
      <c r="L24" s="4" t="s">
        <v>48</v>
      </c>
      <c r="M24" s="4" t="s">
        <v>45</v>
      </c>
      <c r="N24" s="4" t="s">
        <v>49</v>
      </c>
      <c r="Q24" s="4" t="s">
        <v>48</v>
      </c>
      <c r="R24" s="4" t="s">
        <v>292</v>
      </c>
      <c r="S24" s="4" t="s">
        <v>49</v>
      </c>
      <c r="V24" s="4" t="s">
        <v>66</v>
      </c>
      <c r="W24" s="4" t="s">
        <v>366</v>
      </c>
      <c r="X24" s="4" t="s">
        <v>367</v>
      </c>
      <c r="AA24" s="4" t="s">
        <v>48</v>
      </c>
      <c r="AB24" s="4" t="s">
        <v>346</v>
      </c>
      <c r="AC24" s="4" t="s">
        <v>30</v>
      </c>
      <c r="AF24" s="4" t="s">
        <v>64</v>
      </c>
      <c r="AG24" s="4" t="s">
        <v>90</v>
      </c>
      <c r="AH24" s="4" t="s">
        <v>484</v>
      </c>
      <c r="AK24" s="4" t="s">
        <v>64</v>
      </c>
      <c r="AL24" s="4" t="s">
        <v>441</v>
      </c>
      <c r="AM24" s="4" t="s">
        <v>30</v>
      </c>
      <c r="AP24" s="4" t="s">
        <v>48</v>
      </c>
      <c r="AQ24" s="4" t="s">
        <v>346</v>
      </c>
      <c r="AR24" s="4" t="s">
        <v>632</v>
      </c>
      <c r="AZ24" s="4" t="s">
        <v>48</v>
      </c>
      <c r="BA24" s="4" t="s">
        <v>346</v>
      </c>
      <c r="BB24" s="4" t="s">
        <v>732</v>
      </c>
      <c r="BE24" s="4" t="s">
        <v>322</v>
      </c>
      <c r="BF24" s="4" t="s">
        <v>441</v>
      </c>
      <c r="BG24" s="4" t="s">
        <v>632</v>
      </c>
      <c r="BJ24" s="4" t="s">
        <v>64</v>
      </c>
      <c r="BK24" s="4" t="s">
        <v>441</v>
      </c>
      <c r="BL24" s="4" t="s">
        <v>732</v>
      </c>
      <c r="BT24" s="4" t="s">
        <v>68</v>
      </c>
      <c r="BU24" s="4" t="s">
        <v>376</v>
      </c>
      <c r="BV24" s="4" t="s">
        <v>863</v>
      </c>
      <c r="BY24" s="4" t="s">
        <v>76</v>
      </c>
      <c r="BZ24" s="4" t="s">
        <v>441</v>
      </c>
      <c r="CA24" s="4" t="s">
        <v>632</v>
      </c>
      <c r="CD24" s="4" t="s">
        <v>64</v>
      </c>
      <c r="CE24" s="4" t="s">
        <v>446</v>
      </c>
      <c r="CF24" s="4" t="s">
        <v>30</v>
      </c>
      <c r="CI24" s="4" t="s">
        <v>168</v>
      </c>
      <c r="CJ24" s="4" t="s">
        <v>341</v>
      </c>
      <c r="CK24" s="4" t="s">
        <v>1051</v>
      </c>
      <c r="CN24" s="4" t="s">
        <v>168</v>
      </c>
      <c r="CO24" s="4" t="s">
        <v>341</v>
      </c>
      <c r="CP24" s="4" t="s">
        <v>1051</v>
      </c>
      <c r="CS24" s="4" t="s">
        <v>168</v>
      </c>
      <c r="CT24" s="4" t="s">
        <v>391</v>
      </c>
      <c r="CU24" s="4" t="s">
        <v>1051</v>
      </c>
      <c r="CX24" s="4" t="s">
        <v>82</v>
      </c>
      <c r="CY24" s="4" t="s">
        <v>1606</v>
      </c>
      <c r="CZ24" s="4" t="s">
        <v>1122</v>
      </c>
      <c r="DC24" s="4" t="s">
        <v>61</v>
      </c>
      <c r="DD24" s="4" t="s">
        <v>441</v>
      </c>
      <c r="DE24" s="4" t="s">
        <v>1281</v>
      </c>
      <c r="DM24" s="4" t="s">
        <v>64</v>
      </c>
      <c r="DN24" s="4" t="s">
        <v>441</v>
      </c>
      <c r="DO24" s="4" t="s">
        <v>632</v>
      </c>
      <c r="DR24" s="4" t="s">
        <v>64</v>
      </c>
      <c r="DS24" s="4" t="s">
        <v>90</v>
      </c>
      <c r="DT24" s="4" t="s">
        <v>1412</v>
      </c>
    </row>
    <row r="25" spans="2:124">
      <c r="B25" s="4" t="s">
        <v>66</v>
      </c>
      <c r="C25" s="4" t="s">
        <v>45</v>
      </c>
      <c r="D25" s="4" t="s">
        <v>67</v>
      </c>
      <c r="G25" s="4" t="s">
        <v>66</v>
      </c>
      <c r="H25" s="4" t="s">
        <v>292</v>
      </c>
      <c r="I25" s="4" t="s">
        <v>67</v>
      </c>
      <c r="L25" s="4" t="s">
        <v>50</v>
      </c>
      <c r="M25" s="4" t="s">
        <v>29</v>
      </c>
      <c r="N25" s="4" t="s">
        <v>51</v>
      </c>
      <c r="Q25" s="4" t="s">
        <v>50</v>
      </c>
      <c r="R25" s="4" t="s">
        <v>288</v>
      </c>
      <c r="S25" s="4" t="s">
        <v>51</v>
      </c>
      <c r="V25" s="4" t="s">
        <v>68</v>
      </c>
      <c r="W25" s="4" t="s">
        <v>368</v>
      </c>
      <c r="X25" s="4" t="s">
        <v>369</v>
      </c>
      <c r="AA25" s="4" t="s">
        <v>50</v>
      </c>
      <c r="AB25" s="4" t="s">
        <v>345</v>
      </c>
      <c r="AC25" s="4" t="s">
        <v>30</v>
      </c>
      <c r="AF25" s="4" t="s">
        <v>66</v>
      </c>
      <c r="AG25" s="4" t="s">
        <v>485</v>
      </c>
      <c r="AH25" s="4" t="s">
        <v>486</v>
      </c>
      <c r="AK25" s="4" t="s">
        <v>66</v>
      </c>
      <c r="AL25" s="4" t="s">
        <v>441</v>
      </c>
      <c r="AM25" s="4" t="s">
        <v>30</v>
      </c>
      <c r="AP25" s="4" t="s">
        <v>50</v>
      </c>
      <c r="AQ25" s="4" t="s">
        <v>345</v>
      </c>
      <c r="AR25" s="4" t="s">
        <v>632</v>
      </c>
      <c r="AZ25" s="4" t="s">
        <v>50</v>
      </c>
      <c r="BA25" s="4" t="s">
        <v>345</v>
      </c>
      <c r="BB25" s="4" t="s">
        <v>732</v>
      </c>
      <c r="BE25" s="4" t="s">
        <v>59</v>
      </c>
      <c r="BF25" s="4" t="s">
        <v>345</v>
      </c>
      <c r="BG25" s="4" t="s">
        <v>632</v>
      </c>
      <c r="BJ25" s="4" t="s">
        <v>66</v>
      </c>
      <c r="BK25" s="4" t="s">
        <v>441</v>
      </c>
      <c r="BL25" s="4" t="s">
        <v>732</v>
      </c>
      <c r="BT25" s="4" t="s">
        <v>70</v>
      </c>
      <c r="BU25" s="4" t="s">
        <v>29</v>
      </c>
      <c r="BV25" s="4" t="s">
        <v>864</v>
      </c>
      <c r="BY25" s="4" t="s">
        <v>79</v>
      </c>
      <c r="BZ25" s="4" t="s">
        <v>441</v>
      </c>
      <c r="CA25" s="4" t="s">
        <v>632</v>
      </c>
      <c r="CD25" s="4" t="s">
        <v>66</v>
      </c>
      <c r="CE25" s="4" t="s">
        <v>298</v>
      </c>
      <c r="CF25" s="4" t="s">
        <v>974</v>
      </c>
      <c r="CI25" s="4" t="s">
        <v>170</v>
      </c>
      <c r="CJ25" s="4" t="s">
        <v>441</v>
      </c>
      <c r="CK25" s="4" t="s">
        <v>1052</v>
      </c>
      <c r="CN25" s="4" t="s">
        <v>170</v>
      </c>
      <c r="CO25" s="4" t="s">
        <v>441</v>
      </c>
      <c r="CP25" s="4" t="s">
        <v>1052</v>
      </c>
      <c r="CS25" s="4" t="s">
        <v>170</v>
      </c>
      <c r="CT25" s="4" t="s">
        <v>346</v>
      </c>
      <c r="CU25" s="4" t="s">
        <v>1052</v>
      </c>
      <c r="CX25" s="4" t="s">
        <v>84</v>
      </c>
      <c r="CY25" s="4" t="s">
        <v>1607</v>
      </c>
      <c r="CZ25" s="4" t="s">
        <v>1124</v>
      </c>
      <c r="DC25" s="4" t="s">
        <v>64</v>
      </c>
      <c r="DD25" s="4" t="s">
        <v>441</v>
      </c>
      <c r="DE25" s="4" t="s">
        <v>1281</v>
      </c>
      <c r="DM25" s="4" t="s">
        <v>66</v>
      </c>
      <c r="DN25" s="4" t="s">
        <v>345</v>
      </c>
      <c r="DO25" s="4" t="s">
        <v>1386</v>
      </c>
      <c r="DR25" s="4" t="s">
        <v>66</v>
      </c>
      <c r="DS25" s="4" t="s">
        <v>485</v>
      </c>
      <c r="DT25" s="4" t="s">
        <v>1413</v>
      </c>
    </row>
    <row r="26" spans="2:124">
      <c r="B26" s="4" t="s">
        <v>68</v>
      </c>
      <c r="C26" s="4" t="s">
        <v>24</v>
      </c>
      <c r="D26" s="4" t="s">
        <v>69</v>
      </c>
      <c r="G26" s="4" t="s">
        <v>68</v>
      </c>
      <c r="H26" s="4" t="s">
        <v>286</v>
      </c>
      <c r="I26" s="4" t="s">
        <v>69</v>
      </c>
      <c r="L26" s="4" t="s">
        <v>52</v>
      </c>
      <c r="M26" s="4" t="s">
        <v>32</v>
      </c>
      <c r="N26" s="4" t="s">
        <v>30</v>
      </c>
      <c r="Q26" s="4" t="s">
        <v>52</v>
      </c>
      <c r="R26" s="4" t="s">
        <v>289</v>
      </c>
      <c r="S26" s="4" t="s">
        <v>30</v>
      </c>
      <c r="V26" s="4" t="s">
        <v>70</v>
      </c>
      <c r="W26" s="4" t="s">
        <v>370</v>
      </c>
      <c r="X26" s="4" t="s">
        <v>371</v>
      </c>
      <c r="AA26" s="4" t="s">
        <v>52</v>
      </c>
      <c r="AB26" s="4" t="s">
        <v>345</v>
      </c>
      <c r="AC26" s="4" t="s">
        <v>30</v>
      </c>
      <c r="AF26" s="4" t="s">
        <v>68</v>
      </c>
      <c r="AG26" s="4" t="s">
        <v>487</v>
      </c>
      <c r="AH26" s="4" t="s">
        <v>488</v>
      </c>
      <c r="AK26" s="4" t="s">
        <v>68</v>
      </c>
      <c r="AL26" s="4" t="s">
        <v>441</v>
      </c>
      <c r="AM26" s="4" t="s">
        <v>30</v>
      </c>
      <c r="AP26" s="4" t="s">
        <v>52</v>
      </c>
      <c r="AQ26" s="4" t="s">
        <v>345</v>
      </c>
      <c r="AR26" s="4" t="s">
        <v>632</v>
      </c>
      <c r="AZ26" s="4" t="s">
        <v>52</v>
      </c>
      <c r="BA26" s="4" t="s">
        <v>345</v>
      </c>
      <c r="BB26" s="4" t="s">
        <v>732</v>
      </c>
      <c r="BE26" s="4" t="s">
        <v>61</v>
      </c>
      <c r="BF26" s="4" t="s">
        <v>446</v>
      </c>
      <c r="BG26" s="4" t="s">
        <v>632</v>
      </c>
      <c r="BJ26" s="4" t="s">
        <v>68</v>
      </c>
      <c r="BK26" s="4" t="s">
        <v>441</v>
      </c>
      <c r="BL26" s="4" t="s">
        <v>732</v>
      </c>
      <c r="BT26" s="4" t="s">
        <v>72</v>
      </c>
      <c r="BU26" s="4" t="s">
        <v>441</v>
      </c>
      <c r="BV26" s="4" t="s">
        <v>632</v>
      </c>
      <c r="BY26" s="4" t="s">
        <v>81</v>
      </c>
      <c r="BZ26" s="4" t="s">
        <v>441</v>
      </c>
      <c r="CA26" s="4" t="s">
        <v>632</v>
      </c>
      <c r="CD26" s="4" t="s">
        <v>68</v>
      </c>
      <c r="CE26" s="4" t="s">
        <v>298</v>
      </c>
      <c r="CF26" s="4" t="s">
        <v>975</v>
      </c>
      <c r="CI26" s="4" t="s">
        <v>172</v>
      </c>
      <c r="CJ26" s="4" t="s">
        <v>346</v>
      </c>
      <c r="CK26" s="4" t="s">
        <v>1053</v>
      </c>
      <c r="CN26" s="4" t="s">
        <v>172</v>
      </c>
      <c r="CO26" s="4" t="s">
        <v>346</v>
      </c>
      <c r="CP26" s="4" t="s">
        <v>1053</v>
      </c>
      <c r="CS26" s="4" t="s">
        <v>172</v>
      </c>
      <c r="CT26" s="4" t="s">
        <v>289</v>
      </c>
      <c r="CU26" s="4" t="s">
        <v>1053</v>
      </c>
      <c r="CX26" s="4" t="s">
        <v>86</v>
      </c>
      <c r="CY26" s="4" t="s">
        <v>1608</v>
      </c>
      <c r="CZ26" s="4" t="s">
        <v>1126</v>
      </c>
      <c r="DC26" s="4" t="s">
        <v>66</v>
      </c>
      <c r="DD26" s="4" t="s">
        <v>441</v>
      </c>
      <c r="DE26" s="4" t="s">
        <v>1281</v>
      </c>
      <c r="DM26" s="4" t="s">
        <v>68</v>
      </c>
      <c r="DN26" s="4" t="s">
        <v>346</v>
      </c>
      <c r="DO26" s="4" t="s">
        <v>637</v>
      </c>
      <c r="DR26" s="4" t="s">
        <v>68</v>
      </c>
      <c r="DS26" s="4" t="s">
        <v>487</v>
      </c>
      <c r="DT26" s="4" t="s">
        <v>1414</v>
      </c>
    </row>
    <row r="27" spans="2:124">
      <c r="B27" s="4" t="s">
        <v>70</v>
      </c>
      <c r="C27" s="4" t="s">
        <v>45</v>
      </c>
      <c r="D27" s="4" t="s">
        <v>71</v>
      </c>
      <c r="G27" s="4" t="s">
        <v>70</v>
      </c>
      <c r="H27" s="4" t="s">
        <v>292</v>
      </c>
      <c r="I27" s="4" t="s">
        <v>71</v>
      </c>
      <c r="L27" s="4" t="s">
        <v>53</v>
      </c>
      <c r="M27" s="4" t="s">
        <v>32</v>
      </c>
      <c r="N27" s="4" t="s">
        <v>30</v>
      </c>
      <c r="Q27" s="4" t="s">
        <v>53</v>
      </c>
      <c r="R27" s="4" t="s">
        <v>289</v>
      </c>
      <c r="S27" s="4" t="s">
        <v>30</v>
      </c>
      <c r="V27" s="4" t="s">
        <v>72</v>
      </c>
      <c r="W27" s="4" t="s">
        <v>372</v>
      </c>
      <c r="X27" s="4" t="s">
        <v>30</v>
      </c>
      <c r="AA27" s="4" t="s">
        <v>53</v>
      </c>
      <c r="AB27" s="4" t="s">
        <v>345</v>
      </c>
      <c r="AC27" s="4" t="s">
        <v>30</v>
      </c>
      <c r="AF27" s="4" t="s">
        <v>70</v>
      </c>
      <c r="AG27" s="4" t="s">
        <v>489</v>
      </c>
      <c r="AH27" s="4" t="s">
        <v>490</v>
      </c>
      <c r="AK27" s="4" t="s">
        <v>70</v>
      </c>
      <c r="AL27" s="4" t="s">
        <v>441</v>
      </c>
      <c r="AM27" s="4" t="s">
        <v>30</v>
      </c>
      <c r="AP27" s="4" t="s">
        <v>53</v>
      </c>
      <c r="AQ27" s="4" t="s">
        <v>345</v>
      </c>
      <c r="AR27" s="4" t="s">
        <v>632</v>
      </c>
      <c r="AZ27" s="4" t="s">
        <v>53</v>
      </c>
      <c r="BA27" s="4" t="s">
        <v>345</v>
      </c>
      <c r="BB27" s="4" t="s">
        <v>732</v>
      </c>
      <c r="BE27" s="4" t="s">
        <v>64</v>
      </c>
      <c r="BF27" s="4" t="s">
        <v>345</v>
      </c>
      <c r="BG27" s="4" t="s">
        <v>632</v>
      </c>
      <c r="BJ27" s="4" t="s">
        <v>70</v>
      </c>
      <c r="BK27" s="4" t="s">
        <v>441</v>
      </c>
      <c r="BL27" s="4" t="s">
        <v>732</v>
      </c>
      <c r="BT27" s="4" t="s">
        <v>73</v>
      </c>
      <c r="BU27" s="4" t="s">
        <v>865</v>
      </c>
      <c r="BV27" s="4" t="s">
        <v>866</v>
      </c>
      <c r="BY27" s="4" t="s">
        <v>82</v>
      </c>
      <c r="BZ27" s="4" t="s">
        <v>441</v>
      </c>
      <c r="CA27" s="4" t="s">
        <v>638</v>
      </c>
      <c r="CD27" s="4" t="s">
        <v>70</v>
      </c>
      <c r="CE27" s="4" t="s">
        <v>298</v>
      </c>
      <c r="CF27" s="4" t="s">
        <v>972</v>
      </c>
      <c r="CI27" s="4" t="s">
        <v>176</v>
      </c>
      <c r="CJ27" s="4" t="s">
        <v>441</v>
      </c>
      <c r="CK27" s="4" t="s">
        <v>1054</v>
      </c>
      <c r="CN27" s="4" t="s">
        <v>176</v>
      </c>
      <c r="CO27" s="4" t="s">
        <v>441</v>
      </c>
      <c r="CP27" s="4" t="s">
        <v>1054</v>
      </c>
      <c r="CS27" s="4" t="s">
        <v>176</v>
      </c>
      <c r="CT27" s="4" t="s">
        <v>360</v>
      </c>
      <c r="CU27" s="4" t="s">
        <v>1054</v>
      </c>
      <c r="CX27" s="4" t="s">
        <v>91</v>
      </c>
      <c r="CY27" s="4" t="s">
        <v>509</v>
      </c>
      <c r="CZ27" s="4" t="s">
        <v>1130</v>
      </c>
      <c r="DC27" s="4" t="s">
        <v>68</v>
      </c>
      <c r="DD27" s="4" t="s">
        <v>345</v>
      </c>
      <c r="DE27" s="4" t="s">
        <v>1283</v>
      </c>
      <c r="DM27" s="4" t="s">
        <v>70</v>
      </c>
      <c r="DN27" s="4" t="s">
        <v>441</v>
      </c>
      <c r="DO27" s="4" t="s">
        <v>632</v>
      </c>
      <c r="DR27" s="4" t="s">
        <v>70</v>
      </c>
      <c r="DS27" s="4" t="s">
        <v>1415</v>
      </c>
      <c r="DT27" s="4" t="s">
        <v>1416</v>
      </c>
    </row>
    <row r="28" spans="2:124">
      <c r="B28" s="4" t="s">
        <v>72</v>
      </c>
      <c r="C28" s="4" t="s">
        <v>32</v>
      </c>
      <c r="D28" s="4" t="s">
        <v>30</v>
      </c>
      <c r="G28" s="4" t="s">
        <v>72</v>
      </c>
      <c r="H28" s="4" t="s">
        <v>289</v>
      </c>
      <c r="I28" s="4" t="s">
        <v>30</v>
      </c>
      <c r="L28" s="4" t="s">
        <v>54</v>
      </c>
      <c r="M28" s="4" t="s">
        <v>55</v>
      </c>
      <c r="N28" s="4" t="s">
        <v>56</v>
      </c>
      <c r="Q28" s="4" t="s">
        <v>54</v>
      </c>
      <c r="R28" s="4" t="s">
        <v>293</v>
      </c>
      <c r="S28" s="4" t="s">
        <v>56</v>
      </c>
      <c r="V28" s="4" t="s">
        <v>73</v>
      </c>
      <c r="W28" s="4" t="s">
        <v>373</v>
      </c>
      <c r="X28" s="4" t="s">
        <v>74</v>
      </c>
      <c r="AA28" s="4" t="s">
        <v>54</v>
      </c>
      <c r="AB28" s="4" t="s">
        <v>345</v>
      </c>
      <c r="AC28" s="4" t="s">
        <v>30</v>
      </c>
      <c r="AF28" s="4" t="s">
        <v>72</v>
      </c>
      <c r="AG28" s="4" t="s">
        <v>491</v>
      </c>
      <c r="AH28" s="4" t="s">
        <v>492</v>
      </c>
      <c r="AK28" s="4" t="s">
        <v>72</v>
      </c>
      <c r="AL28" s="4" t="s">
        <v>441</v>
      </c>
      <c r="AM28" s="4" t="s">
        <v>30</v>
      </c>
      <c r="AP28" s="4" t="s">
        <v>54</v>
      </c>
      <c r="AQ28" s="4" t="s">
        <v>345</v>
      </c>
      <c r="AR28" s="4" t="s">
        <v>632</v>
      </c>
      <c r="AZ28" s="4" t="s">
        <v>54</v>
      </c>
      <c r="BA28" s="4" t="s">
        <v>345</v>
      </c>
      <c r="BB28" s="4" t="s">
        <v>732</v>
      </c>
      <c r="BE28" s="4" t="s">
        <v>66</v>
      </c>
      <c r="BF28" s="4" t="s">
        <v>346</v>
      </c>
      <c r="BG28" s="4" t="s">
        <v>632</v>
      </c>
      <c r="BJ28" s="4" t="s">
        <v>72</v>
      </c>
      <c r="BK28" s="4" t="s">
        <v>441</v>
      </c>
      <c r="BL28" s="4" t="s">
        <v>732</v>
      </c>
      <c r="BT28" s="4" t="s">
        <v>75</v>
      </c>
      <c r="BU28" s="4" t="s">
        <v>441</v>
      </c>
      <c r="BV28" s="4" t="s">
        <v>632</v>
      </c>
      <c r="BY28" s="4" t="s">
        <v>84</v>
      </c>
      <c r="BZ28" s="4" t="s">
        <v>441</v>
      </c>
      <c r="CA28" s="4" t="s">
        <v>639</v>
      </c>
      <c r="CD28" s="4" t="s">
        <v>72</v>
      </c>
      <c r="CE28" s="4" t="s">
        <v>446</v>
      </c>
      <c r="CF28" s="4" t="s">
        <v>30</v>
      </c>
      <c r="CI28" s="4" t="s">
        <v>182</v>
      </c>
      <c r="CJ28" s="4" t="s">
        <v>441</v>
      </c>
      <c r="CK28" s="4" t="s">
        <v>1055</v>
      </c>
      <c r="CN28" s="4" t="s">
        <v>182</v>
      </c>
      <c r="CO28" s="4" t="s">
        <v>441</v>
      </c>
      <c r="CP28" s="4" t="s">
        <v>1055</v>
      </c>
      <c r="CS28" s="4" t="s">
        <v>182</v>
      </c>
      <c r="CT28" s="4" t="s">
        <v>446</v>
      </c>
      <c r="CU28" s="4" t="s">
        <v>1055</v>
      </c>
      <c r="CX28" s="4" t="s">
        <v>93</v>
      </c>
      <c r="CY28" s="4" t="s">
        <v>1609</v>
      </c>
      <c r="CZ28" s="4" t="s">
        <v>1132</v>
      </c>
      <c r="DC28" s="4" t="s">
        <v>70</v>
      </c>
      <c r="DD28" s="4" t="s">
        <v>441</v>
      </c>
      <c r="DE28" s="4" t="s">
        <v>1281</v>
      </c>
      <c r="DM28" s="4" t="s">
        <v>72</v>
      </c>
      <c r="DN28" s="4" t="s">
        <v>441</v>
      </c>
      <c r="DO28" s="4" t="s">
        <v>632</v>
      </c>
      <c r="DR28" s="4" t="s">
        <v>72</v>
      </c>
      <c r="DS28" s="4" t="s">
        <v>491</v>
      </c>
      <c r="DT28" s="4" t="s">
        <v>1417</v>
      </c>
    </row>
    <row r="29" spans="2:124">
      <c r="B29" s="4" t="s">
        <v>73</v>
      </c>
      <c r="C29" s="4" t="s">
        <v>35</v>
      </c>
      <c r="D29" s="4" t="s">
        <v>74</v>
      </c>
      <c r="G29" s="4" t="s">
        <v>73</v>
      </c>
      <c r="H29" s="4" t="s">
        <v>290</v>
      </c>
      <c r="I29" s="4" t="s">
        <v>74</v>
      </c>
      <c r="L29" s="4" t="s">
        <v>57</v>
      </c>
      <c r="M29" s="4" t="s">
        <v>45</v>
      </c>
      <c r="N29" s="4" t="s">
        <v>58</v>
      </c>
      <c r="Q29" s="4" t="s">
        <v>57</v>
      </c>
      <c r="R29" s="4" t="s">
        <v>292</v>
      </c>
      <c r="S29" s="4" t="s">
        <v>58</v>
      </c>
      <c r="V29" s="4" t="s">
        <v>75</v>
      </c>
      <c r="W29" s="4" t="s">
        <v>346</v>
      </c>
      <c r="X29" s="4" t="s">
        <v>30</v>
      </c>
      <c r="AA29" s="4" t="s">
        <v>57</v>
      </c>
      <c r="AB29" s="4" t="s">
        <v>346</v>
      </c>
      <c r="AC29" s="4" t="s">
        <v>30</v>
      </c>
      <c r="AF29" s="4" t="s">
        <v>73</v>
      </c>
      <c r="AG29" s="4" t="s">
        <v>493</v>
      </c>
      <c r="AH29" s="4" t="s">
        <v>494</v>
      </c>
      <c r="AK29" s="4" t="s">
        <v>73</v>
      </c>
      <c r="AL29" s="4" t="s">
        <v>441</v>
      </c>
      <c r="AM29" s="4" t="s">
        <v>30</v>
      </c>
      <c r="AP29" s="4" t="s">
        <v>57</v>
      </c>
      <c r="AQ29" s="4" t="s">
        <v>346</v>
      </c>
      <c r="AR29" s="4" t="s">
        <v>632</v>
      </c>
      <c r="AZ29" s="4" t="s">
        <v>57</v>
      </c>
      <c r="BA29" s="4" t="s">
        <v>346</v>
      </c>
      <c r="BB29" s="4" t="s">
        <v>732</v>
      </c>
      <c r="BE29" s="4" t="s">
        <v>68</v>
      </c>
      <c r="BF29" s="4" t="s">
        <v>360</v>
      </c>
      <c r="BG29" s="4" t="s">
        <v>637</v>
      </c>
      <c r="BJ29" s="4" t="s">
        <v>73</v>
      </c>
      <c r="BK29" s="4" t="s">
        <v>441</v>
      </c>
      <c r="BL29" s="4" t="s">
        <v>732</v>
      </c>
      <c r="BT29" s="4" t="s">
        <v>76</v>
      </c>
      <c r="BU29" s="4" t="s">
        <v>402</v>
      </c>
      <c r="BV29" s="4" t="s">
        <v>867</v>
      </c>
      <c r="BY29" s="4" t="s">
        <v>86</v>
      </c>
      <c r="BZ29" s="4" t="s">
        <v>345</v>
      </c>
      <c r="CA29" s="4" t="s">
        <v>640</v>
      </c>
      <c r="CD29" s="4" t="s">
        <v>73</v>
      </c>
      <c r="CE29" s="4" t="s">
        <v>450</v>
      </c>
      <c r="CF29" s="4" t="s">
        <v>30</v>
      </c>
      <c r="CI29" s="4" t="s">
        <v>188</v>
      </c>
      <c r="CJ29" s="4" t="s">
        <v>1056</v>
      </c>
      <c r="CK29" s="4" t="s">
        <v>1057</v>
      </c>
      <c r="CN29" s="4" t="s">
        <v>188</v>
      </c>
      <c r="CO29" s="4" t="s">
        <v>1056</v>
      </c>
      <c r="CP29" s="4" t="s">
        <v>1057</v>
      </c>
      <c r="CS29" s="4" t="s">
        <v>188</v>
      </c>
      <c r="CT29" s="4" t="s">
        <v>1073</v>
      </c>
      <c r="CU29" s="4" t="s">
        <v>1057</v>
      </c>
      <c r="CX29" s="4" t="s">
        <v>94</v>
      </c>
      <c r="CY29" s="4" t="s">
        <v>1610</v>
      </c>
      <c r="CZ29" s="4" t="s">
        <v>1134</v>
      </c>
      <c r="DC29" s="4" t="s">
        <v>72</v>
      </c>
      <c r="DD29" s="4" t="s">
        <v>441</v>
      </c>
      <c r="DE29" s="4" t="s">
        <v>1281</v>
      </c>
      <c r="DM29" s="4" t="s">
        <v>73</v>
      </c>
      <c r="DN29" s="4" t="s">
        <v>360</v>
      </c>
      <c r="DO29" s="4" t="s">
        <v>632</v>
      </c>
      <c r="DR29" s="4" t="s">
        <v>73</v>
      </c>
      <c r="DS29" s="4" t="s">
        <v>493</v>
      </c>
      <c r="DT29" s="4" t="s">
        <v>1418</v>
      </c>
    </row>
    <row r="30" spans="2:124">
      <c r="B30" s="4" t="s">
        <v>75</v>
      </c>
      <c r="C30" s="4" t="s">
        <v>32</v>
      </c>
      <c r="D30" s="4" t="s">
        <v>30</v>
      </c>
      <c r="G30" s="4" t="s">
        <v>75</v>
      </c>
      <c r="H30" s="4" t="s">
        <v>289</v>
      </c>
      <c r="I30" s="4" t="s">
        <v>30</v>
      </c>
      <c r="L30" s="4" t="s">
        <v>322</v>
      </c>
      <c r="M30" s="4" t="s">
        <v>104</v>
      </c>
      <c r="N30" s="4" t="s">
        <v>311</v>
      </c>
      <c r="Q30" s="4" t="s">
        <v>322</v>
      </c>
      <c r="R30" s="4" t="s">
        <v>298</v>
      </c>
      <c r="S30" s="4" t="s">
        <v>311</v>
      </c>
      <c r="V30" s="4" t="s">
        <v>76</v>
      </c>
      <c r="W30" s="4" t="s">
        <v>374</v>
      </c>
      <c r="X30" s="4" t="s">
        <v>375</v>
      </c>
      <c r="AA30" s="4" t="s">
        <v>322</v>
      </c>
      <c r="AB30" s="4" t="s">
        <v>441</v>
      </c>
      <c r="AC30" s="4" t="s">
        <v>442</v>
      </c>
      <c r="AF30" s="4" t="s">
        <v>75</v>
      </c>
      <c r="AG30" s="4" t="s">
        <v>346</v>
      </c>
      <c r="AH30" s="4" t="s">
        <v>30</v>
      </c>
      <c r="AK30" s="4" t="s">
        <v>75</v>
      </c>
      <c r="AL30" s="4" t="s">
        <v>441</v>
      </c>
      <c r="AM30" s="4" t="s">
        <v>30</v>
      </c>
      <c r="AP30" s="4" t="s">
        <v>322</v>
      </c>
      <c r="AQ30" s="4" t="s">
        <v>441</v>
      </c>
      <c r="AR30" s="4" t="s">
        <v>632</v>
      </c>
      <c r="AZ30" s="4" t="s">
        <v>322</v>
      </c>
      <c r="BA30" s="4" t="s">
        <v>441</v>
      </c>
      <c r="BB30" s="4" t="s">
        <v>632</v>
      </c>
      <c r="BE30" s="4" t="s">
        <v>70</v>
      </c>
      <c r="BF30" s="4" t="s">
        <v>444</v>
      </c>
      <c r="BG30" s="4" t="s">
        <v>782</v>
      </c>
      <c r="BJ30" s="4" t="s">
        <v>75</v>
      </c>
      <c r="BK30" s="4" t="s">
        <v>441</v>
      </c>
      <c r="BL30" s="4" t="s">
        <v>732</v>
      </c>
      <c r="BT30" s="4" t="s">
        <v>79</v>
      </c>
      <c r="BU30" s="4" t="s">
        <v>513</v>
      </c>
      <c r="BV30" s="4" t="s">
        <v>868</v>
      </c>
      <c r="BY30" s="4" t="s">
        <v>89</v>
      </c>
      <c r="BZ30" s="4" t="s">
        <v>441</v>
      </c>
      <c r="CA30" s="4" t="s">
        <v>641</v>
      </c>
      <c r="CD30" s="4" t="s">
        <v>75</v>
      </c>
      <c r="CE30" s="4" t="s">
        <v>446</v>
      </c>
      <c r="CF30" s="4" t="s">
        <v>30</v>
      </c>
      <c r="CI30" s="4" t="s">
        <v>201</v>
      </c>
      <c r="CJ30" s="4" t="s">
        <v>1058</v>
      </c>
      <c r="CK30" s="4" t="s">
        <v>1059</v>
      </c>
      <c r="CN30" s="4" t="s">
        <v>201</v>
      </c>
      <c r="CO30" s="4" t="s">
        <v>1058</v>
      </c>
      <c r="CP30" s="4" t="s">
        <v>1059</v>
      </c>
      <c r="CS30" s="4" t="s">
        <v>201</v>
      </c>
      <c r="CT30" s="4" t="s">
        <v>1074</v>
      </c>
      <c r="CU30" s="4" t="s">
        <v>1059</v>
      </c>
      <c r="CX30" s="4" t="s">
        <v>96</v>
      </c>
      <c r="CY30" s="4" t="s">
        <v>1611</v>
      </c>
      <c r="CZ30" s="4" t="s">
        <v>1612</v>
      </c>
      <c r="DC30" s="4" t="s">
        <v>73</v>
      </c>
      <c r="DD30" s="4" t="s">
        <v>441</v>
      </c>
      <c r="DE30" s="4" t="s">
        <v>1281</v>
      </c>
      <c r="DM30" s="4" t="s">
        <v>75</v>
      </c>
      <c r="DN30" s="4" t="s">
        <v>441</v>
      </c>
      <c r="DO30" s="4" t="s">
        <v>632</v>
      </c>
      <c r="DR30" s="4" t="s">
        <v>75</v>
      </c>
      <c r="DS30" s="4" t="s">
        <v>346</v>
      </c>
      <c r="DT30" s="4" t="s">
        <v>632</v>
      </c>
    </row>
    <row r="31" spans="2:124">
      <c r="B31" s="4" t="s">
        <v>76</v>
      </c>
      <c r="C31" s="4" t="s">
        <v>77</v>
      </c>
      <c r="D31" s="4" t="s">
        <v>78</v>
      </c>
      <c r="G31" s="4" t="s">
        <v>76</v>
      </c>
      <c r="H31" s="4" t="s">
        <v>295</v>
      </c>
      <c r="I31" s="4" t="s">
        <v>78</v>
      </c>
      <c r="L31" s="4" t="s">
        <v>59</v>
      </c>
      <c r="M31" s="4" t="s">
        <v>45</v>
      </c>
      <c r="N31" s="4" t="s">
        <v>60</v>
      </c>
      <c r="Q31" s="4" t="s">
        <v>59</v>
      </c>
      <c r="R31" s="4" t="s">
        <v>292</v>
      </c>
      <c r="S31" s="4" t="s">
        <v>60</v>
      </c>
      <c r="V31" s="4" t="s">
        <v>79</v>
      </c>
      <c r="W31" s="4" t="s">
        <v>376</v>
      </c>
      <c r="X31" s="4" t="s">
        <v>80</v>
      </c>
      <c r="AA31" s="4" t="s">
        <v>59</v>
      </c>
      <c r="AB31" s="4" t="s">
        <v>345</v>
      </c>
      <c r="AC31" s="4" t="s">
        <v>30</v>
      </c>
      <c r="AF31" s="4" t="s">
        <v>76</v>
      </c>
      <c r="AG31" s="4" t="s">
        <v>495</v>
      </c>
      <c r="AH31" s="4" t="s">
        <v>496</v>
      </c>
      <c r="AK31" s="4" t="s">
        <v>76</v>
      </c>
      <c r="AL31" s="4" t="s">
        <v>441</v>
      </c>
      <c r="AM31" s="4" t="s">
        <v>30</v>
      </c>
      <c r="AP31" s="4" t="s">
        <v>59</v>
      </c>
      <c r="AQ31" s="4" t="s">
        <v>345</v>
      </c>
      <c r="AR31" s="4" t="s">
        <v>632</v>
      </c>
      <c r="AZ31" s="4" t="s">
        <v>59</v>
      </c>
      <c r="BA31" s="4" t="s">
        <v>345</v>
      </c>
      <c r="BB31" s="4" t="s">
        <v>732</v>
      </c>
      <c r="BE31" s="4" t="s">
        <v>72</v>
      </c>
      <c r="BF31" s="4" t="s">
        <v>345</v>
      </c>
      <c r="BG31" s="4" t="s">
        <v>632</v>
      </c>
      <c r="BJ31" s="4" t="s">
        <v>76</v>
      </c>
      <c r="BK31" s="4" t="s">
        <v>441</v>
      </c>
      <c r="BL31" s="4" t="s">
        <v>732</v>
      </c>
      <c r="BT31" s="4" t="s">
        <v>81</v>
      </c>
      <c r="BU31" s="4" t="s">
        <v>593</v>
      </c>
      <c r="BV31" s="4" t="s">
        <v>869</v>
      </c>
      <c r="BY31" s="4" t="s">
        <v>91</v>
      </c>
      <c r="BZ31" s="4" t="s">
        <v>441</v>
      </c>
      <c r="CA31" s="4" t="s">
        <v>642</v>
      </c>
      <c r="CD31" s="4" t="s">
        <v>76</v>
      </c>
      <c r="CE31" s="4" t="s">
        <v>298</v>
      </c>
      <c r="CF31" s="4" t="s">
        <v>974</v>
      </c>
      <c r="CI31" s="4" t="s">
        <v>203</v>
      </c>
      <c r="CJ31" s="4" t="s">
        <v>298</v>
      </c>
      <c r="CK31" s="4" t="s">
        <v>1060</v>
      </c>
      <c r="CN31" s="4" t="s">
        <v>203</v>
      </c>
      <c r="CO31" s="4" t="s">
        <v>298</v>
      </c>
      <c r="CP31" s="4" t="s">
        <v>1060</v>
      </c>
      <c r="CS31" s="4" t="s">
        <v>203</v>
      </c>
      <c r="CT31" s="4" t="s">
        <v>288</v>
      </c>
      <c r="CU31" s="4" t="s">
        <v>1060</v>
      </c>
      <c r="CX31" s="4" t="s">
        <v>99</v>
      </c>
      <c r="CY31" s="4" t="s">
        <v>1613</v>
      </c>
      <c r="CZ31" s="4" t="s">
        <v>1138</v>
      </c>
      <c r="DC31" s="4" t="s">
        <v>75</v>
      </c>
      <c r="DD31" s="4" t="s">
        <v>441</v>
      </c>
      <c r="DE31" s="4" t="s">
        <v>1281</v>
      </c>
      <c r="DM31" s="4" t="s">
        <v>76</v>
      </c>
      <c r="DN31" s="4" t="s">
        <v>441</v>
      </c>
      <c r="DO31" s="4" t="s">
        <v>632</v>
      </c>
      <c r="DR31" s="4" t="s">
        <v>76</v>
      </c>
      <c r="DS31" s="4" t="s">
        <v>1419</v>
      </c>
      <c r="DT31" s="4" t="s">
        <v>1420</v>
      </c>
    </row>
    <row r="32" spans="2:124">
      <c r="B32" s="4" t="s">
        <v>79</v>
      </c>
      <c r="C32" s="4" t="s">
        <v>45</v>
      </c>
      <c r="D32" s="4" t="s">
        <v>80</v>
      </c>
      <c r="G32" s="4" t="s">
        <v>79</v>
      </c>
      <c r="H32" s="4" t="s">
        <v>292</v>
      </c>
      <c r="I32" s="4" t="s">
        <v>80</v>
      </c>
      <c r="L32" s="4" t="s">
        <v>61</v>
      </c>
      <c r="M32" s="4" t="s">
        <v>27</v>
      </c>
      <c r="N32" s="4" t="s">
        <v>323</v>
      </c>
      <c r="Q32" s="4" t="s">
        <v>61</v>
      </c>
      <c r="R32" s="4" t="s">
        <v>287</v>
      </c>
      <c r="S32" s="4" t="s">
        <v>323</v>
      </c>
      <c r="V32" s="4" t="s">
        <v>81</v>
      </c>
      <c r="W32" s="4" t="s">
        <v>377</v>
      </c>
      <c r="X32" s="4" t="s">
        <v>30</v>
      </c>
      <c r="AA32" s="4" t="s">
        <v>61</v>
      </c>
      <c r="AB32" s="4" t="s">
        <v>446</v>
      </c>
      <c r="AC32" s="4" t="s">
        <v>30</v>
      </c>
      <c r="AF32" s="4" t="s">
        <v>79</v>
      </c>
      <c r="AG32" s="4" t="s">
        <v>497</v>
      </c>
      <c r="AH32" s="4" t="s">
        <v>498</v>
      </c>
      <c r="AK32" s="4" t="s">
        <v>79</v>
      </c>
      <c r="AL32" s="4" t="s">
        <v>441</v>
      </c>
      <c r="AM32" s="4" t="s">
        <v>30</v>
      </c>
      <c r="AP32" s="4" t="s">
        <v>61</v>
      </c>
      <c r="AQ32" s="4" t="s">
        <v>446</v>
      </c>
      <c r="AR32" s="4" t="s">
        <v>632</v>
      </c>
      <c r="AZ32" s="4" t="s">
        <v>61</v>
      </c>
      <c r="BA32" s="4" t="s">
        <v>446</v>
      </c>
      <c r="BB32" s="4" t="s">
        <v>732</v>
      </c>
      <c r="BE32" s="4" t="s">
        <v>73</v>
      </c>
      <c r="BF32" s="4" t="s">
        <v>346</v>
      </c>
      <c r="BG32" s="4" t="s">
        <v>632</v>
      </c>
      <c r="BJ32" s="4" t="s">
        <v>79</v>
      </c>
      <c r="BK32" s="4" t="s">
        <v>441</v>
      </c>
      <c r="BL32" s="4" t="s">
        <v>732</v>
      </c>
      <c r="BT32" s="4" t="s">
        <v>82</v>
      </c>
      <c r="BU32" s="4" t="s">
        <v>396</v>
      </c>
      <c r="BV32" s="4" t="s">
        <v>870</v>
      </c>
      <c r="BY32" s="4" t="s">
        <v>93</v>
      </c>
      <c r="BZ32" s="4" t="s">
        <v>345</v>
      </c>
      <c r="CA32" s="4" t="s">
        <v>642</v>
      </c>
      <c r="CD32" s="4" t="s">
        <v>79</v>
      </c>
      <c r="CE32" s="4" t="s">
        <v>298</v>
      </c>
      <c r="CF32" s="4" t="s">
        <v>976</v>
      </c>
      <c r="CI32" s="4" t="s">
        <v>205</v>
      </c>
      <c r="CJ32" s="4" t="s">
        <v>593</v>
      </c>
      <c r="CK32" s="4" t="s">
        <v>1061</v>
      </c>
      <c r="CN32" s="4" t="s">
        <v>205</v>
      </c>
      <c r="CO32" s="4" t="s">
        <v>593</v>
      </c>
      <c r="CP32" s="4" t="s">
        <v>1061</v>
      </c>
      <c r="CS32" s="4" t="s">
        <v>205</v>
      </c>
      <c r="CT32" s="4" t="s">
        <v>440</v>
      </c>
      <c r="CU32" s="4" t="s">
        <v>1061</v>
      </c>
      <c r="CX32" s="4" t="s">
        <v>101</v>
      </c>
      <c r="CY32" s="4" t="s">
        <v>1614</v>
      </c>
      <c r="CZ32" s="4" t="s">
        <v>1140</v>
      </c>
      <c r="DC32" s="4" t="s">
        <v>76</v>
      </c>
      <c r="DD32" s="4" t="s">
        <v>441</v>
      </c>
      <c r="DE32" s="4" t="s">
        <v>1281</v>
      </c>
      <c r="DM32" s="4" t="s">
        <v>79</v>
      </c>
      <c r="DN32" s="4" t="s">
        <v>441</v>
      </c>
      <c r="DO32" s="4" t="s">
        <v>632</v>
      </c>
      <c r="DR32" s="4" t="s">
        <v>79</v>
      </c>
      <c r="DS32" s="4" t="s">
        <v>497</v>
      </c>
      <c r="DT32" s="4" t="s">
        <v>1421</v>
      </c>
    </row>
    <row r="33" spans="2:124">
      <c r="B33" s="4" t="s">
        <v>81</v>
      </c>
      <c r="C33" s="4" t="s">
        <v>32</v>
      </c>
      <c r="D33" s="4" t="s">
        <v>30</v>
      </c>
      <c r="G33" s="4" t="s">
        <v>81</v>
      </c>
      <c r="H33" s="4" t="s">
        <v>289</v>
      </c>
      <c r="I33" s="4" t="s">
        <v>30</v>
      </c>
      <c r="L33" s="4" t="s">
        <v>64</v>
      </c>
      <c r="M33" s="4" t="s">
        <v>45</v>
      </c>
      <c r="N33" s="4" t="s">
        <v>324</v>
      </c>
      <c r="Q33" s="4" t="s">
        <v>64</v>
      </c>
      <c r="R33" s="4" t="s">
        <v>292</v>
      </c>
      <c r="S33" s="4" t="s">
        <v>324</v>
      </c>
      <c r="V33" s="4" t="s">
        <v>82</v>
      </c>
      <c r="W33" s="4" t="s">
        <v>378</v>
      </c>
      <c r="X33" s="4" t="s">
        <v>379</v>
      </c>
      <c r="AA33" s="4" t="s">
        <v>64</v>
      </c>
      <c r="AB33" s="4" t="s">
        <v>345</v>
      </c>
      <c r="AC33" s="4" t="s">
        <v>30</v>
      </c>
      <c r="AF33" s="4" t="s">
        <v>81</v>
      </c>
      <c r="AG33" s="4" t="s">
        <v>377</v>
      </c>
      <c r="AH33" s="4" t="s">
        <v>30</v>
      </c>
      <c r="AK33" s="4" t="s">
        <v>81</v>
      </c>
      <c r="AL33" s="4" t="s">
        <v>441</v>
      </c>
      <c r="AM33" s="4" t="s">
        <v>30</v>
      </c>
      <c r="AP33" s="4" t="s">
        <v>64</v>
      </c>
      <c r="AQ33" s="4" t="s">
        <v>345</v>
      </c>
      <c r="AR33" s="4" t="s">
        <v>632</v>
      </c>
      <c r="AZ33" s="4" t="s">
        <v>64</v>
      </c>
      <c r="BA33" s="4" t="s">
        <v>345</v>
      </c>
      <c r="BB33" s="4" t="s">
        <v>732</v>
      </c>
      <c r="BE33" s="4" t="s">
        <v>75</v>
      </c>
      <c r="BF33" s="4" t="s">
        <v>345</v>
      </c>
      <c r="BG33" s="4" t="s">
        <v>632</v>
      </c>
      <c r="BJ33" s="4" t="s">
        <v>81</v>
      </c>
      <c r="BK33" s="4" t="s">
        <v>441</v>
      </c>
      <c r="BL33" s="4" t="s">
        <v>732</v>
      </c>
      <c r="BT33" s="4" t="s">
        <v>84</v>
      </c>
      <c r="BU33" s="4" t="s">
        <v>521</v>
      </c>
      <c r="BV33" s="4" t="s">
        <v>871</v>
      </c>
      <c r="BY33" s="4" t="s">
        <v>94</v>
      </c>
      <c r="BZ33" s="4" t="s">
        <v>441</v>
      </c>
      <c r="CA33" s="4" t="s">
        <v>643</v>
      </c>
      <c r="CD33" s="4" t="s">
        <v>81</v>
      </c>
      <c r="CE33" s="4" t="s">
        <v>446</v>
      </c>
      <c r="CF33" s="4" t="s">
        <v>30</v>
      </c>
      <c r="CI33" s="4" t="s">
        <v>217</v>
      </c>
      <c r="CJ33" s="4" t="s">
        <v>395</v>
      </c>
      <c r="CK33" s="4" t="s">
        <v>1062</v>
      </c>
      <c r="CN33" s="4" t="s">
        <v>217</v>
      </c>
      <c r="CO33" s="4" t="s">
        <v>395</v>
      </c>
      <c r="CP33" s="4" t="s">
        <v>1062</v>
      </c>
      <c r="CS33" s="4" t="s">
        <v>217</v>
      </c>
      <c r="CT33" s="4" t="s">
        <v>1075</v>
      </c>
      <c r="CU33" s="4" t="s">
        <v>1062</v>
      </c>
      <c r="CX33" s="4" t="s">
        <v>105</v>
      </c>
      <c r="CY33" s="4" t="s">
        <v>1615</v>
      </c>
      <c r="CZ33" s="4" t="s">
        <v>1142</v>
      </c>
      <c r="DC33" s="4" t="s">
        <v>79</v>
      </c>
      <c r="DD33" s="4" t="s">
        <v>441</v>
      </c>
      <c r="DE33" s="4" t="s">
        <v>1281</v>
      </c>
      <c r="DM33" s="4" t="s">
        <v>81</v>
      </c>
      <c r="DN33" s="4" t="s">
        <v>441</v>
      </c>
      <c r="DO33" s="4" t="s">
        <v>632</v>
      </c>
      <c r="DR33" s="4" t="s">
        <v>81</v>
      </c>
      <c r="DS33" s="4" t="s">
        <v>377</v>
      </c>
      <c r="DT33" s="4" t="s">
        <v>1422</v>
      </c>
    </row>
    <row r="34" spans="2:124">
      <c r="B34" s="4" t="s">
        <v>82</v>
      </c>
      <c r="C34" s="4" t="s">
        <v>35</v>
      </c>
      <c r="D34" s="4" t="s">
        <v>83</v>
      </c>
      <c r="G34" s="4" t="s">
        <v>82</v>
      </c>
      <c r="H34" s="4" t="s">
        <v>290</v>
      </c>
      <c r="I34" s="4" t="s">
        <v>83</v>
      </c>
      <c r="L34" s="4" t="s">
        <v>66</v>
      </c>
      <c r="M34" s="4" t="s">
        <v>45</v>
      </c>
      <c r="N34" s="4" t="s">
        <v>67</v>
      </c>
      <c r="Q34" s="4" t="s">
        <v>66</v>
      </c>
      <c r="R34" s="4" t="s">
        <v>292</v>
      </c>
      <c r="S34" s="4" t="s">
        <v>67</v>
      </c>
      <c r="V34" s="4" t="s">
        <v>84</v>
      </c>
      <c r="W34" s="4" t="s">
        <v>380</v>
      </c>
      <c r="X34" s="4" t="s">
        <v>85</v>
      </c>
      <c r="AA34" s="4" t="s">
        <v>66</v>
      </c>
      <c r="AB34" s="4" t="s">
        <v>345</v>
      </c>
      <c r="AC34" s="4" t="s">
        <v>30</v>
      </c>
      <c r="AF34" s="4" t="s">
        <v>82</v>
      </c>
      <c r="AG34" s="4" t="s">
        <v>499</v>
      </c>
      <c r="AH34" s="4" t="s">
        <v>500</v>
      </c>
      <c r="AK34" s="4" t="s">
        <v>82</v>
      </c>
      <c r="AL34" s="4" t="s">
        <v>441</v>
      </c>
      <c r="AM34" s="4" t="s">
        <v>30</v>
      </c>
      <c r="AP34" s="4" t="s">
        <v>66</v>
      </c>
      <c r="AQ34" s="4" t="s">
        <v>345</v>
      </c>
      <c r="AR34" s="4" t="s">
        <v>632</v>
      </c>
      <c r="AZ34" s="4" t="s">
        <v>66</v>
      </c>
      <c r="BA34" s="4" t="s">
        <v>345</v>
      </c>
      <c r="BB34" s="4" t="s">
        <v>732</v>
      </c>
      <c r="BE34" s="4" t="s">
        <v>76</v>
      </c>
      <c r="BF34" s="4" t="s">
        <v>298</v>
      </c>
      <c r="BG34" s="4" t="s">
        <v>783</v>
      </c>
      <c r="BJ34" s="4" t="s">
        <v>82</v>
      </c>
      <c r="BK34" s="4" t="s">
        <v>441</v>
      </c>
      <c r="BL34" s="4" t="s">
        <v>732</v>
      </c>
      <c r="BT34" s="4" t="s">
        <v>86</v>
      </c>
      <c r="BU34" s="4" t="s">
        <v>424</v>
      </c>
      <c r="BV34" s="4" t="s">
        <v>872</v>
      </c>
      <c r="BY34" s="4" t="s">
        <v>96</v>
      </c>
      <c r="BZ34" s="4" t="s">
        <v>445</v>
      </c>
      <c r="CA34" s="4" t="s">
        <v>644</v>
      </c>
      <c r="CD34" s="4" t="s">
        <v>82</v>
      </c>
      <c r="CE34" s="4" t="s">
        <v>446</v>
      </c>
      <c r="CF34" s="4" t="s">
        <v>30</v>
      </c>
      <c r="CI34" s="4" t="s">
        <v>241</v>
      </c>
      <c r="CJ34" s="4" t="s">
        <v>481</v>
      </c>
      <c r="CK34" s="4" t="s">
        <v>1063</v>
      </c>
      <c r="CN34" s="4" t="s">
        <v>241</v>
      </c>
      <c r="CO34" s="4" t="s">
        <v>481</v>
      </c>
      <c r="CP34" s="4" t="s">
        <v>1063</v>
      </c>
      <c r="CS34" s="4" t="s">
        <v>241</v>
      </c>
      <c r="CT34" s="4" t="s">
        <v>373</v>
      </c>
      <c r="CU34" s="4" t="s">
        <v>1063</v>
      </c>
      <c r="CX34" s="4" t="s">
        <v>107</v>
      </c>
      <c r="CY34" s="4" t="s">
        <v>1616</v>
      </c>
      <c r="CZ34" s="4" t="s">
        <v>1144</v>
      </c>
      <c r="DC34" s="4" t="s">
        <v>81</v>
      </c>
      <c r="DD34" s="4" t="s">
        <v>441</v>
      </c>
      <c r="DE34" s="4" t="s">
        <v>1281</v>
      </c>
      <c r="DM34" s="4" t="s">
        <v>82</v>
      </c>
      <c r="DN34" s="4" t="s">
        <v>345</v>
      </c>
      <c r="DO34" s="4" t="s">
        <v>638</v>
      </c>
      <c r="DR34" s="4" t="s">
        <v>82</v>
      </c>
      <c r="DS34" s="4" t="s">
        <v>533</v>
      </c>
      <c r="DT34" s="4" t="s">
        <v>1423</v>
      </c>
    </row>
    <row r="35" spans="2:124">
      <c r="B35" s="4" t="s">
        <v>84</v>
      </c>
      <c r="C35" s="4" t="s">
        <v>77</v>
      </c>
      <c r="D35" s="4" t="s">
        <v>85</v>
      </c>
      <c r="G35" s="4" t="s">
        <v>84</v>
      </c>
      <c r="H35" s="4" t="s">
        <v>295</v>
      </c>
      <c r="I35" s="4" t="s">
        <v>85</v>
      </c>
      <c r="L35" s="4" t="s">
        <v>68</v>
      </c>
      <c r="M35" s="4" t="s">
        <v>24</v>
      </c>
      <c r="N35" s="4" t="s">
        <v>69</v>
      </c>
      <c r="Q35" s="4" t="s">
        <v>68</v>
      </c>
      <c r="R35" s="4" t="s">
        <v>286</v>
      </c>
      <c r="S35" s="4" t="s">
        <v>69</v>
      </c>
      <c r="V35" s="4" t="s">
        <v>86</v>
      </c>
      <c r="W35" s="4" t="s">
        <v>381</v>
      </c>
      <c r="X35" s="4" t="s">
        <v>87</v>
      </c>
      <c r="AA35" s="4" t="s">
        <v>68</v>
      </c>
      <c r="AB35" s="4" t="s">
        <v>360</v>
      </c>
      <c r="AC35" s="4" t="s">
        <v>447</v>
      </c>
      <c r="AF35" s="4" t="s">
        <v>84</v>
      </c>
      <c r="AG35" s="4" t="s">
        <v>501</v>
      </c>
      <c r="AH35" s="4" t="s">
        <v>502</v>
      </c>
      <c r="AK35" s="4" t="s">
        <v>84</v>
      </c>
      <c r="AL35" s="4" t="s">
        <v>441</v>
      </c>
      <c r="AM35" s="4" t="s">
        <v>30</v>
      </c>
      <c r="AP35" s="4" t="s">
        <v>68</v>
      </c>
      <c r="AQ35" s="4" t="s">
        <v>360</v>
      </c>
      <c r="AR35" s="4" t="s">
        <v>637</v>
      </c>
      <c r="AZ35" s="4" t="s">
        <v>68</v>
      </c>
      <c r="BA35" s="4" t="s">
        <v>360</v>
      </c>
      <c r="BB35" s="4" t="s">
        <v>637</v>
      </c>
      <c r="BE35" s="4" t="s">
        <v>79</v>
      </c>
      <c r="BF35" s="4" t="s">
        <v>345</v>
      </c>
      <c r="BG35" s="4" t="s">
        <v>632</v>
      </c>
      <c r="BJ35" s="4" t="s">
        <v>84</v>
      </c>
      <c r="BK35" s="4" t="s">
        <v>441</v>
      </c>
      <c r="BL35" s="4" t="s">
        <v>732</v>
      </c>
      <c r="BT35" s="4" t="s">
        <v>89</v>
      </c>
      <c r="BU35" s="4" t="s">
        <v>873</v>
      </c>
      <c r="BV35" s="4" t="s">
        <v>874</v>
      </c>
      <c r="BY35" s="4" t="s">
        <v>99</v>
      </c>
      <c r="BZ35" s="4" t="s">
        <v>441</v>
      </c>
      <c r="CA35" s="4" t="s">
        <v>645</v>
      </c>
      <c r="CD35" s="4" t="s">
        <v>84</v>
      </c>
      <c r="CE35" s="4" t="s">
        <v>444</v>
      </c>
      <c r="CF35" s="4" t="s">
        <v>977</v>
      </c>
      <c r="CI35" s="4" t="s">
        <v>243</v>
      </c>
      <c r="CJ35" s="4" t="s">
        <v>298</v>
      </c>
      <c r="CK35" s="4" t="s">
        <v>1064</v>
      </c>
      <c r="CN35" s="4" t="s">
        <v>243</v>
      </c>
      <c r="CO35" s="4" t="s">
        <v>298</v>
      </c>
      <c r="CP35" s="4" t="s">
        <v>1064</v>
      </c>
      <c r="CS35" s="4" t="s">
        <v>243</v>
      </c>
      <c r="CT35" s="4" t="s">
        <v>55</v>
      </c>
      <c r="CU35" s="4" t="s">
        <v>1064</v>
      </c>
      <c r="CX35" s="4" t="s">
        <v>108</v>
      </c>
      <c r="CY35" s="4" t="s">
        <v>1617</v>
      </c>
      <c r="CZ35" s="4" t="s">
        <v>1146</v>
      </c>
      <c r="DC35" s="4" t="s">
        <v>82</v>
      </c>
      <c r="DD35" s="4" t="s">
        <v>441</v>
      </c>
      <c r="DE35" s="4" t="s">
        <v>1281</v>
      </c>
      <c r="DM35" s="4" t="s">
        <v>84</v>
      </c>
      <c r="DN35" s="4" t="s">
        <v>345</v>
      </c>
      <c r="DO35" s="4" t="s">
        <v>639</v>
      </c>
      <c r="DR35" s="4" t="s">
        <v>84</v>
      </c>
      <c r="DS35" s="4" t="s">
        <v>501</v>
      </c>
      <c r="DT35" s="4" t="s">
        <v>1424</v>
      </c>
    </row>
    <row r="36" spans="2:124">
      <c r="B36" s="4" t="s">
        <v>86</v>
      </c>
      <c r="C36" s="4" t="s">
        <v>77</v>
      </c>
      <c r="D36" s="4" t="s">
        <v>87</v>
      </c>
      <c r="G36" s="4" t="s">
        <v>86</v>
      </c>
      <c r="H36" s="4" t="s">
        <v>295</v>
      </c>
      <c r="I36" s="4" t="s">
        <v>87</v>
      </c>
      <c r="L36" s="4" t="s">
        <v>70</v>
      </c>
      <c r="M36" s="4" t="s">
        <v>45</v>
      </c>
      <c r="N36" s="4" t="s">
        <v>71</v>
      </c>
      <c r="Q36" s="4" t="s">
        <v>70</v>
      </c>
      <c r="R36" s="4" t="s">
        <v>292</v>
      </c>
      <c r="S36" s="4" t="s">
        <v>71</v>
      </c>
      <c r="V36" s="4" t="s">
        <v>89</v>
      </c>
      <c r="W36" s="4" t="s">
        <v>382</v>
      </c>
      <c r="X36" s="4" t="s">
        <v>30</v>
      </c>
      <c r="AA36" s="4" t="s">
        <v>70</v>
      </c>
      <c r="AB36" s="4" t="s">
        <v>345</v>
      </c>
      <c r="AC36" s="4" t="s">
        <v>30</v>
      </c>
      <c r="AF36" s="4" t="s">
        <v>86</v>
      </c>
      <c r="AG36" s="4" t="s">
        <v>503</v>
      </c>
      <c r="AH36" s="4" t="s">
        <v>504</v>
      </c>
      <c r="AK36" s="4" t="s">
        <v>86</v>
      </c>
      <c r="AL36" s="4" t="s">
        <v>441</v>
      </c>
      <c r="AM36" s="4" t="s">
        <v>30</v>
      </c>
      <c r="AP36" s="4" t="s">
        <v>70</v>
      </c>
      <c r="AQ36" s="4" t="s">
        <v>345</v>
      </c>
      <c r="AR36" s="4" t="s">
        <v>632</v>
      </c>
      <c r="AZ36" s="4" t="s">
        <v>70</v>
      </c>
      <c r="BA36" s="4" t="s">
        <v>345</v>
      </c>
      <c r="BB36" s="4" t="s">
        <v>732</v>
      </c>
      <c r="BE36" s="4" t="s">
        <v>81</v>
      </c>
      <c r="BF36" s="4" t="s">
        <v>345</v>
      </c>
      <c r="BG36" s="4" t="s">
        <v>632</v>
      </c>
      <c r="BJ36" s="4" t="s">
        <v>86</v>
      </c>
      <c r="BK36" s="4" t="s">
        <v>441</v>
      </c>
      <c r="BL36" s="4" t="s">
        <v>732</v>
      </c>
      <c r="BT36" s="4" t="s">
        <v>91</v>
      </c>
      <c r="BU36" s="4" t="s">
        <v>436</v>
      </c>
      <c r="BV36" s="4" t="s">
        <v>875</v>
      </c>
      <c r="BY36" s="4" t="s">
        <v>101</v>
      </c>
      <c r="BZ36" s="4" t="s">
        <v>441</v>
      </c>
      <c r="CA36" s="4" t="s">
        <v>646</v>
      </c>
      <c r="CD36" s="4" t="s">
        <v>86</v>
      </c>
      <c r="CE36" s="4" t="s">
        <v>444</v>
      </c>
      <c r="CF36" s="4" t="s">
        <v>30</v>
      </c>
      <c r="CI36" s="4" t="s">
        <v>245</v>
      </c>
      <c r="CJ36" s="4" t="s">
        <v>497</v>
      </c>
      <c r="CK36" s="4" t="s">
        <v>1065</v>
      </c>
      <c r="CN36" s="4" t="s">
        <v>245</v>
      </c>
      <c r="CO36" s="4" t="s">
        <v>497</v>
      </c>
      <c r="CP36" s="4" t="s">
        <v>1065</v>
      </c>
      <c r="CS36" s="4" t="s">
        <v>245</v>
      </c>
      <c r="CT36" s="4" t="s">
        <v>1076</v>
      </c>
      <c r="CU36" s="4" t="s">
        <v>1065</v>
      </c>
      <c r="CX36" s="4" t="s">
        <v>109</v>
      </c>
      <c r="CY36" s="4" t="s">
        <v>1618</v>
      </c>
      <c r="CZ36" s="4" t="s">
        <v>1148</v>
      </c>
      <c r="DC36" s="4" t="s">
        <v>84</v>
      </c>
      <c r="DD36" s="4" t="s">
        <v>441</v>
      </c>
      <c r="DE36" s="4" t="s">
        <v>1281</v>
      </c>
      <c r="DM36" s="4" t="s">
        <v>86</v>
      </c>
      <c r="DN36" s="4" t="s">
        <v>345</v>
      </c>
      <c r="DO36" s="4" t="s">
        <v>640</v>
      </c>
      <c r="DR36" s="4" t="s">
        <v>86</v>
      </c>
      <c r="DS36" s="4" t="s">
        <v>1425</v>
      </c>
      <c r="DT36" s="4" t="s">
        <v>1426</v>
      </c>
    </row>
    <row r="37" spans="2:124">
      <c r="B37" s="4" t="s">
        <v>88</v>
      </c>
      <c r="C37" s="4" t="s">
        <v>32</v>
      </c>
      <c r="D37" s="4" t="s">
        <v>30</v>
      </c>
      <c r="G37" s="4" t="s">
        <v>88</v>
      </c>
      <c r="H37" s="4" t="s">
        <v>289</v>
      </c>
      <c r="I37" s="4" t="s">
        <v>30</v>
      </c>
      <c r="L37" s="4" t="s">
        <v>72</v>
      </c>
      <c r="M37" s="4" t="s">
        <v>32</v>
      </c>
      <c r="N37" s="4" t="s">
        <v>30</v>
      </c>
      <c r="Q37" s="4" t="s">
        <v>72</v>
      </c>
      <c r="R37" s="4" t="s">
        <v>289</v>
      </c>
      <c r="S37" s="4" t="s">
        <v>30</v>
      </c>
      <c r="V37" s="4" t="s">
        <v>91</v>
      </c>
      <c r="W37" s="4" t="s">
        <v>383</v>
      </c>
      <c r="X37" s="4" t="s">
        <v>384</v>
      </c>
      <c r="AA37" s="4" t="s">
        <v>72</v>
      </c>
      <c r="AB37" s="4" t="s">
        <v>346</v>
      </c>
      <c r="AC37" s="4" t="s">
        <v>448</v>
      </c>
      <c r="AF37" s="4" t="s">
        <v>89</v>
      </c>
      <c r="AG37" s="4" t="s">
        <v>382</v>
      </c>
      <c r="AH37" s="4" t="s">
        <v>30</v>
      </c>
      <c r="AK37" s="4" t="s">
        <v>88</v>
      </c>
      <c r="AL37" s="4" t="s">
        <v>441</v>
      </c>
      <c r="AM37" s="4" t="s">
        <v>30</v>
      </c>
      <c r="AP37" s="4" t="s">
        <v>72</v>
      </c>
      <c r="AQ37" s="4" t="s">
        <v>346</v>
      </c>
      <c r="AR37" s="4" t="s">
        <v>632</v>
      </c>
      <c r="AZ37" s="4" t="s">
        <v>72</v>
      </c>
      <c r="BA37" s="4" t="s">
        <v>345</v>
      </c>
      <c r="BB37" s="4" t="s">
        <v>732</v>
      </c>
      <c r="BE37" s="4" t="s">
        <v>82</v>
      </c>
      <c r="BF37" s="4" t="s">
        <v>346</v>
      </c>
      <c r="BG37" s="4" t="s">
        <v>638</v>
      </c>
      <c r="BJ37" s="4" t="s">
        <v>88</v>
      </c>
      <c r="BK37" s="4" t="s">
        <v>441</v>
      </c>
      <c r="BL37" s="4" t="s">
        <v>732</v>
      </c>
      <c r="BT37" s="4" t="s">
        <v>93</v>
      </c>
      <c r="BU37" s="4" t="s">
        <v>472</v>
      </c>
      <c r="BV37" s="4" t="s">
        <v>876</v>
      </c>
      <c r="BY37" s="4" t="s">
        <v>105</v>
      </c>
      <c r="BZ37" s="4" t="s">
        <v>441</v>
      </c>
      <c r="CA37" s="4" t="s">
        <v>647</v>
      </c>
      <c r="CD37" s="4" t="s">
        <v>88</v>
      </c>
      <c r="CE37" s="4" t="s">
        <v>434</v>
      </c>
      <c r="CF37" s="4" t="s">
        <v>30</v>
      </c>
      <c r="CI37" s="4" t="s">
        <v>249</v>
      </c>
      <c r="CJ37" s="4" t="s">
        <v>360</v>
      </c>
      <c r="CK37" s="4" t="s">
        <v>1066</v>
      </c>
      <c r="CN37" s="4" t="s">
        <v>249</v>
      </c>
      <c r="CO37" s="4" t="s">
        <v>360</v>
      </c>
      <c r="CP37" s="4" t="s">
        <v>1066</v>
      </c>
      <c r="CS37" s="4" t="s">
        <v>249</v>
      </c>
      <c r="CT37" s="4" t="s">
        <v>555</v>
      </c>
      <c r="CU37" s="4" t="s">
        <v>1066</v>
      </c>
      <c r="CX37" s="4" t="s">
        <v>111</v>
      </c>
      <c r="CY37" s="4" t="s">
        <v>1619</v>
      </c>
      <c r="CZ37" s="4" t="s">
        <v>1150</v>
      </c>
      <c r="DC37" s="4" t="s">
        <v>86</v>
      </c>
      <c r="DD37" s="4" t="s">
        <v>441</v>
      </c>
      <c r="DE37" s="4" t="s">
        <v>1281</v>
      </c>
      <c r="DM37" s="4" t="s">
        <v>89</v>
      </c>
      <c r="DN37" s="4" t="s">
        <v>298</v>
      </c>
      <c r="DO37" s="4" t="s">
        <v>641</v>
      </c>
      <c r="DR37" s="4" t="s">
        <v>89</v>
      </c>
      <c r="DS37" s="4" t="s">
        <v>382</v>
      </c>
      <c r="DT37" s="4" t="s">
        <v>1427</v>
      </c>
    </row>
    <row r="38" spans="2:124">
      <c r="B38" s="4" t="s">
        <v>89</v>
      </c>
      <c r="C38" s="4" t="s">
        <v>90</v>
      </c>
      <c r="D38" s="4" t="s">
        <v>30</v>
      </c>
      <c r="G38" s="4" t="s">
        <v>89</v>
      </c>
      <c r="H38" s="4" t="s">
        <v>296</v>
      </c>
      <c r="I38" s="4" t="s">
        <v>30</v>
      </c>
      <c r="L38" s="4" t="s">
        <v>73</v>
      </c>
      <c r="M38" s="4" t="s">
        <v>35</v>
      </c>
      <c r="N38" s="4" t="s">
        <v>74</v>
      </c>
      <c r="Q38" s="4" t="s">
        <v>73</v>
      </c>
      <c r="R38" s="4" t="s">
        <v>290</v>
      </c>
      <c r="S38" s="4" t="s">
        <v>74</v>
      </c>
      <c r="V38" s="4" t="s">
        <v>93</v>
      </c>
      <c r="W38" s="4" t="s">
        <v>385</v>
      </c>
      <c r="X38" s="4" t="s">
        <v>386</v>
      </c>
      <c r="AA38" s="4" t="s">
        <v>73</v>
      </c>
      <c r="AB38" s="4" t="s">
        <v>346</v>
      </c>
      <c r="AC38" s="4" t="s">
        <v>30</v>
      </c>
      <c r="AF38" s="4" t="s">
        <v>91</v>
      </c>
      <c r="AG38" s="4" t="s">
        <v>424</v>
      </c>
      <c r="AH38" s="4" t="s">
        <v>505</v>
      </c>
      <c r="AK38" s="4" t="s">
        <v>89</v>
      </c>
      <c r="AL38" s="4" t="s">
        <v>441</v>
      </c>
      <c r="AM38" s="4" t="s">
        <v>30</v>
      </c>
      <c r="AP38" s="4" t="s">
        <v>73</v>
      </c>
      <c r="AQ38" s="4" t="s">
        <v>360</v>
      </c>
      <c r="AR38" s="4" t="s">
        <v>632</v>
      </c>
      <c r="AZ38" s="4" t="s">
        <v>73</v>
      </c>
      <c r="BA38" s="4" t="s">
        <v>346</v>
      </c>
      <c r="BB38" s="4" t="s">
        <v>732</v>
      </c>
      <c r="BE38" s="4" t="s">
        <v>84</v>
      </c>
      <c r="BF38" s="4" t="s">
        <v>346</v>
      </c>
      <c r="BG38" s="4" t="s">
        <v>639</v>
      </c>
      <c r="BJ38" s="4" t="s">
        <v>89</v>
      </c>
      <c r="BK38" s="4" t="s">
        <v>441</v>
      </c>
      <c r="BL38" s="4" t="s">
        <v>732</v>
      </c>
      <c r="BT38" s="4" t="s">
        <v>94</v>
      </c>
      <c r="BU38" s="4" t="s">
        <v>877</v>
      </c>
      <c r="BV38" s="4" t="s">
        <v>878</v>
      </c>
      <c r="BY38" s="4" t="s">
        <v>107</v>
      </c>
      <c r="BZ38" s="4" t="s">
        <v>441</v>
      </c>
      <c r="CA38" s="4" t="s">
        <v>647</v>
      </c>
      <c r="CD38" s="4" t="s">
        <v>89</v>
      </c>
      <c r="CE38" s="4" t="s">
        <v>361</v>
      </c>
      <c r="CF38" s="4" t="s">
        <v>30</v>
      </c>
      <c r="CI38" s="4" t="s">
        <v>336</v>
      </c>
      <c r="CJ38" s="4" t="s">
        <v>585</v>
      </c>
      <c r="CK38" s="4" t="s">
        <v>632</v>
      </c>
      <c r="CN38" s="4" t="s">
        <v>336</v>
      </c>
      <c r="CO38" s="4" t="s">
        <v>585</v>
      </c>
      <c r="CP38" s="4" t="s">
        <v>632</v>
      </c>
      <c r="CS38" s="4" t="s">
        <v>336</v>
      </c>
      <c r="CT38" s="4" t="s">
        <v>1077</v>
      </c>
      <c r="CU38" s="4" t="s">
        <v>632</v>
      </c>
      <c r="CX38" s="4" t="s">
        <v>112</v>
      </c>
      <c r="CY38" s="4" t="s">
        <v>1620</v>
      </c>
      <c r="CZ38" s="4" t="s">
        <v>1152</v>
      </c>
      <c r="DC38" s="4" t="s">
        <v>88</v>
      </c>
      <c r="DD38" s="4" t="s">
        <v>441</v>
      </c>
      <c r="DE38" s="4" t="s">
        <v>1281</v>
      </c>
      <c r="DM38" s="4" t="s">
        <v>91</v>
      </c>
      <c r="DN38" s="4" t="s">
        <v>360</v>
      </c>
      <c r="DO38" s="4" t="s">
        <v>642</v>
      </c>
      <c r="DR38" s="4" t="s">
        <v>91</v>
      </c>
      <c r="DS38" s="4" t="s">
        <v>424</v>
      </c>
      <c r="DT38" s="4" t="s">
        <v>1428</v>
      </c>
    </row>
    <row r="39" spans="2:124">
      <c r="B39" s="4" t="s">
        <v>91</v>
      </c>
      <c r="C39" s="4" t="s">
        <v>29</v>
      </c>
      <c r="D39" s="4" t="s">
        <v>92</v>
      </c>
      <c r="G39" s="4" t="s">
        <v>91</v>
      </c>
      <c r="H39" s="4" t="s">
        <v>288</v>
      </c>
      <c r="I39" s="4" t="s">
        <v>92</v>
      </c>
      <c r="L39" s="4" t="s">
        <v>75</v>
      </c>
      <c r="M39" s="4" t="s">
        <v>32</v>
      </c>
      <c r="N39" s="4" t="s">
        <v>30</v>
      </c>
      <c r="Q39" s="4" t="s">
        <v>75</v>
      </c>
      <c r="R39" s="4" t="s">
        <v>289</v>
      </c>
      <c r="S39" s="4" t="s">
        <v>30</v>
      </c>
      <c r="V39" s="4" t="s">
        <v>94</v>
      </c>
      <c r="W39" s="4" t="s">
        <v>387</v>
      </c>
      <c r="X39" s="4" t="s">
        <v>388</v>
      </c>
      <c r="AA39" s="4" t="s">
        <v>75</v>
      </c>
      <c r="AB39" s="4" t="s">
        <v>345</v>
      </c>
      <c r="AC39" s="4" t="s">
        <v>30</v>
      </c>
      <c r="AF39" s="4" t="s">
        <v>93</v>
      </c>
      <c r="AG39" s="4" t="s">
        <v>32</v>
      </c>
      <c r="AH39" s="4" t="s">
        <v>506</v>
      </c>
      <c r="AK39" s="4" t="s">
        <v>91</v>
      </c>
      <c r="AL39" s="4" t="s">
        <v>441</v>
      </c>
      <c r="AM39" s="4" t="s">
        <v>30</v>
      </c>
      <c r="AP39" s="4" t="s">
        <v>75</v>
      </c>
      <c r="AQ39" s="4" t="s">
        <v>345</v>
      </c>
      <c r="AR39" s="4" t="s">
        <v>632</v>
      </c>
      <c r="AZ39" s="4" t="s">
        <v>75</v>
      </c>
      <c r="BA39" s="4" t="s">
        <v>345</v>
      </c>
      <c r="BB39" s="4" t="s">
        <v>732</v>
      </c>
      <c r="BE39" s="4" t="s">
        <v>86</v>
      </c>
      <c r="BF39" s="4" t="s">
        <v>346</v>
      </c>
      <c r="BG39" s="4" t="s">
        <v>640</v>
      </c>
      <c r="BJ39" s="4" t="s">
        <v>91</v>
      </c>
      <c r="BK39" s="4" t="s">
        <v>441</v>
      </c>
      <c r="BL39" s="4" t="s">
        <v>732</v>
      </c>
      <c r="BT39" s="4" t="s">
        <v>96</v>
      </c>
      <c r="BU39" s="4" t="s">
        <v>879</v>
      </c>
      <c r="BV39" s="4" t="s">
        <v>880</v>
      </c>
      <c r="BY39" s="4" t="s">
        <v>108</v>
      </c>
      <c r="BZ39" s="4" t="s">
        <v>441</v>
      </c>
      <c r="CA39" s="4" t="s">
        <v>647</v>
      </c>
      <c r="CD39" s="4" t="s">
        <v>91</v>
      </c>
      <c r="CE39" s="4" t="s">
        <v>104</v>
      </c>
      <c r="CF39" s="4" t="s">
        <v>978</v>
      </c>
      <c r="CI39" s="4" t="s">
        <v>337</v>
      </c>
      <c r="CJ39" s="4" t="s">
        <v>603</v>
      </c>
      <c r="CK39" s="4" t="s">
        <v>632</v>
      </c>
      <c r="CN39" s="4" t="s">
        <v>337</v>
      </c>
      <c r="CO39" s="4" t="s">
        <v>603</v>
      </c>
      <c r="CP39" s="4" t="s">
        <v>632</v>
      </c>
      <c r="CS39" s="4" t="s">
        <v>337</v>
      </c>
      <c r="CT39" s="4" t="s">
        <v>290</v>
      </c>
      <c r="CU39" s="4" t="s">
        <v>632</v>
      </c>
      <c r="CX39" s="4" t="s">
        <v>114</v>
      </c>
      <c r="CY39" s="4" t="s">
        <v>1621</v>
      </c>
      <c r="CZ39" s="4" t="s">
        <v>1622</v>
      </c>
      <c r="DC39" s="4" t="s">
        <v>89</v>
      </c>
      <c r="DD39" s="4" t="s">
        <v>441</v>
      </c>
      <c r="DE39" s="4" t="s">
        <v>1281</v>
      </c>
      <c r="DM39" s="4" t="s">
        <v>93</v>
      </c>
      <c r="DN39" s="4" t="s">
        <v>346</v>
      </c>
      <c r="DO39" s="4" t="s">
        <v>642</v>
      </c>
      <c r="DR39" s="4" t="s">
        <v>93</v>
      </c>
      <c r="DS39" s="4" t="s">
        <v>32</v>
      </c>
      <c r="DT39" s="4" t="s">
        <v>1429</v>
      </c>
    </row>
    <row r="40" spans="2:124">
      <c r="B40" s="4" t="s">
        <v>93</v>
      </c>
      <c r="C40" s="4" t="s">
        <v>35</v>
      </c>
      <c r="D40" s="4" t="s">
        <v>92</v>
      </c>
      <c r="G40" s="4" t="s">
        <v>93</v>
      </c>
      <c r="H40" s="4" t="s">
        <v>290</v>
      </c>
      <c r="I40" s="4" t="s">
        <v>92</v>
      </c>
      <c r="L40" s="4" t="s">
        <v>76</v>
      </c>
      <c r="M40" s="4" t="s">
        <v>77</v>
      </c>
      <c r="N40" s="4" t="s">
        <v>78</v>
      </c>
      <c r="Q40" s="4" t="s">
        <v>76</v>
      </c>
      <c r="R40" s="4" t="s">
        <v>295</v>
      </c>
      <c r="S40" s="4" t="s">
        <v>78</v>
      </c>
      <c r="V40" s="4" t="s">
        <v>96</v>
      </c>
      <c r="W40" s="4" t="s">
        <v>389</v>
      </c>
      <c r="X40" s="4" t="s">
        <v>390</v>
      </c>
      <c r="AA40" s="4" t="s">
        <v>76</v>
      </c>
      <c r="AB40" s="4" t="s">
        <v>345</v>
      </c>
      <c r="AC40" s="4" t="s">
        <v>30</v>
      </c>
      <c r="AF40" s="4" t="s">
        <v>94</v>
      </c>
      <c r="AG40" s="4" t="s">
        <v>507</v>
      </c>
      <c r="AH40" s="4" t="s">
        <v>508</v>
      </c>
      <c r="AK40" s="4" t="s">
        <v>93</v>
      </c>
      <c r="AL40" s="4" t="s">
        <v>441</v>
      </c>
      <c r="AM40" s="4" t="s">
        <v>30</v>
      </c>
      <c r="AP40" s="4" t="s">
        <v>76</v>
      </c>
      <c r="AQ40" s="4" t="s">
        <v>345</v>
      </c>
      <c r="AR40" s="4" t="s">
        <v>632</v>
      </c>
      <c r="AZ40" s="4" t="s">
        <v>76</v>
      </c>
      <c r="BA40" s="4" t="s">
        <v>345</v>
      </c>
      <c r="BB40" s="4" t="s">
        <v>732</v>
      </c>
      <c r="BE40" s="4" t="s">
        <v>88</v>
      </c>
      <c r="BF40" s="4" t="s">
        <v>441</v>
      </c>
      <c r="BG40" s="4" t="s">
        <v>632</v>
      </c>
      <c r="BJ40" s="4" t="s">
        <v>93</v>
      </c>
      <c r="BK40" s="4" t="s">
        <v>441</v>
      </c>
      <c r="BL40" s="4" t="s">
        <v>794</v>
      </c>
      <c r="BT40" s="4" t="s">
        <v>99</v>
      </c>
      <c r="BU40" s="4" t="s">
        <v>881</v>
      </c>
      <c r="BV40" s="4" t="s">
        <v>882</v>
      </c>
      <c r="BY40" s="4" t="s">
        <v>109</v>
      </c>
      <c r="BZ40" s="4" t="s">
        <v>441</v>
      </c>
      <c r="CA40" s="4" t="s">
        <v>648</v>
      </c>
      <c r="CD40" s="4" t="s">
        <v>93</v>
      </c>
      <c r="CE40" s="4" t="s">
        <v>593</v>
      </c>
      <c r="CF40" s="4" t="s">
        <v>979</v>
      </c>
      <c r="CI40" s="4" t="s">
        <v>338</v>
      </c>
      <c r="CJ40" s="4" t="s">
        <v>424</v>
      </c>
      <c r="CK40" s="4" t="s">
        <v>632</v>
      </c>
      <c r="CN40" s="4" t="s">
        <v>338</v>
      </c>
      <c r="CO40" s="4" t="s">
        <v>424</v>
      </c>
      <c r="CP40" s="4" t="s">
        <v>632</v>
      </c>
      <c r="CS40" s="4" t="s">
        <v>338</v>
      </c>
      <c r="CT40" s="4" t="s">
        <v>1078</v>
      </c>
      <c r="CU40" s="4" t="s">
        <v>632</v>
      </c>
      <c r="CX40" s="4" t="s">
        <v>116</v>
      </c>
      <c r="CY40" s="4" t="s">
        <v>1623</v>
      </c>
      <c r="CZ40" s="4" t="s">
        <v>1156</v>
      </c>
      <c r="DC40" s="4" t="s">
        <v>91</v>
      </c>
      <c r="DD40" s="4" t="s">
        <v>441</v>
      </c>
      <c r="DE40" s="4" t="s">
        <v>1281</v>
      </c>
      <c r="DM40" s="4" t="s">
        <v>94</v>
      </c>
      <c r="DN40" s="4" t="s">
        <v>441</v>
      </c>
      <c r="DO40" s="4" t="s">
        <v>643</v>
      </c>
      <c r="DR40" s="4" t="s">
        <v>94</v>
      </c>
      <c r="DS40" s="4" t="s">
        <v>1430</v>
      </c>
      <c r="DT40" s="4" t="s">
        <v>1431</v>
      </c>
    </row>
    <row r="41" spans="2:124">
      <c r="B41" s="4" t="s">
        <v>94</v>
      </c>
      <c r="C41" s="4" t="s">
        <v>35</v>
      </c>
      <c r="D41" s="4" t="s">
        <v>95</v>
      </c>
      <c r="G41" s="4" t="s">
        <v>94</v>
      </c>
      <c r="H41" s="4" t="s">
        <v>290</v>
      </c>
      <c r="I41" s="4" t="s">
        <v>95</v>
      </c>
      <c r="L41" s="4" t="s">
        <v>79</v>
      </c>
      <c r="M41" s="4" t="s">
        <v>45</v>
      </c>
      <c r="N41" s="4" t="s">
        <v>80</v>
      </c>
      <c r="Q41" s="4" t="s">
        <v>79</v>
      </c>
      <c r="R41" s="4" t="s">
        <v>292</v>
      </c>
      <c r="S41" s="4" t="s">
        <v>80</v>
      </c>
      <c r="V41" s="4" t="s">
        <v>99</v>
      </c>
      <c r="W41" s="4" t="s">
        <v>391</v>
      </c>
      <c r="X41" s="4" t="s">
        <v>392</v>
      </c>
      <c r="AA41" s="4" t="s">
        <v>79</v>
      </c>
      <c r="AB41" s="4" t="s">
        <v>345</v>
      </c>
      <c r="AC41" s="4" t="s">
        <v>30</v>
      </c>
      <c r="AF41" s="4" t="s">
        <v>96</v>
      </c>
      <c r="AG41" s="4" t="s">
        <v>509</v>
      </c>
      <c r="AH41" s="4" t="s">
        <v>510</v>
      </c>
      <c r="AK41" s="4" t="s">
        <v>94</v>
      </c>
      <c r="AL41" s="4" t="s">
        <v>441</v>
      </c>
      <c r="AM41" s="4" t="s">
        <v>30</v>
      </c>
      <c r="AP41" s="4" t="s">
        <v>79</v>
      </c>
      <c r="AQ41" s="4" t="s">
        <v>345</v>
      </c>
      <c r="AR41" s="4" t="s">
        <v>632</v>
      </c>
      <c r="AZ41" s="4" t="s">
        <v>79</v>
      </c>
      <c r="BA41" s="4" t="s">
        <v>345</v>
      </c>
      <c r="BB41" s="4" t="s">
        <v>732</v>
      </c>
      <c r="BE41" s="4" t="s">
        <v>89</v>
      </c>
      <c r="BF41" s="4" t="s">
        <v>444</v>
      </c>
      <c r="BG41" s="4" t="s">
        <v>641</v>
      </c>
      <c r="BJ41" s="4" t="s">
        <v>94</v>
      </c>
      <c r="BK41" s="4" t="s">
        <v>441</v>
      </c>
      <c r="BL41" s="4" t="s">
        <v>733</v>
      </c>
      <c r="BT41" s="4" t="s">
        <v>101</v>
      </c>
      <c r="BU41" s="4" t="s">
        <v>555</v>
      </c>
      <c r="BV41" s="4" t="s">
        <v>883</v>
      </c>
      <c r="BY41" s="4" t="s">
        <v>111</v>
      </c>
      <c r="BZ41" s="4" t="s">
        <v>441</v>
      </c>
      <c r="CA41" s="4" t="s">
        <v>649</v>
      </c>
      <c r="CD41" s="4" t="s">
        <v>94</v>
      </c>
      <c r="CE41" s="4" t="s">
        <v>446</v>
      </c>
      <c r="CF41" s="4" t="s">
        <v>30</v>
      </c>
      <c r="CX41" s="4" t="s">
        <v>118</v>
      </c>
      <c r="CY41" s="4" t="s">
        <v>1624</v>
      </c>
      <c r="CZ41" s="4" t="s">
        <v>1625</v>
      </c>
      <c r="DC41" s="4" t="s">
        <v>93</v>
      </c>
      <c r="DD41" s="4" t="s">
        <v>441</v>
      </c>
      <c r="DE41" s="4" t="s">
        <v>1281</v>
      </c>
      <c r="DM41" s="4" t="s">
        <v>96</v>
      </c>
      <c r="DN41" s="4" t="s">
        <v>445</v>
      </c>
      <c r="DO41" s="4" t="s">
        <v>644</v>
      </c>
      <c r="DR41" s="4" t="s">
        <v>96</v>
      </c>
      <c r="DS41" s="4" t="s">
        <v>509</v>
      </c>
      <c r="DT41" s="4" t="s">
        <v>1432</v>
      </c>
    </row>
    <row r="42" spans="2:124">
      <c r="B42" s="4" t="s">
        <v>96</v>
      </c>
      <c r="C42" s="4" t="s">
        <v>97</v>
      </c>
      <c r="D42" s="4" t="s">
        <v>98</v>
      </c>
      <c r="G42" s="4" t="s">
        <v>96</v>
      </c>
      <c r="H42" s="4" t="s">
        <v>297</v>
      </c>
      <c r="I42" s="4" t="s">
        <v>98</v>
      </c>
      <c r="L42" s="4" t="s">
        <v>81</v>
      </c>
      <c r="M42" s="4" t="s">
        <v>32</v>
      </c>
      <c r="N42" s="4" t="s">
        <v>30</v>
      </c>
      <c r="Q42" s="4" t="s">
        <v>81</v>
      </c>
      <c r="R42" s="4" t="s">
        <v>289</v>
      </c>
      <c r="S42" s="4" t="s">
        <v>30</v>
      </c>
      <c r="V42" s="4" t="s">
        <v>101</v>
      </c>
      <c r="W42" s="4" t="s">
        <v>393</v>
      </c>
      <c r="X42" s="4" t="s">
        <v>394</v>
      </c>
      <c r="AA42" s="4" t="s">
        <v>81</v>
      </c>
      <c r="AB42" s="4" t="s">
        <v>345</v>
      </c>
      <c r="AC42" s="4" t="s">
        <v>30</v>
      </c>
      <c r="AF42" s="4" t="s">
        <v>99</v>
      </c>
      <c r="AG42" s="4" t="s">
        <v>511</v>
      </c>
      <c r="AH42" s="4" t="s">
        <v>512</v>
      </c>
      <c r="AK42" s="4" t="s">
        <v>96</v>
      </c>
      <c r="AL42" s="4" t="s">
        <v>441</v>
      </c>
      <c r="AM42" s="4" t="s">
        <v>30</v>
      </c>
      <c r="AP42" s="4" t="s">
        <v>81</v>
      </c>
      <c r="AQ42" s="4" t="s">
        <v>345</v>
      </c>
      <c r="AR42" s="4" t="s">
        <v>632</v>
      </c>
      <c r="AZ42" s="4" t="s">
        <v>81</v>
      </c>
      <c r="BA42" s="4" t="s">
        <v>345</v>
      </c>
      <c r="BB42" s="4" t="s">
        <v>732</v>
      </c>
      <c r="BE42" s="4" t="s">
        <v>91</v>
      </c>
      <c r="BF42" s="4" t="s">
        <v>346</v>
      </c>
      <c r="BG42" s="4" t="s">
        <v>642</v>
      </c>
      <c r="BJ42" s="4" t="s">
        <v>96</v>
      </c>
      <c r="BK42" s="4" t="s">
        <v>441</v>
      </c>
      <c r="BL42" s="4" t="s">
        <v>795</v>
      </c>
      <c r="BT42" s="4" t="s">
        <v>105</v>
      </c>
      <c r="BU42" s="4" t="s">
        <v>397</v>
      </c>
      <c r="BV42" s="4" t="s">
        <v>884</v>
      </c>
      <c r="BY42" s="4" t="s">
        <v>112</v>
      </c>
      <c r="BZ42" s="4" t="s">
        <v>441</v>
      </c>
      <c r="CA42" s="4" t="s">
        <v>650</v>
      </c>
      <c r="CD42" s="4" t="s">
        <v>96</v>
      </c>
      <c r="CE42" s="4" t="s">
        <v>77</v>
      </c>
      <c r="CF42" s="4" t="s">
        <v>30</v>
      </c>
      <c r="CX42" s="4" t="s">
        <v>126</v>
      </c>
      <c r="CY42" s="4" t="s">
        <v>1626</v>
      </c>
      <c r="CZ42" s="4" t="s">
        <v>1160</v>
      </c>
      <c r="DC42" s="4" t="s">
        <v>94</v>
      </c>
      <c r="DD42" s="4" t="s">
        <v>441</v>
      </c>
      <c r="DE42" s="4" t="s">
        <v>1281</v>
      </c>
      <c r="DM42" s="4" t="s">
        <v>99</v>
      </c>
      <c r="DN42" s="4" t="s">
        <v>441</v>
      </c>
      <c r="DO42" s="4" t="s">
        <v>645</v>
      </c>
      <c r="DR42" s="4" t="s">
        <v>99</v>
      </c>
      <c r="DS42" s="4" t="s">
        <v>90</v>
      </c>
      <c r="DT42" s="4" t="s">
        <v>1433</v>
      </c>
    </row>
    <row r="43" spans="2:124">
      <c r="B43" s="4" t="s">
        <v>99</v>
      </c>
      <c r="C43" s="4" t="s">
        <v>35</v>
      </c>
      <c r="D43" s="4" t="s">
        <v>100</v>
      </c>
      <c r="G43" s="4" t="s">
        <v>99</v>
      </c>
      <c r="H43" s="4" t="s">
        <v>290</v>
      </c>
      <c r="I43" s="4" t="s">
        <v>100</v>
      </c>
      <c r="L43" s="4" t="s">
        <v>82</v>
      </c>
      <c r="M43" s="4" t="s">
        <v>35</v>
      </c>
      <c r="N43" s="4" t="s">
        <v>83</v>
      </c>
      <c r="Q43" s="4" t="s">
        <v>82</v>
      </c>
      <c r="R43" s="4" t="s">
        <v>290</v>
      </c>
      <c r="S43" s="4" t="s">
        <v>83</v>
      </c>
      <c r="V43" s="4" t="s">
        <v>105</v>
      </c>
      <c r="W43" s="4" t="s">
        <v>395</v>
      </c>
      <c r="X43" s="4" t="s">
        <v>106</v>
      </c>
      <c r="AA43" s="4" t="s">
        <v>82</v>
      </c>
      <c r="AB43" s="4" t="s">
        <v>346</v>
      </c>
      <c r="AC43" s="4" t="s">
        <v>83</v>
      </c>
      <c r="AF43" s="4" t="s">
        <v>101</v>
      </c>
      <c r="AG43" s="4" t="s">
        <v>513</v>
      </c>
      <c r="AH43" s="4" t="s">
        <v>514</v>
      </c>
      <c r="AK43" s="4" t="s">
        <v>99</v>
      </c>
      <c r="AL43" s="4" t="s">
        <v>441</v>
      </c>
      <c r="AM43" s="4" t="s">
        <v>30</v>
      </c>
      <c r="AP43" s="4" t="s">
        <v>82</v>
      </c>
      <c r="AQ43" s="4" t="s">
        <v>346</v>
      </c>
      <c r="AR43" s="4" t="s">
        <v>638</v>
      </c>
      <c r="AZ43" s="4" t="s">
        <v>82</v>
      </c>
      <c r="BA43" s="4" t="s">
        <v>346</v>
      </c>
      <c r="BB43" s="4" t="s">
        <v>638</v>
      </c>
      <c r="BE43" s="4" t="s">
        <v>93</v>
      </c>
      <c r="BF43" s="4" t="s">
        <v>345</v>
      </c>
      <c r="BG43" s="4" t="s">
        <v>642</v>
      </c>
      <c r="BJ43" s="4" t="s">
        <v>99</v>
      </c>
      <c r="BK43" s="4" t="s">
        <v>441</v>
      </c>
      <c r="BL43" s="4" t="s">
        <v>734</v>
      </c>
      <c r="BT43" s="4" t="s">
        <v>107</v>
      </c>
      <c r="BU43" s="4" t="s">
        <v>397</v>
      </c>
      <c r="BV43" s="4" t="s">
        <v>885</v>
      </c>
      <c r="BY43" s="4" t="s">
        <v>114</v>
      </c>
      <c r="BZ43" s="4" t="s">
        <v>441</v>
      </c>
      <c r="CA43" s="4" t="s">
        <v>651</v>
      </c>
      <c r="CD43" s="4" t="s">
        <v>99</v>
      </c>
      <c r="CE43" s="4" t="s">
        <v>444</v>
      </c>
      <c r="CF43" s="4" t="s">
        <v>30</v>
      </c>
      <c r="CX43" s="4" t="s">
        <v>128</v>
      </c>
      <c r="CY43" s="4" t="s">
        <v>1627</v>
      </c>
      <c r="CZ43" s="4" t="s">
        <v>1162</v>
      </c>
      <c r="DC43" s="4" t="s">
        <v>96</v>
      </c>
      <c r="DD43" s="4" t="s">
        <v>441</v>
      </c>
      <c r="DE43" s="4" t="s">
        <v>1281</v>
      </c>
      <c r="DM43" s="4" t="s">
        <v>101</v>
      </c>
      <c r="DN43" s="4" t="s">
        <v>441</v>
      </c>
      <c r="DO43" s="4" t="s">
        <v>646</v>
      </c>
      <c r="DR43" s="4" t="s">
        <v>101</v>
      </c>
      <c r="DS43" s="4" t="s">
        <v>513</v>
      </c>
      <c r="DT43" s="4" t="s">
        <v>1434</v>
      </c>
    </row>
    <row r="44" spans="2:124">
      <c r="B44" s="4" t="s">
        <v>101</v>
      </c>
      <c r="C44" s="4" t="s">
        <v>45</v>
      </c>
      <c r="D44" s="4" t="s">
        <v>102</v>
      </c>
      <c r="G44" s="4" t="s">
        <v>101</v>
      </c>
      <c r="H44" s="4" t="s">
        <v>292</v>
      </c>
      <c r="I44" s="4" t="s">
        <v>102</v>
      </c>
      <c r="L44" s="4" t="s">
        <v>84</v>
      </c>
      <c r="M44" s="4" t="s">
        <v>77</v>
      </c>
      <c r="N44" s="4" t="s">
        <v>85</v>
      </c>
      <c r="Q44" s="4" t="s">
        <v>84</v>
      </c>
      <c r="R44" s="4" t="s">
        <v>295</v>
      </c>
      <c r="S44" s="4" t="s">
        <v>85</v>
      </c>
      <c r="V44" s="4" t="s">
        <v>107</v>
      </c>
      <c r="W44" s="4" t="s">
        <v>55</v>
      </c>
      <c r="X44" s="4" t="s">
        <v>30</v>
      </c>
      <c r="AA44" s="4" t="s">
        <v>84</v>
      </c>
      <c r="AB44" s="4" t="s">
        <v>346</v>
      </c>
      <c r="AC44" s="4" t="s">
        <v>449</v>
      </c>
      <c r="AF44" s="4" t="s">
        <v>105</v>
      </c>
      <c r="AG44" s="4" t="s">
        <v>515</v>
      </c>
      <c r="AH44" s="4" t="s">
        <v>516</v>
      </c>
      <c r="AK44" s="4" t="s">
        <v>101</v>
      </c>
      <c r="AL44" s="4" t="s">
        <v>441</v>
      </c>
      <c r="AM44" s="4" t="s">
        <v>30</v>
      </c>
      <c r="AP44" s="4" t="s">
        <v>84</v>
      </c>
      <c r="AQ44" s="4" t="s">
        <v>446</v>
      </c>
      <c r="AR44" s="4" t="s">
        <v>639</v>
      </c>
      <c r="AZ44" s="4" t="s">
        <v>84</v>
      </c>
      <c r="BA44" s="4" t="s">
        <v>346</v>
      </c>
      <c r="BB44" s="4" t="s">
        <v>639</v>
      </c>
      <c r="BE44" s="4" t="s">
        <v>94</v>
      </c>
      <c r="BF44" s="4" t="s">
        <v>441</v>
      </c>
      <c r="BG44" s="4" t="s">
        <v>643</v>
      </c>
      <c r="BJ44" s="4" t="s">
        <v>101</v>
      </c>
      <c r="BK44" s="4" t="s">
        <v>441</v>
      </c>
      <c r="BL44" s="4" t="s">
        <v>735</v>
      </c>
      <c r="BT44" s="4" t="s">
        <v>108</v>
      </c>
      <c r="BU44" s="4" t="s">
        <v>438</v>
      </c>
      <c r="BV44" s="4" t="s">
        <v>886</v>
      </c>
      <c r="BY44" s="4" t="s">
        <v>116</v>
      </c>
      <c r="BZ44" s="4" t="s">
        <v>441</v>
      </c>
      <c r="CA44" s="4" t="s">
        <v>652</v>
      </c>
      <c r="CD44" s="4" t="s">
        <v>101</v>
      </c>
      <c r="CE44" s="4" t="s">
        <v>298</v>
      </c>
      <c r="CF44" s="4" t="s">
        <v>980</v>
      </c>
      <c r="CX44" s="4" t="s">
        <v>130</v>
      </c>
      <c r="CY44" s="4" t="s">
        <v>1628</v>
      </c>
      <c r="CZ44" s="4" t="s">
        <v>1164</v>
      </c>
      <c r="DC44" s="4" t="s">
        <v>99</v>
      </c>
      <c r="DD44" s="4" t="s">
        <v>441</v>
      </c>
      <c r="DE44" s="4" t="s">
        <v>1281</v>
      </c>
      <c r="DM44" s="4" t="s">
        <v>105</v>
      </c>
      <c r="DN44" s="4" t="s">
        <v>441</v>
      </c>
      <c r="DO44" s="4" t="s">
        <v>647</v>
      </c>
      <c r="DR44" s="4" t="s">
        <v>105</v>
      </c>
      <c r="DS44" s="4" t="s">
        <v>517</v>
      </c>
      <c r="DT44" s="4" t="s">
        <v>1435</v>
      </c>
    </row>
    <row r="45" spans="2:124">
      <c r="B45" s="4" t="s">
        <v>103</v>
      </c>
      <c r="C45" s="4" t="s">
        <v>104</v>
      </c>
      <c r="D45" s="4" t="s">
        <v>30</v>
      </c>
      <c r="G45" s="4" t="s">
        <v>103</v>
      </c>
      <c r="H45" s="4" t="s">
        <v>298</v>
      </c>
      <c r="I45" s="4" t="s">
        <v>30</v>
      </c>
      <c r="L45" s="4" t="s">
        <v>86</v>
      </c>
      <c r="M45" s="4" t="s">
        <v>77</v>
      </c>
      <c r="N45" s="4" t="s">
        <v>87</v>
      </c>
      <c r="Q45" s="4" t="s">
        <v>86</v>
      </c>
      <c r="R45" s="4" t="s">
        <v>295</v>
      </c>
      <c r="S45" s="4" t="s">
        <v>87</v>
      </c>
      <c r="V45" s="4" t="s">
        <v>108</v>
      </c>
      <c r="W45" s="4" t="s">
        <v>396</v>
      </c>
      <c r="X45" s="4" t="s">
        <v>30</v>
      </c>
      <c r="AA45" s="4" t="s">
        <v>86</v>
      </c>
      <c r="AB45" s="4" t="s">
        <v>346</v>
      </c>
      <c r="AC45" s="4" t="s">
        <v>30</v>
      </c>
      <c r="AF45" s="4" t="s">
        <v>107</v>
      </c>
      <c r="AG45" s="4" t="s">
        <v>517</v>
      </c>
      <c r="AH45" s="4" t="s">
        <v>518</v>
      </c>
      <c r="AK45" s="4" t="s">
        <v>103</v>
      </c>
      <c r="AL45" s="4" t="s">
        <v>441</v>
      </c>
      <c r="AM45" s="4" t="s">
        <v>30</v>
      </c>
      <c r="AP45" s="4" t="s">
        <v>86</v>
      </c>
      <c r="AQ45" s="4" t="s">
        <v>346</v>
      </c>
      <c r="AR45" s="4" t="s">
        <v>640</v>
      </c>
      <c r="AZ45" s="4" t="s">
        <v>86</v>
      </c>
      <c r="BA45" s="4" t="s">
        <v>346</v>
      </c>
      <c r="BB45" s="4" t="s">
        <v>640</v>
      </c>
      <c r="BE45" s="4" t="s">
        <v>96</v>
      </c>
      <c r="BF45" s="4" t="s">
        <v>445</v>
      </c>
      <c r="BG45" s="4" t="s">
        <v>644</v>
      </c>
      <c r="BJ45" s="4" t="s">
        <v>103</v>
      </c>
      <c r="BK45" s="4" t="s">
        <v>441</v>
      </c>
      <c r="BL45" s="4" t="s">
        <v>736</v>
      </c>
      <c r="BT45" s="4" t="s">
        <v>109</v>
      </c>
      <c r="BU45" s="4" t="s">
        <v>32</v>
      </c>
      <c r="BV45" s="4" t="s">
        <v>887</v>
      </c>
      <c r="BY45" s="4" t="s">
        <v>118</v>
      </c>
      <c r="BZ45" s="4" t="s">
        <v>444</v>
      </c>
      <c r="CA45" s="4" t="s">
        <v>653</v>
      </c>
      <c r="CD45" s="4" t="s">
        <v>103</v>
      </c>
      <c r="CE45" s="4" t="s">
        <v>441</v>
      </c>
      <c r="CF45" s="4" t="s">
        <v>30</v>
      </c>
      <c r="CX45" s="4" t="s">
        <v>132</v>
      </c>
      <c r="CY45" s="4" t="s">
        <v>1629</v>
      </c>
      <c r="CZ45" s="4" t="s">
        <v>1630</v>
      </c>
      <c r="DC45" s="4" t="s">
        <v>101</v>
      </c>
      <c r="DD45" s="4" t="s">
        <v>345</v>
      </c>
      <c r="DE45" s="4" t="s">
        <v>1284</v>
      </c>
      <c r="DM45" s="4" t="s">
        <v>107</v>
      </c>
      <c r="DN45" s="4" t="s">
        <v>441</v>
      </c>
      <c r="DO45" s="4" t="s">
        <v>647</v>
      </c>
      <c r="DR45" s="4" t="s">
        <v>107</v>
      </c>
      <c r="DS45" s="4" t="s">
        <v>517</v>
      </c>
      <c r="DT45" s="4" t="s">
        <v>1436</v>
      </c>
    </row>
    <row r="46" spans="2:124">
      <c r="B46" s="4" t="s">
        <v>105</v>
      </c>
      <c r="C46" s="4" t="s">
        <v>35</v>
      </c>
      <c r="D46" s="4" t="s">
        <v>106</v>
      </c>
      <c r="G46" s="4" t="s">
        <v>105</v>
      </c>
      <c r="H46" s="4" t="s">
        <v>290</v>
      </c>
      <c r="I46" s="4" t="s">
        <v>106</v>
      </c>
      <c r="L46" s="4" t="s">
        <v>88</v>
      </c>
      <c r="M46" s="4" t="s">
        <v>32</v>
      </c>
      <c r="N46" s="4" t="s">
        <v>30</v>
      </c>
      <c r="Q46" s="4" t="s">
        <v>88</v>
      </c>
      <c r="R46" s="4" t="s">
        <v>289</v>
      </c>
      <c r="S46" s="4" t="s">
        <v>30</v>
      </c>
      <c r="V46" s="4" t="s">
        <v>109</v>
      </c>
      <c r="W46" s="4" t="s">
        <v>385</v>
      </c>
      <c r="X46" s="4" t="s">
        <v>110</v>
      </c>
      <c r="AA46" s="4" t="s">
        <v>88</v>
      </c>
      <c r="AB46" s="4" t="s">
        <v>345</v>
      </c>
      <c r="AC46" s="4" t="s">
        <v>30</v>
      </c>
      <c r="AF46" s="4" t="s">
        <v>108</v>
      </c>
      <c r="AG46" s="4" t="s">
        <v>362</v>
      </c>
      <c r="AH46" s="4" t="s">
        <v>519</v>
      </c>
      <c r="AK46" s="4" t="s">
        <v>105</v>
      </c>
      <c r="AL46" s="4" t="s">
        <v>441</v>
      </c>
      <c r="AM46" s="4" t="s">
        <v>30</v>
      </c>
      <c r="AP46" s="4" t="s">
        <v>88</v>
      </c>
      <c r="AQ46" s="4" t="s">
        <v>441</v>
      </c>
      <c r="AR46" s="4" t="s">
        <v>632</v>
      </c>
      <c r="AZ46" s="4" t="s">
        <v>88</v>
      </c>
      <c r="BA46" s="4" t="s">
        <v>345</v>
      </c>
      <c r="BB46" s="4" t="s">
        <v>732</v>
      </c>
      <c r="BE46" s="4" t="s">
        <v>99</v>
      </c>
      <c r="BF46" s="4" t="s">
        <v>441</v>
      </c>
      <c r="BG46" s="4" t="s">
        <v>645</v>
      </c>
      <c r="BJ46" s="4" t="s">
        <v>105</v>
      </c>
      <c r="BK46" s="4" t="s">
        <v>441</v>
      </c>
      <c r="BL46" s="4" t="s">
        <v>737</v>
      </c>
      <c r="BT46" s="4" t="s">
        <v>111</v>
      </c>
      <c r="BU46" s="4" t="s">
        <v>444</v>
      </c>
      <c r="BV46" s="4" t="s">
        <v>888</v>
      </c>
      <c r="BY46" s="4" t="s">
        <v>121</v>
      </c>
      <c r="BZ46" s="4" t="s">
        <v>441</v>
      </c>
      <c r="CA46" s="4" t="s">
        <v>654</v>
      </c>
      <c r="CD46" s="4" t="s">
        <v>105</v>
      </c>
      <c r="CE46" s="4" t="s">
        <v>298</v>
      </c>
      <c r="CF46" s="4" t="s">
        <v>980</v>
      </c>
      <c r="CX46" s="4" t="s">
        <v>134</v>
      </c>
      <c r="CY46" s="4" t="s">
        <v>1631</v>
      </c>
      <c r="CZ46" s="4" t="s">
        <v>1168</v>
      </c>
      <c r="DC46" s="4" t="s">
        <v>105</v>
      </c>
      <c r="DD46" s="4" t="s">
        <v>345</v>
      </c>
      <c r="DE46" s="4" t="s">
        <v>1285</v>
      </c>
      <c r="DM46" s="4" t="s">
        <v>108</v>
      </c>
      <c r="DN46" s="4" t="s">
        <v>441</v>
      </c>
      <c r="DO46" s="4" t="s">
        <v>647</v>
      </c>
      <c r="DR46" s="4" t="s">
        <v>108</v>
      </c>
      <c r="DS46" s="4" t="s">
        <v>362</v>
      </c>
      <c r="DT46" s="4" t="s">
        <v>1437</v>
      </c>
    </row>
    <row r="47" spans="2:124">
      <c r="B47" s="4" t="s">
        <v>107</v>
      </c>
      <c r="C47" s="4" t="s">
        <v>32</v>
      </c>
      <c r="D47" s="4" t="s">
        <v>30</v>
      </c>
      <c r="G47" s="4" t="s">
        <v>107</v>
      </c>
      <c r="H47" s="4" t="s">
        <v>289</v>
      </c>
      <c r="I47" s="4" t="s">
        <v>30</v>
      </c>
      <c r="L47" s="4" t="s">
        <v>89</v>
      </c>
      <c r="M47" s="4" t="s">
        <v>90</v>
      </c>
      <c r="N47" s="4" t="s">
        <v>30</v>
      </c>
      <c r="Q47" s="4" t="s">
        <v>89</v>
      </c>
      <c r="R47" s="4" t="s">
        <v>296</v>
      </c>
      <c r="S47" s="4" t="s">
        <v>30</v>
      </c>
      <c r="V47" s="4" t="s">
        <v>111</v>
      </c>
      <c r="W47" s="4" t="s">
        <v>397</v>
      </c>
      <c r="X47" s="4" t="s">
        <v>30</v>
      </c>
      <c r="AA47" s="4" t="s">
        <v>89</v>
      </c>
      <c r="AB47" s="4" t="s">
        <v>444</v>
      </c>
      <c r="AC47" s="4" t="s">
        <v>30</v>
      </c>
      <c r="AF47" s="4" t="s">
        <v>109</v>
      </c>
      <c r="AG47" s="4" t="s">
        <v>513</v>
      </c>
      <c r="AH47" s="4" t="s">
        <v>110</v>
      </c>
      <c r="AK47" s="4" t="s">
        <v>107</v>
      </c>
      <c r="AL47" s="4" t="s">
        <v>441</v>
      </c>
      <c r="AM47" s="4" t="s">
        <v>30</v>
      </c>
      <c r="AP47" s="4" t="s">
        <v>89</v>
      </c>
      <c r="AQ47" s="4" t="s">
        <v>444</v>
      </c>
      <c r="AR47" s="4" t="s">
        <v>641</v>
      </c>
      <c r="AZ47" s="4" t="s">
        <v>89</v>
      </c>
      <c r="BA47" s="4" t="s">
        <v>444</v>
      </c>
      <c r="BB47" s="4" t="s">
        <v>641</v>
      </c>
      <c r="BE47" s="4" t="s">
        <v>101</v>
      </c>
      <c r="BF47" s="4" t="s">
        <v>441</v>
      </c>
      <c r="BG47" s="4" t="s">
        <v>646</v>
      </c>
      <c r="BJ47" s="4" t="s">
        <v>107</v>
      </c>
      <c r="BK47" s="4" t="s">
        <v>441</v>
      </c>
      <c r="BL47" s="4" t="s">
        <v>737</v>
      </c>
      <c r="BT47" s="4" t="s">
        <v>112</v>
      </c>
      <c r="BU47" s="4" t="s">
        <v>289</v>
      </c>
      <c r="BV47" s="4" t="s">
        <v>889</v>
      </c>
      <c r="BY47" s="4" t="s">
        <v>123</v>
      </c>
      <c r="BZ47" s="4" t="s">
        <v>441</v>
      </c>
      <c r="CA47" s="4" t="s">
        <v>654</v>
      </c>
      <c r="CD47" s="4" t="s">
        <v>107</v>
      </c>
      <c r="CE47" s="4" t="s">
        <v>298</v>
      </c>
      <c r="CF47" s="4" t="s">
        <v>974</v>
      </c>
      <c r="CX47" s="4" t="s">
        <v>136</v>
      </c>
      <c r="CY47" s="4" t="s">
        <v>1632</v>
      </c>
      <c r="CZ47" s="4" t="s">
        <v>1170</v>
      </c>
      <c r="DC47" s="4" t="s">
        <v>107</v>
      </c>
      <c r="DD47" s="4" t="s">
        <v>441</v>
      </c>
      <c r="DE47" s="4" t="s">
        <v>1281</v>
      </c>
      <c r="DM47" s="4" t="s">
        <v>109</v>
      </c>
      <c r="DN47" s="4" t="s">
        <v>441</v>
      </c>
      <c r="DO47" s="4" t="s">
        <v>648</v>
      </c>
      <c r="DR47" s="4" t="s">
        <v>109</v>
      </c>
      <c r="DS47" s="4" t="s">
        <v>513</v>
      </c>
      <c r="DT47" s="4" t="s">
        <v>110</v>
      </c>
    </row>
    <row r="48" spans="2:124">
      <c r="B48" s="4" t="s">
        <v>108</v>
      </c>
      <c r="C48" s="4" t="s">
        <v>32</v>
      </c>
      <c r="D48" s="4" t="s">
        <v>30</v>
      </c>
      <c r="G48" s="4" t="s">
        <v>108</v>
      </c>
      <c r="H48" s="4" t="s">
        <v>289</v>
      </c>
      <c r="I48" s="4" t="s">
        <v>30</v>
      </c>
      <c r="L48" s="4" t="s">
        <v>91</v>
      </c>
      <c r="M48" s="4" t="s">
        <v>29</v>
      </c>
      <c r="N48" s="4" t="s">
        <v>92</v>
      </c>
      <c r="Q48" s="4" t="s">
        <v>91</v>
      </c>
      <c r="R48" s="4" t="s">
        <v>288</v>
      </c>
      <c r="S48" s="4" t="s">
        <v>92</v>
      </c>
      <c r="V48" s="4" t="s">
        <v>112</v>
      </c>
      <c r="W48" s="4" t="s">
        <v>398</v>
      </c>
      <c r="X48" s="4" t="s">
        <v>399</v>
      </c>
      <c r="AA48" s="4" t="s">
        <v>91</v>
      </c>
      <c r="AB48" s="4" t="s">
        <v>346</v>
      </c>
      <c r="AC48" s="4" t="s">
        <v>92</v>
      </c>
      <c r="AF48" s="4" t="s">
        <v>111</v>
      </c>
      <c r="AG48" s="4" t="s">
        <v>445</v>
      </c>
      <c r="AH48" s="4" t="s">
        <v>520</v>
      </c>
      <c r="AK48" s="4" t="s">
        <v>108</v>
      </c>
      <c r="AL48" s="4" t="s">
        <v>441</v>
      </c>
      <c r="AM48" s="4" t="s">
        <v>30</v>
      </c>
      <c r="AP48" s="4" t="s">
        <v>91</v>
      </c>
      <c r="AQ48" s="4" t="s">
        <v>446</v>
      </c>
      <c r="AR48" s="4" t="s">
        <v>642</v>
      </c>
      <c r="AZ48" s="4" t="s">
        <v>91</v>
      </c>
      <c r="BA48" s="4" t="s">
        <v>346</v>
      </c>
      <c r="BB48" s="4" t="s">
        <v>642</v>
      </c>
      <c r="BE48" s="4" t="s">
        <v>105</v>
      </c>
      <c r="BF48" s="4" t="s">
        <v>441</v>
      </c>
      <c r="BG48" s="4" t="s">
        <v>647</v>
      </c>
      <c r="BJ48" s="4" t="s">
        <v>108</v>
      </c>
      <c r="BK48" s="4" t="s">
        <v>441</v>
      </c>
      <c r="BL48" s="4" t="s">
        <v>737</v>
      </c>
      <c r="BT48" s="4" t="s">
        <v>114</v>
      </c>
      <c r="BU48" s="4" t="s">
        <v>319</v>
      </c>
      <c r="BV48" s="4" t="s">
        <v>890</v>
      </c>
      <c r="BY48" s="4" t="s">
        <v>124</v>
      </c>
      <c r="BZ48" s="4" t="s">
        <v>441</v>
      </c>
      <c r="CA48" s="4" t="s">
        <v>654</v>
      </c>
      <c r="CD48" s="4" t="s">
        <v>108</v>
      </c>
      <c r="CE48" s="4" t="s">
        <v>298</v>
      </c>
      <c r="CF48" s="4" t="s">
        <v>972</v>
      </c>
      <c r="CX48" s="4" t="s">
        <v>138</v>
      </c>
      <c r="CY48" s="4" t="s">
        <v>1633</v>
      </c>
      <c r="CZ48" s="4" t="s">
        <v>1172</v>
      </c>
      <c r="DC48" s="4" t="s">
        <v>108</v>
      </c>
      <c r="DD48" s="4" t="s">
        <v>345</v>
      </c>
      <c r="DE48" s="4" t="s">
        <v>1286</v>
      </c>
      <c r="DM48" s="4" t="s">
        <v>111</v>
      </c>
      <c r="DN48" s="4" t="s">
        <v>441</v>
      </c>
      <c r="DO48" s="4" t="s">
        <v>649</v>
      </c>
      <c r="DR48" s="4" t="s">
        <v>111</v>
      </c>
      <c r="DS48" s="4" t="s">
        <v>445</v>
      </c>
      <c r="DT48" s="4" t="s">
        <v>1438</v>
      </c>
    </row>
    <row r="49" spans="2:124">
      <c r="B49" s="4" t="s">
        <v>109</v>
      </c>
      <c r="C49" s="4" t="s">
        <v>55</v>
      </c>
      <c r="D49" s="4" t="s">
        <v>110</v>
      </c>
      <c r="G49" s="4" t="s">
        <v>109</v>
      </c>
      <c r="H49" s="4" t="s">
        <v>293</v>
      </c>
      <c r="I49" s="4" t="s">
        <v>110</v>
      </c>
      <c r="L49" s="4" t="s">
        <v>93</v>
      </c>
      <c r="M49" s="4" t="s">
        <v>35</v>
      </c>
      <c r="N49" s="4" t="s">
        <v>92</v>
      </c>
      <c r="Q49" s="4" t="s">
        <v>93</v>
      </c>
      <c r="R49" s="4" t="s">
        <v>290</v>
      </c>
      <c r="S49" s="4" t="s">
        <v>92</v>
      </c>
      <c r="V49" s="4" t="s">
        <v>114</v>
      </c>
      <c r="W49" s="4" t="s">
        <v>400</v>
      </c>
      <c r="X49" s="4" t="s">
        <v>401</v>
      </c>
      <c r="AA49" s="4" t="s">
        <v>93</v>
      </c>
      <c r="AB49" s="4" t="s">
        <v>346</v>
      </c>
      <c r="AC49" s="4" t="s">
        <v>92</v>
      </c>
      <c r="AF49" s="4" t="s">
        <v>112</v>
      </c>
      <c r="AG49" s="4" t="s">
        <v>521</v>
      </c>
      <c r="AH49" s="4" t="s">
        <v>522</v>
      </c>
      <c r="AK49" s="4" t="s">
        <v>109</v>
      </c>
      <c r="AL49" s="4" t="s">
        <v>441</v>
      </c>
      <c r="AM49" s="4" t="s">
        <v>30</v>
      </c>
      <c r="AP49" s="4" t="s">
        <v>93</v>
      </c>
      <c r="AQ49" s="4" t="s">
        <v>360</v>
      </c>
      <c r="AR49" s="4" t="s">
        <v>642</v>
      </c>
      <c r="AZ49" s="4" t="s">
        <v>93</v>
      </c>
      <c r="BA49" s="4" t="s">
        <v>346</v>
      </c>
      <c r="BB49" s="4" t="s">
        <v>642</v>
      </c>
      <c r="BE49" s="4" t="s">
        <v>107</v>
      </c>
      <c r="BF49" s="4" t="s">
        <v>441</v>
      </c>
      <c r="BG49" s="4" t="s">
        <v>647</v>
      </c>
      <c r="BJ49" s="4" t="s">
        <v>109</v>
      </c>
      <c r="BK49" s="4" t="s">
        <v>441</v>
      </c>
      <c r="BL49" s="4" t="s">
        <v>738</v>
      </c>
      <c r="BT49" s="4" t="s">
        <v>116</v>
      </c>
      <c r="BU49" s="4" t="s">
        <v>289</v>
      </c>
      <c r="BV49" s="4" t="s">
        <v>891</v>
      </c>
      <c r="BY49" s="4" t="s">
        <v>125</v>
      </c>
      <c r="BZ49" s="4" t="s">
        <v>441</v>
      </c>
      <c r="CA49" s="4" t="s">
        <v>654</v>
      </c>
      <c r="CD49" s="4" t="s">
        <v>109</v>
      </c>
      <c r="CE49" s="4" t="s">
        <v>434</v>
      </c>
      <c r="CF49" s="4" t="s">
        <v>30</v>
      </c>
      <c r="CX49" s="4" t="s">
        <v>140</v>
      </c>
      <c r="CY49" s="4" t="s">
        <v>1634</v>
      </c>
      <c r="CZ49" s="4" t="s">
        <v>1174</v>
      </c>
      <c r="DC49" s="4" t="s">
        <v>109</v>
      </c>
      <c r="DD49" s="4" t="s">
        <v>441</v>
      </c>
      <c r="DE49" s="4" t="s">
        <v>1281</v>
      </c>
      <c r="DM49" s="4" t="s">
        <v>112</v>
      </c>
      <c r="DN49" s="4" t="s">
        <v>441</v>
      </c>
      <c r="DO49" s="4" t="s">
        <v>650</v>
      </c>
      <c r="DR49" s="4" t="s">
        <v>112</v>
      </c>
      <c r="DS49" s="4" t="s">
        <v>521</v>
      </c>
      <c r="DT49" s="4" t="s">
        <v>1439</v>
      </c>
    </row>
    <row r="50" spans="2:124">
      <c r="B50" s="4" t="s">
        <v>111</v>
      </c>
      <c r="C50" s="4" t="s">
        <v>32</v>
      </c>
      <c r="D50" s="4" t="s">
        <v>30</v>
      </c>
      <c r="G50" s="4" t="s">
        <v>111</v>
      </c>
      <c r="H50" s="4" t="s">
        <v>289</v>
      </c>
      <c r="I50" s="4" t="s">
        <v>30</v>
      </c>
      <c r="L50" s="4" t="s">
        <v>94</v>
      </c>
      <c r="M50" s="4" t="s">
        <v>35</v>
      </c>
      <c r="N50" s="4" t="s">
        <v>95</v>
      </c>
      <c r="Q50" s="4" t="s">
        <v>94</v>
      </c>
      <c r="R50" s="4" t="s">
        <v>290</v>
      </c>
      <c r="S50" s="4" t="s">
        <v>95</v>
      </c>
      <c r="V50" s="4" t="s">
        <v>116</v>
      </c>
      <c r="W50" s="4" t="s">
        <v>402</v>
      </c>
      <c r="X50" s="4" t="s">
        <v>117</v>
      </c>
      <c r="AA50" s="4" t="s">
        <v>94</v>
      </c>
      <c r="AB50" s="4" t="s">
        <v>345</v>
      </c>
      <c r="AC50" s="4" t="s">
        <v>30</v>
      </c>
      <c r="AF50" s="4" t="s">
        <v>114</v>
      </c>
      <c r="AG50" s="4" t="s">
        <v>523</v>
      </c>
      <c r="AH50" s="4" t="s">
        <v>524</v>
      </c>
      <c r="AK50" s="4" t="s">
        <v>111</v>
      </c>
      <c r="AL50" s="4" t="s">
        <v>441</v>
      </c>
      <c r="AM50" s="4" t="s">
        <v>30</v>
      </c>
      <c r="AP50" s="4" t="s">
        <v>94</v>
      </c>
      <c r="AQ50" s="4" t="s">
        <v>441</v>
      </c>
      <c r="AR50" s="4" t="s">
        <v>643</v>
      </c>
      <c r="AZ50" s="4" t="s">
        <v>94</v>
      </c>
      <c r="BA50" s="4" t="s">
        <v>345</v>
      </c>
      <c r="BB50" s="4" t="s">
        <v>733</v>
      </c>
      <c r="BE50" s="4" t="s">
        <v>108</v>
      </c>
      <c r="BF50" s="4" t="s">
        <v>441</v>
      </c>
      <c r="BG50" s="4" t="s">
        <v>647</v>
      </c>
      <c r="BJ50" s="4" t="s">
        <v>111</v>
      </c>
      <c r="BK50" s="4" t="s">
        <v>441</v>
      </c>
      <c r="BL50" s="4" t="s">
        <v>739</v>
      </c>
      <c r="BT50" s="4" t="s">
        <v>118</v>
      </c>
      <c r="BU50" s="4" t="s">
        <v>365</v>
      </c>
      <c r="BV50" s="4" t="s">
        <v>892</v>
      </c>
      <c r="BY50" s="4" t="s">
        <v>126</v>
      </c>
      <c r="BZ50" s="4" t="s">
        <v>441</v>
      </c>
      <c r="CA50" s="4" t="s">
        <v>655</v>
      </c>
      <c r="CD50" s="4" t="s">
        <v>111</v>
      </c>
      <c r="CE50" s="4" t="s">
        <v>450</v>
      </c>
      <c r="CF50" s="4" t="s">
        <v>30</v>
      </c>
      <c r="CX50" s="4" t="s">
        <v>142</v>
      </c>
      <c r="CY50" s="4" t="s">
        <v>1635</v>
      </c>
      <c r="CZ50" s="4" t="s">
        <v>1176</v>
      </c>
      <c r="DC50" s="4" t="s">
        <v>111</v>
      </c>
      <c r="DD50" s="4" t="s">
        <v>441</v>
      </c>
      <c r="DE50" s="4" t="s">
        <v>1281</v>
      </c>
      <c r="DM50" s="4" t="s">
        <v>114</v>
      </c>
      <c r="DN50" s="4" t="s">
        <v>441</v>
      </c>
      <c r="DO50" s="4" t="s">
        <v>651</v>
      </c>
      <c r="DR50" s="4" t="s">
        <v>114</v>
      </c>
      <c r="DS50" s="4" t="s">
        <v>1440</v>
      </c>
      <c r="DT50" s="4" t="s">
        <v>1441</v>
      </c>
    </row>
    <row r="51" spans="2:124">
      <c r="B51" s="4" t="s">
        <v>112</v>
      </c>
      <c r="C51" s="4" t="s">
        <v>45</v>
      </c>
      <c r="D51" s="4" t="s">
        <v>113</v>
      </c>
      <c r="G51" s="4" t="s">
        <v>112</v>
      </c>
      <c r="H51" s="4" t="s">
        <v>292</v>
      </c>
      <c r="I51" s="4" t="s">
        <v>113</v>
      </c>
      <c r="L51" s="4" t="s">
        <v>96</v>
      </c>
      <c r="M51" s="4" t="s">
        <v>325</v>
      </c>
      <c r="N51" s="4" t="s">
        <v>98</v>
      </c>
      <c r="Q51" s="4" t="s">
        <v>96</v>
      </c>
      <c r="R51" s="4" t="s">
        <v>340</v>
      </c>
      <c r="S51" s="4" t="s">
        <v>98</v>
      </c>
      <c r="V51" s="4" t="s">
        <v>118</v>
      </c>
      <c r="W51" s="4" t="s">
        <v>403</v>
      </c>
      <c r="X51" s="4" t="s">
        <v>404</v>
      </c>
      <c r="AA51" s="4" t="s">
        <v>96</v>
      </c>
      <c r="AB51" s="4" t="s">
        <v>293</v>
      </c>
      <c r="AC51" s="4" t="s">
        <v>30</v>
      </c>
      <c r="AF51" s="4" t="s">
        <v>116</v>
      </c>
      <c r="AG51" s="4" t="s">
        <v>396</v>
      </c>
      <c r="AH51" s="4" t="s">
        <v>525</v>
      </c>
      <c r="AK51" s="4" t="s">
        <v>112</v>
      </c>
      <c r="AL51" s="4" t="s">
        <v>441</v>
      </c>
      <c r="AM51" s="4" t="s">
        <v>30</v>
      </c>
      <c r="AP51" s="4" t="s">
        <v>96</v>
      </c>
      <c r="AQ51" s="4" t="s">
        <v>445</v>
      </c>
      <c r="AR51" s="4" t="s">
        <v>644</v>
      </c>
      <c r="AZ51" s="4" t="s">
        <v>96</v>
      </c>
      <c r="BA51" s="4" t="s">
        <v>293</v>
      </c>
      <c r="BB51" s="4" t="s">
        <v>644</v>
      </c>
      <c r="BE51" s="4" t="s">
        <v>109</v>
      </c>
      <c r="BF51" s="4" t="s">
        <v>441</v>
      </c>
      <c r="BG51" s="4" t="s">
        <v>648</v>
      </c>
      <c r="BJ51" s="4" t="s">
        <v>112</v>
      </c>
      <c r="BK51" s="4" t="s">
        <v>441</v>
      </c>
      <c r="BL51" s="4" t="s">
        <v>740</v>
      </c>
      <c r="BT51" s="4" t="s">
        <v>126</v>
      </c>
      <c r="BU51" s="4" t="s">
        <v>445</v>
      </c>
      <c r="BV51" s="4" t="s">
        <v>893</v>
      </c>
      <c r="BY51" s="4" t="s">
        <v>128</v>
      </c>
      <c r="BZ51" s="4" t="s">
        <v>441</v>
      </c>
      <c r="CA51" s="4" t="s">
        <v>656</v>
      </c>
      <c r="CD51" s="4" t="s">
        <v>112</v>
      </c>
      <c r="CE51" s="4" t="s">
        <v>360</v>
      </c>
      <c r="CF51" s="4" t="s">
        <v>30</v>
      </c>
      <c r="CX51" s="4" t="s">
        <v>144</v>
      </c>
      <c r="CY51" s="4" t="s">
        <v>1636</v>
      </c>
      <c r="CZ51" s="4" t="s">
        <v>1178</v>
      </c>
      <c r="DC51" s="4" t="s">
        <v>112</v>
      </c>
      <c r="DD51" s="4" t="s">
        <v>345</v>
      </c>
      <c r="DE51" s="4" t="s">
        <v>1284</v>
      </c>
      <c r="DM51" s="4" t="s">
        <v>116</v>
      </c>
      <c r="DN51" s="4" t="s">
        <v>441</v>
      </c>
      <c r="DO51" s="4" t="s">
        <v>652</v>
      </c>
      <c r="DR51" s="4" t="s">
        <v>116</v>
      </c>
      <c r="DS51" s="4" t="s">
        <v>396</v>
      </c>
      <c r="DT51" s="4" t="s">
        <v>1442</v>
      </c>
    </row>
    <row r="52" spans="2:124">
      <c r="B52" s="4" t="s">
        <v>114</v>
      </c>
      <c r="C52" s="4" t="s">
        <v>29</v>
      </c>
      <c r="D52" s="4" t="s">
        <v>115</v>
      </c>
      <c r="G52" s="4" t="s">
        <v>114</v>
      </c>
      <c r="H52" s="4" t="s">
        <v>288</v>
      </c>
      <c r="I52" s="4" t="s">
        <v>115</v>
      </c>
      <c r="L52" s="4" t="s">
        <v>99</v>
      </c>
      <c r="M52" s="4" t="s">
        <v>326</v>
      </c>
      <c r="N52" s="4" t="s">
        <v>100</v>
      </c>
      <c r="Q52" s="4" t="s">
        <v>99</v>
      </c>
      <c r="R52" s="4" t="s">
        <v>341</v>
      </c>
      <c r="S52" s="4" t="s">
        <v>100</v>
      </c>
      <c r="V52" s="4" t="s">
        <v>126</v>
      </c>
      <c r="W52" s="4" t="s">
        <v>296</v>
      </c>
      <c r="X52" s="4" t="s">
        <v>405</v>
      </c>
      <c r="AA52" s="4" t="s">
        <v>99</v>
      </c>
      <c r="AB52" s="4" t="s">
        <v>345</v>
      </c>
      <c r="AC52" s="4" t="s">
        <v>30</v>
      </c>
      <c r="AF52" s="4" t="s">
        <v>118</v>
      </c>
      <c r="AG52" s="4" t="s">
        <v>526</v>
      </c>
      <c r="AH52" s="4" t="s">
        <v>527</v>
      </c>
      <c r="AK52" s="4" t="s">
        <v>114</v>
      </c>
      <c r="AL52" s="4" t="s">
        <v>441</v>
      </c>
      <c r="AM52" s="4" t="s">
        <v>30</v>
      </c>
      <c r="AP52" s="4" t="s">
        <v>99</v>
      </c>
      <c r="AQ52" s="4" t="s">
        <v>441</v>
      </c>
      <c r="AR52" s="4" t="s">
        <v>645</v>
      </c>
      <c r="AZ52" s="4" t="s">
        <v>99</v>
      </c>
      <c r="BA52" s="4" t="s">
        <v>345</v>
      </c>
      <c r="BB52" s="4" t="s">
        <v>734</v>
      </c>
      <c r="BE52" s="4" t="s">
        <v>111</v>
      </c>
      <c r="BF52" s="4" t="s">
        <v>441</v>
      </c>
      <c r="BG52" s="4" t="s">
        <v>649</v>
      </c>
      <c r="BJ52" s="4" t="s">
        <v>114</v>
      </c>
      <c r="BK52" s="4" t="s">
        <v>441</v>
      </c>
      <c r="BL52" s="4" t="s">
        <v>741</v>
      </c>
      <c r="BT52" s="4" t="s">
        <v>128</v>
      </c>
      <c r="BU52" s="4" t="s">
        <v>289</v>
      </c>
      <c r="BV52" s="4" t="s">
        <v>894</v>
      </c>
      <c r="BY52" s="4" t="s">
        <v>130</v>
      </c>
      <c r="BZ52" s="4" t="s">
        <v>441</v>
      </c>
      <c r="CA52" s="4" t="s">
        <v>657</v>
      </c>
      <c r="CD52" s="4" t="s">
        <v>114</v>
      </c>
      <c r="CE52" s="4" t="s">
        <v>346</v>
      </c>
      <c r="CF52" s="4" t="s">
        <v>30</v>
      </c>
      <c r="CX52" s="4" t="s">
        <v>146</v>
      </c>
      <c r="CY52" s="4" t="s">
        <v>1637</v>
      </c>
      <c r="CZ52" s="4" t="s">
        <v>1638</v>
      </c>
      <c r="DC52" s="4" t="s">
        <v>114</v>
      </c>
      <c r="DD52" s="4" t="s">
        <v>345</v>
      </c>
      <c r="DE52" s="4" t="s">
        <v>1287</v>
      </c>
      <c r="DM52" s="4" t="s">
        <v>118</v>
      </c>
      <c r="DN52" s="4" t="s">
        <v>298</v>
      </c>
      <c r="DO52" s="4" t="s">
        <v>653</v>
      </c>
      <c r="DR52" s="4" t="s">
        <v>118</v>
      </c>
      <c r="DS52" s="4" t="s">
        <v>1443</v>
      </c>
      <c r="DT52" s="4" t="s">
        <v>1444</v>
      </c>
    </row>
    <row r="53" spans="2:124">
      <c r="B53" s="4" t="s">
        <v>116</v>
      </c>
      <c r="C53" s="4" t="s">
        <v>55</v>
      </c>
      <c r="D53" s="4" t="s">
        <v>117</v>
      </c>
      <c r="G53" s="4" t="s">
        <v>116</v>
      </c>
      <c r="H53" s="4" t="s">
        <v>293</v>
      </c>
      <c r="I53" s="4" t="s">
        <v>117</v>
      </c>
      <c r="L53" s="4" t="s">
        <v>101</v>
      </c>
      <c r="M53" s="4" t="s">
        <v>45</v>
      </c>
      <c r="N53" s="4" t="s">
        <v>102</v>
      </c>
      <c r="Q53" s="4" t="s">
        <v>101</v>
      </c>
      <c r="R53" s="4" t="s">
        <v>292</v>
      </c>
      <c r="S53" s="4" t="s">
        <v>102</v>
      </c>
      <c r="V53" s="4" t="s">
        <v>128</v>
      </c>
      <c r="W53" s="4" t="s">
        <v>406</v>
      </c>
      <c r="X53" s="4" t="s">
        <v>129</v>
      </c>
      <c r="AA53" s="4" t="s">
        <v>101</v>
      </c>
      <c r="AB53" s="4" t="s">
        <v>345</v>
      </c>
      <c r="AC53" s="4" t="s">
        <v>30</v>
      </c>
      <c r="AF53" s="4" t="s">
        <v>126</v>
      </c>
      <c r="AG53" s="4" t="s">
        <v>472</v>
      </c>
      <c r="AH53" s="4" t="s">
        <v>528</v>
      </c>
      <c r="AK53" s="4" t="s">
        <v>116</v>
      </c>
      <c r="AL53" s="4" t="s">
        <v>441</v>
      </c>
      <c r="AM53" s="4" t="s">
        <v>30</v>
      </c>
      <c r="AP53" s="4" t="s">
        <v>101</v>
      </c>
      <c r="AQ53" s="4" t="s">
        <v>441</v>
      </c>
      <c r="AR53" s="4" t="s">
        <v>646</v>
      </c>
      <c r="AZ53" s="4" t="s">
        <v>101</v>
      </c>
      <c r="BA53" s="4" t="s">
        <v>345</v>
      </c>
      <c r="BB53" s="4" t="s">
        <v>735</v>
      </c>
      <c r="BE53" s="4" t="s">
        <v>112</v>
      </c>
      <c r="BF53" s="4" t="s">
        <v>441</v>
      </c>
      <c r="BG53" s="4" t="s">
        <v>650</v>
      </c>
      <c r="BJ53" s="4" t="s">
        <v>116</v>
      </c>
      <c r="BK53" s="4" t="s">
        <v>441</v>
      </c>
      <c r="BL53" s="4" t="s">
        <v>742</v>
      </c>
      <c r="BT53" s="4" t="s">
        <v>130</v>
      </c>
      <c r="BU53" s="4" t="s">
        <v>533</v>
      </c>
      <c r="BV53" s="4" t="s">
        <v>895</v>
      </c>
      <c r="BY53" s="4" t="s">
        <v>132</v>
      </c>
      <c r="BZ53" s="4" t="s">
        <v>441</v>
      </c>
      <c r="CA53" s="4" t="s">
        <v>658</v>
      </c>
      <c r="CD53" s="4" t="s">
        <v>116</v>
      </c>
      <c r="CE53" s="4" t="s">
        <v>298</v>
      </c>
      <c r="CF53" s="4" t="s">
        <v>980</v>
      </c>
      <c r="CX53" s="4" t="s">
        <v>148</v>
      </c>
      <c r="CY53" s="4" t="s">
        <v>1639</v>
      </c>
      <c r="CZ53" s="4" t="s">
        <v>1182</v>
      </c>
      <c r="DC53" s="4" t="s">
        <v>116</v>
      </c>
      <c r="DD53" s="4" t="s">
        <v>441</v>
      </c>
      <c r="DE53" s="4" t="s">
        <v>1281</v>
      </c>
      <c r="DM53" s="4" t="s">
        <v>121</v>
      </c>
      <c r="DN53" s="4" t="s">
        <v>441</v>
      </c>
      <c r="DO53" s="4" t="s">
        <v>654</v>
      </c>
      <c r="DR53" s="4" t="s">
        <v>126</v>
      </c>
      <c r="DS53" s="4" t="s">
        <v>288</v>
      </c>
      <c r="DT53" s="4" t="s">
        <v>1445</v>
      </c>
    </row>
    <row r="54" spans="2:124">
      <c r="B54" s="4" t="s">
        <v>118</v>
      </c>
      <c r="C54" s="4" t="s">
        <v>119</v>
      </c>
      <c r="D54" s="4" t="s">
        <v>120</v>
      </c>
      <c r="G54" s="4" t="s">
        <v>118</v>
      </c>
      <c r="H54" s="4" t="s">
        <v>299</v>
      </c>
      <c r="I54" s="4" t="s">
        <v>120</v>
      </c>
      <c r="L54" s="4" t="s">
        <v>103</v>
      </c>
      <c r="M54" s="4" t="s">
        <v>104</v>
      </c>
      <c r="N54" s="4" t="s">
        <v>30</v>
      </c>
      <c r="Q54" s="4" t="s">
        <v>103</v>
      </c>
      <c r="R54" s="4" t="s">
        <v>298</v>
      </c>
      <c r="S54" s="4" t="s">
        <v>30</v>
      </c>
      <c r="V54" s="4" t="s">
        <v>130</v>
      </c>
      <c r="W54" s="4" t="s">
        <v>407</v>
      </c>
      <c r="X54" s="4" t="s">
        <v>408</v>
      </c>
      <c r="AA54" s="4" t="s">
        <v>103</v>
      </c>
      <c r="AB54" s="4" t="s">
        <v>441</v>
      </c>
      <c r="AC54" s="4" t="s">
        <v>30</v>
      </c>
      <c r="AF54" s="4" t="s">
        <v>128</v>
      </c>
      <c r="AG54" s="4" t="s">
        <v>55</v>
      </c>
      <c r="AH54" s="4" t="s">
        <v>529</v>
      </c>
      <c r="AK54" s="4" t="s">
        <v>118</v>
      </c>
      <c r="AL54" s="4" t="s">
        <v>441</v>
      </c>
      <c r="AM54" s="4" t="s">
        <v>30</v>
      </c>
      <c r="AP54" s="4" t="s">
        <v>105</v>
      </c>
      <c r="AQ54" s="4" t="s">
        <v>441</v>
      </c>
      <c r="AR54" s="4" t="s">
        <v>647</v>
      </c>
      <c r="AZ54" s="4" t="s">
        <v>103</v>
      </c>
      <c r="BA54" s="4" t="s">
        <v>441</v>
      </c>
      <c r="BB54" s="4" t="s">
        <v>736</v>
      </c>
      <c r="BE54" s="4" t="s">
        <v>114</v>
      </c>
      <c r="BF54" s="4" t="s">
        <v>441</v>
      </c>
      <c r="BG54" s="4" t="s">
        <v>651</v>
      </c>
      <c r="BJ54" s="4" t="s">
        <v>118</v>
      </c>
      <c r="BK54" s="4" t="s">
        <v>441</v>
      </c>
      <c r="BL54" s="4" t="s">
        <v>796</v>
      </c>
      <c r="BT54" s="4" t="s">
        <v>132</v>
      </c>
      <c r="BU54" s="4" t="s">
        <v>896</v>
      </c>
      <c r="BV54" s="4" t="s">
        <v>897</v>
      </c>
      <c r="BY54" s="4" t="s">
        <v>134</v>
      </c>
      <c r="BZ54" s="4" t="s">
        <v>345</v>
      </c>
      <c r="CA54" s="4" t="s">
        <v>963</v>
      </c>
      <c r="CD54" s="4" t="s">
        <v>118</v>
      </c>
      <c r="CE54" s="4" t="s">
        <v>32</v>
      </c>
      <c r="CF54" s="4" t="s">
        <v>981</v>
      </c>
      <c r="CX54" s="4" t="s">
        <v>150</v>
      </c>
      <c r="CY54" s="4" t="s">
        <v>1640</v>
      </c>
      <c r="CZ54" s="4" t="s">
        <v>1184</v>
      </c>
      <c r="DC54" s="4" t="s">
        <v>118</v>
      </c>
      <c r="DD54" s="4" t="s">
        <v>345</v>
      </c>
      <c r="DE54" s="4" t="s">
        <v>1288</v>
      </c>
      <c r="DM54" s="4" t="s">
        <v>123</v>
      </c>
      <c r="DN54" s="4" t="s">
        <v>441</v>
      </c>
      <c r="DO54" s="4" t="s">
        <v>654</v>
      </c>
      <c r="DR54" s="4" t="s">
        <v>128</v>
      </c>
      <c r="DS54" s="4" t="s">
        <v>55</v>
      </c>
      <c r="DT54" s="4" t="s">
        <v>1446</v>
      </c>
    </row>
    <row r="55" spans="2:124">
      <c r="B55" s="4" t="s">
        <v>121</v>
      </c>
      <c r="C55" s="4" t="s">
        <v>32</v>
      </c>
      <c r="D55" s="4" t="s">
        <v>122</v>
      </c>
      <c r="G55" s="4" t="s">
        <v>121</v>
      </c>
      <c r="H55" s="4" t="s">
        <v>289</v>
      </c>
      <c r="I55" s="4" t="s">
        <v>122</v>
      </c>
      <c r="L55" s="4" t="s">
        <v>105</v>
      </c>
      <c r="M55" s="4" t="s">
        <v>35</v>
      </c>
      <c r="N55" s="4" t="s">
        <v>106</v>
      </c>
      <c r="Q55" s="4" t="s">
        <v>105</v>
      </c>
      <c r="R55" s="4" t="s">
        <v>290</v>
      </c>
      <c r="S55" s="4" t="s">
        <v>106</v>
      </c>
      <c r="V55" s="4" t="s">
        <v>132</v>
      </c>
      <c r="W55" s="4" t="s">
        <v>409</v>
      </c>
      <c r="X55" s="4" t="s">
        <v>410</v>
      </c>
      <c r="AA55" s="4" t="s">
        <v>105</v>
      </c>
      <c r="AB55" s="4" t="s">
        <v>345</v>
      </c>
      <c r="AC55" s="4" t="s">
        <v>30</v>
      </c>
      <c r="AF55" s="4" t="s">
        <v>130</v>
      </c>
      <c r="AG55" s="4" t="s">
        <v>530</v>
      </c>
      <c r="AH55" s="4" t="s">
        <v>531</v>
      </c>
      <c r="AK55" s="4" t="s">
        <v>121</v>
      </c>
      <c r="AL55" s="4" t="s">
        <v>441</v>
      </c>
      <c r="AM55" s="4" t="s">
        <v>30</v>
      </c>
      <c r="AP55" s="4" t="s">
        <v>107</v>
      </c>
      <c r="AQ55" s="4" t="s">
        <v>441</v>
      </c>
      <c r="AR55" s="4" t="s">
        <v>647</v>
      </c>
      <c r="AZ55" s="4" t="s">
        <v>105</v>
      </c>
      <c r="BA55" s="4" t="s">
        <v>345</v>
      </c>
      <c r="BB55" s="4" t="s">
        <v>737</v>
      </c>
      <c r="BE55" s="4" t="s">
        <v>116</v>
      </c>
      <c r="BF55" s="4" t="s">
        <v>441</v>
      </c>
      <c r="BG55" s="4" t="s">
        <v>652</v>
      </c>
      <c r="BJ55" s="4" t="s">
        <v>121</v>
      </c>
      <c r="BK55" s="4" t="s">
        <v>441</v>
      </c>
      <c r="BL55" s="4" t="s">
        <v>743</v>
      </c>
      <c r="BT55" s="4" t="s">
        <v>134</v>
      </c>
      <c r="BU55" s="4" t="s">
        <v>898</v>
      </c>
      <c r="BV55" s="4" t="s">
        <v>899</v>
      </c>
      <c r="BY55" s="4" t="s">
        <v>136</v>
      </c>
      <c r="BZ55" s="4" t="s">
        <v>345</v>
      </c>
      <c r="CA55" s="4" t="s">
        <v>660</v>
      </c>
      <c r="CD55" s="4" t="s">
        <v>121</v>
      </c>
      <c r="CE55" s="4" t="s">
        <v>441</v>
      </c>
      <c r="CF55" s="4" t="s">
        <v>30</v>
      </c>
      <c r="CX55" s="4" t="s">
        <v>152</v>
      </c>
      <c r="CY55" s="4" t="s">
        <v>1641</v>
      </c>
      <c r="CZ55" s="4" t="s">
        <v>1186</v>
      </c>
      <c r="DC55" s="4" t="s">
        <v>126</v>
      </c>
      <c r="DD55" s="4" t="s">
        <v>441</v>
      </c>
      <c r="DE55" s="4" t="s">
        <v>1281</v>
      </c>
      <c r="DM55" s="4" t="s">
        <v>124</v>
      </c>
      <c r="DN55" s="4" t="s">
        <v>441</v>
      </c>
      <c r="DO55" s="4" t="s">
        <v>654</v>
      </c>
      <c r="DR55" s="4" t="s">
        <v>130</v>
      </c>
      <c r="DS55" s="4" t="s">
        <v>530</v>
      </c>
      <c r="DT55" s="4" t="s">
        <v>1447</v>
      </c>
    </row>
    <row r="56" spans="2:124">
      <c r="B56" s="4" t="s">
        <v>123</v>
      </c>
      <c r="C56" s="4" t="s">
        <v>32</v>
      </c>
      <c r="D56" s="4" t="s">
        <v>122</v>
      </c>
      <c r="G56" s="4" t="s">
        <v>123</v>
      </c>
      <c r="H56" s="4" t="s">
        <v>289</v>
      </c>
      <c r="I56" s="4" t="s">
        <v>122</v>
      </c>
      <c r="L56" s="4" t="s">
        <v>107</v>
      </c>
      <c r="M56" s="4" t="s">
        <v>32</v>
      </c>
      <c r="N56" s="4" t="s">
        <v>30</v>
      </c>
      <c r="Q56" s="4" t="s">
        <v>107</v>
      </c>
      <c r="R56" s="4" t="s">
        <v>289</v>
      </c>
      <c r="S56" s="4" t="s">
        <v>30</v>
      </c>
      <c r="V56" s="4" t="s">
        <v>134</v>
      </c>
      <c r="W56" s="4" t="s">
        <v>411</v>
      </c>
      <c r="X56" s="4" t="s">
        <v>412</v>
      </c>
      <c r="AA56" s="4" t="s">
        <v>107</v>
      </c>
      <c r="AB56" s="4" t="s">
        <v>345</v>
      </c>
      <c r="AC56" s="4" t="s">
        <v>30</v>
      </c>
      <c r="AF56" s="4" t="s">
        <v>132</v>
      </c>
      <c r="AG56" s="4" t="s">
        <v>489</v>
      </c>
      <c r="AH56" s="4" t="s">
        <v>532</v>
      </c>
      <c r="AK56" s="4" t="s">
        <v>123</v>
      </c>
      <c r="AL56" s="4" t="s">
        <v>441</v>
      </c>
      <c r="AM56" s="4" t="s">
        <v>30</v>
      </c>
      <c r="AP56" s="4" t="s">
        <v>108</v>
      </c>
      <c r="AQ56" s="4" t="s">
        <v>441</v>
      </c>
      <c r="AR56" s="4" t="s">
        <v>647</v>
      </c>
      <c r="AZ56" s="4" t="s">
        <v>107</v>
      </c>
      <c r="BA56" s="4" t="s">
        <v>345</v>
      </c>
      <c r="BB56" s="4" t="s">
        <v>737</v>
      </c>
      <c r="BE56" s="4" t="s">
        <v>118</v>
      </c>
      <c r="BF56" s="4" t="s">
        <v>444</v>
      </c>
      <c r="BG56" s="4" t="s">
        <v>653</v>
      </c>
      <c r="BJ56" s="4" t="s">
        <v>123</v>
      </c>
      <c r="BK56" s="4" t="s">
        <v>441</v>
      </c>
      <c r="BL56" s="4" t="s">
        <v>743</v>
      </c>
      <c r="BT56" s="4" t="s">
        <v>136</v>
      </c>
      <c r="BU56" s="4" t="s">
        <v>898</v>
      </c>
      <c r="BV56" s="4" t="s">
        <v>900</v>
      </c>
      <c r="BY56" s="4" t="s">
        <v>138</v>
      </c>
      <c r="BZ56" s="4" t="s">
        <v>441</v>
      </c>
      <c r="CA56" s="4" t="s">
        <v>661</v>
      </c>
      <c r="CD56" s="4" t="s">
        <v>123</v>
      </c>
      <c r="CE56" s="4" t="s">
        <v>441</v>
      </c>
      <c r="CF56" s="4" t="s">
        <v>30</v>
      </c>
      <c r="CX56" s="4" t="s">
        <v>154</v>
      </c>
      <c r="CY56" s="4" t="s">
        <v>1642</v>
      </c>
      <c r="CZ56" s="4" t="s">
        <v>1188</v>
      </c>
      <c r="DC56" s="4" t="s">
        <v>128</v>
      </c>
      <c r="DD56" s="4" t="s">
        <v>441</v>
      </c>
      <c r="DE56" s="4" t="s">
        <v>1281</v>
      </c>
      <c r="DM56" s="4" t="s">
        <v>125</v>
      </c>
      <c r="DN56" s="4" t="s">
        <v>441</v>
      </c>
      <c r="DO56" s="4" t="s">
        <v>654</v>
      </c>
      <c r="DR56" s="4" t="s">
        <v>132</v>
      </c>
      <c r="DS56" s="4" t="s">
        <v>1448</v>
      </c>
      <c r="DT56" s="4" t="s">
        <v>532</v>
      </c>
    </row>
    <row r="57" spans="2:124">
      <c r="B57" s="4" t="s">
        <v>124</v>
      </c>
      <c r="C57" s="4" t="s">
        <v>32</v>
      </c>
      <c r="D57" s="4" t="s">
        <v>122</v>
      </c>
      <c r="G57" s="4" t="s">
        <v>124</v>
      </c>
      <c r="H57" s="4" t="s">
        <v>289</v>
      </c>
      <c r="I57" s="4" t="s">
        <v>122</v>
      </c>
      <c r="L57" s="4" t="s">
        <v>108</v>
      </c>
      <c r="M57" s="4" t="s">
        <v>32</v>
      </c>
      <c r="N57" s="4" t="s">
        <v>30</v>
      </c>
      <c r="Q57" s="4" t="s">
        <v>108</v>
      </c>
      <c r="R57" s="4" t="s">
        <v>289</v>
      </c>
      <c r="S57" s="4" t="s">
        <v>30</v>
      </c>
      <c r="V57" s="4" t="s">
        <v>136</v>
      </c>
      <c r="W57" s="4" t="s">
        <v>413</v>
      </c>
      <c r="X57" s="4" t="s">
        <v>414</v>
      </c>
      <c r="AA57" s="4" t="s">
        <v>108</v>
      </c>
      <c r="AB57" s="4" t="s">
        <v>345</v>
      </c>
      <c r="AC57" s="4" t="s">
        <v>30</v>
      </c>
      <c r="AF57" s="4" t="s">
        <v>134</v>
      </c>
      <c r="AG57" s="4" t="s">
        <v>533</v>
      </c>
      <c r="AH57" s="4" t="s">
        <v>534</v>
      </c>
      <c r="AK57" s="4" t="s">
        <v>124</v>
      </c>
      <c r="AL57" s="4" t="s">
        <v>441</v>
      </c>
      <c r="AM57" s="4" t="s">
        <v>30</v>
      </c>
      <c r="AP57" s="4" t="s">
        <v>109</v>
      </c>
      <c r="AQ57" s="4" t="s">
        <v>441</v>
      </c>
      <c r="AR57" s="4" t="s">
        <v>648</v>
      </c>
      <c r="AZ57" s="4" t="s">
        <v>108</v>
      </c>
      <c r="BA57" s="4" t="s">
        <v>345</v>
      </c>
      <c r="BB57" s="4" t="s">
        <v>737</v>
      </c>
      <c r="BE57" s="4" t="s">
        <v>121</v>
      </c>
      <c r="BF57" s="4" t="s">
        <v>441</v>
      </c>
      <c r="BG57" s="4" t="s">
        <v>654</v>
      </c>
      <c r="BJ57" s="4" t="s">
        <v>124</v>
      </c>
      <c r="BK57" s="4" t="s">
        <v>441</v>
      </c>
      <c r="BL57" s="4" t="s">
        <v>743</v>
      </c>
      <c r="BT57" s="4" t="s">
        <v>138</v>
      </c>
      <c r="BU57" s="4" t="s">
        <v>411</v>
      </c>
      <c r="BV57" s="4" t="s">
        <v>901</v>
      </c>
      <c r="BY57" s="4" t="s">
        <v>140</v>
      </c>
      <c r="BZ57" s="4" t="s">
        <v>441</v>
      </c>
      <c r="CA57" s="4" t="s">
        <v>662</v>
      </c>
      <c r="CD57" s="4" t="s">
        <v>124</v>
      </c>
      <c r="CE57" s="4" t="s">
        <v>441</v>
      </c>
      <c r="CF57" s="4" t="s">
        <v>30</v>
      </c>
      <c r="CX57" s="4" t="s">
        <v>156</v>
      </c>
      <c r="CY57" s="4" t="s">
        <v>511</v>
      </c>
      <c r="CZ57" s="4" t="s">
        <v>1190</v>
      </c>
      <c r="DC57" s="4" t="s">
        <v>130</v>
      </c>
      <c r="DD57" s="4" t="s">
        <v>441</v>
      </c>
      <c r="DE57" s="4" t="s">
        <v>1281</v>
      </c>
      <c r="DM57" s="4" t="s">
        <v>126</v>
      </c>
      <c r="DN57" s="4" t="s">
        <v>441</v>
      </c>
      <c r="DO57" s="4" t="s">
        <v>655</v>
      </c>
      <c r="DR57" s="4" t="s">
        <v>134</v>
      </c>
      <c r="DS57" s="4" t="s">
        <v>296</v>
      </c>
      <c r="DT57" s="4" t="s">
        <v>1449</v>
      </c>
    </row>
    <row r="58" spans="2:124">
      <c r="B58" s="4" t="s">
        <v>125</v>
      </c>
      <c r="C58" s="4" t="s">
        <v>32</v>
      </c>
      <c r="D58" s="4" t="s">
        <v>122</v>
      </c>
      <c r="G58" s="4" t="s">
        <v>125</v>
      </c>
      <c r="H58" s="4" t="s">
        <v>289</v>
      </c>
      <c r="I58" s="4" t="s">
        <v>122</v>
      </c>
      <c r="L58" s="4" t="s">
        <v>109</v>
      </c>
      <c r="M58" s="4" t="s">
        <v>55</v>
      </c>
      <c r="N58" s="4" t="s">
        <v>110</v>
      </c>
      <c r="Q58" s="4" t="s">
        <v>109</v>
      </c>
      <c r="R58" s="4" t="s">
        <v>293</v>
      </c>
      <c r="S58" s="4" t="s">
        <v>110</v>
      </c>
      <c r="V58" s="4" t="s">
        <v>138</v>
      </c>
      <c r="W58" s="4" t="s">
        <v>415</v>
      </c>
      <c r="X58" s="4" t="s">
        <v>416</v>
      </c>
      <c r="AA58" s="4" t="s">
        <v>109</v>
      </c>
      <c r="AB58" s="4" t="s">
        <v>345</v>
      </c>
      <c r="AC58" s="4" t="s">
        <v>30</v>
      </c>
      <c r="AF58" s="4" t="s">
        <v>136</v>
      </c>
      <c r="AG58" s="4" t="s">
        <v>326</v>
      </c>
      <c r="AH58" s="4" t="s">
        <v>535</v>
      </c>
      <c r="AK58" s="4" t="s">
        <v>125</v>
      </c>
      <c r="AL58" s="4" t="s">
        <v>441</v>
      </c>
      <c r="AM58" s="4" t="s">
        <v>30</v>
      </c>
      <c r="AP58" s="4" t="s">
        <v>111</v>
      </c>
      <c r="AQ58" s="4" t="s">
        <v>441</v>
      </c>
      <c r="AR58" s="4" t="s">
        <v>649</v>
      </c>
      <c r="AZ58" s="4" t="s">
        <v>109</v>
      </c>
      <c r="BA58" s="4" t="s">
        <v>345</v>
      </c>
      <c r="BB58" s="4" t="s">
        <v>738</v>
      </c>
      <c r="BE58" s="4" t="s">
        <v>123</v>
      </c>
      <c r="BF58" s="4" t="s">
        <v>441</v>
      </c>
      <c r="BG58" s="4" t="s">
        <v>654</v>
      </c>
      <c r="BJ58" s="4" t="s">
        <v>125</v>
      </c>
      <c r="BK58" s="4" t="s">
        <v>441</v>
      </c>
      <c r="BL58" s="4" t="s">
        <v>743</v>
      </c>
      <c r="BT58" s="4" t="s">
        <v>140</v>
      </c>
      <c r="BU58" s="4" t="s">
        <v>350</v>
      </c>
      <c r="BV58" s="4" t="s">
        <v>902</v>
      </c>
      <c r="BY58" s="4" t="s">
        <v>142</v>
      </c>
      <c r="BZ58" s="4" t="s">
        <v>441</v>
      </c>
      <c r="CA58" s="4" t="s">
        <v>640</v>
      </c>
      <c r="CD58" s="4" t="s">
        <v>125</v>
      </c>
      <c r="CE58" s="4" t="s">
        <v>441</v>
      </c>
      <c r="CF58" s="4" t="s">
        <v>30</v>
      </c>
      <c r="CX58" s="4" t="s">
        <v>160</v>
      </c>
      <c r="CY58" s="4" t="s">
        <v>1643</v>
      </c>
      <c r="CZ58" s="4" t="s">
        <v>1192</v>
      </c>
      <c r="DC58" s="4" t="s">
        <v>132</v>
      </c>
      <c r="DD58" s="4" t="s">
        <v>441</v>
      </c>
      <c r="DE58" s="4" t="s">
        <v>1281</v>
      </c>
      <c r="DM58" s="4" t="s">
        <v>128</v>
      </c>
      <c r="DN58" s="4" t="s">
        <v>441</v>
      </c>
      <c r="DO58" s="4" t="s">
        <v>656</v>
      </c>
      <c r="DR58" s="4" t="s">
        <v>136</v>
      </c>
      <c r="DS58" s="4" t="s">
        <v>1415</v>
      </c>
      <c r="DT58" s="4" t="s">
        <v>1450</v>
      </c>
    </row>
    <row r="59" spans="2:124">
      <c r="B59" s="4" t="s">
        <v>126</v>
      </c>
      <c r="C59" s="4" t="s">
        <v>29</v>
      </c>
      <c r="D59" s="4" t="s">
        <v>127</v>
      </c>
      <c r="G59" s="4" t="s">
        <v>126</v>
      </c>
      <c r="H59" s="4" t="s">
        <v>288</v>
      </c>
      <c r="I59" s="4" t="s">
        <v>127</v>
      </c>
      <c r="L59" s="4" t="s">
        <v>111</v>
      </c>
      <c r="M59" s="4" t="s">
        <v>32</v>
      </c>
      <c r="N59" s="4" t="s">
        <v>30</v>
      </c>
      <c r="Q59" s="4" t="s">
        <v>111</v>
      </c>
      <c r="R59" s="4" t="s">
        <v>289</v>
      </c>
      <c r="S59" s="4" t="s">
        <v>30</v>
      </c>
      <c r="V59" s="4" t="s">
        <v>140</v>
      </c>
      <c r="W59" s="4" t="s">
        <v>417</v>
      </c>
      <c r="X59" s="4" t="s">
        <v>418</v>
      </c>
      <c r="AA59" s="4" t="s">
        <v>111</v>
      </c>
      <c r="AB59" s="4" t="s">
        <v>345</v>
      </c>
      <c r="AC59" s="4" t="s">
        <v>30</v>
      </c>
      <c r="AF59" s="4" t="s">
        <v>138</v>
      </c>
      <c r="AG59" s="4" t="s">
        <v>536</v>
      </c>
      <c r="AH59" s="4" t="s">
        <v>537</v>
      </c>
      <c r="AK59" s="4" t="s">
        <v>126</v>
      </c>
      <c r="AL59" s="4" t="s">
        <v>441</v>
      </c>
      <c r="AM59" s="4" t="s">
        <v>30</v>
      </c>
      <c r="AP59" s="4" t="s">
        <v>112</v>
      </c>
      <c r="AQ59" s="4" t="s">
        <v>441</v>
      </c>
      <c r="AR59" s="4" t="s">
        <v>650</v>
      </c>
      <c r="AZ59" s="4" t="s">
        <v>111</v>
      </c>
      <c r="BA59" s="4" t="s">
        <v>345</v>
      </c>
      <c r="BB59" s="4" t="s">
        <v>739</v>
      </c>
      <c r="BE59" s="4" t="s">
        <v>124</v>
      </c>
      <c r="BF59" s="4" t="s">
        <v>441</v>
      </c>
      <c r="BG59" s="4" t="s">
        <v>654</v>
      </c>
      <c r="BJ59" s="4" t="s">
        <v>126</v>
      </c>
      <c r="BK59" s="4" t="s">
        <v>441</v>
      </c>
      <c r="BL59" s="4" t="s">
        <v>744</v>
      </c>
      <c r="BT59" s="4" t="s">
        <v>142</v>
      </c>
      <c r="BU59" s="4" t="s">
        <v>293</v>
      </c>
      <c r="BV59" s="4" t="s">
        <v>903</v>
      </c>
      <c r="BY59" s="4" t="s">
        <v>144</v>
      </c>
      <c r="BZ59" s="4" t="s">
        <v>441</v>
      </c>
      <c r="CA59" s="4" t="s">
        <v>663</v>
      </c>
      <c r="CD59" s="4" t="s">
        <v>126</v>
      </c>
      <c r="CE59" s="4" t="s">
        <v>446</v>
      </c>
      <c r="CF59" s="4" t="s">
        <v>30</v>
      </c>
      <c r="CX59" s="4" t="s">
        <v>164</v>
      </c>
      <c r="CY59" s="4" t="s">
        <v>1644</v>
      </c>
      <c r="CZ59" s="4" t="s">
        <v>1194</v>
      </c>
      <c r="DC59" s="4" t="s">
        <v>134</v>
      </c>
      <c r="DD59" s="4" t="s">
        <v>441</v>
      </c>
      <c r="DE59" s="4" t="s">
        <v>1281</v>
      </c>
      <c r="DM59" s="4" t="s">
        <v>130</v>
      </c>
      <c r="DN59" s="4" t="s">
        <v>441</v>
      </c>
      <c r="DO59" s="4" t="s">
        <v>657</v>
      </c>
      <c r="DR59" s="4" t="s">
        <v>138</v>
      </c>
      <c r="DS59" s="4" t="s">
        <v>411</v>
      </c>
      <c r="DT59" s="4" t="s">
        <v>1451</v>
      </c>
    </row>
    <row r="60" spans="2:124">
      <c r="B60" s="4" t="s">
        <v>128</v>
      </c>
      <c r="C60" s="4" t="s">
        <v>35</v>
      </c>
      <c r="D60" s="4" t="s">
        <v>129</v>
      </c>
      <c r="G60" s="4" t="s">
        <v>128</v>
      </c>
      <c r="H60" s="4" t="s">
        <v>290</v>
      </c>
      <c r="I60" s="4" t="s">
        <v>129</v>
      </c>
      <c r="L60" s="4" t="s">
        <v>112</v>
      </c>
      <c r="M60" s="4" t="s">
        <v>45</v>
      </c>
      <c r="N60" s="4" t="s">
        <v>113</v>
      </c>
      <c r="Q60" s="4" t="s">
        <v>112</v>
      </c>
      <c r="R60" s="4" t="s">
        <v>292</v>
      </c>
      <c r="S60" s="4" t="s">
        <v>113</v>
      </c>
      <c r="V60" s="4" t="s">
        <v>142</v>
      </c>
      <c r="W60" s="4" t="s">
        <v>393</v>
      </c>
      <c r="X60" s="4" t="s">
        <v>419</v>
      </c>
      <c r="AA60" s="4" t="s">
        <v>112</v>
      </c>
      <c r="AB60" s="4" t="s">
        <v>345</v>
      </c>
      <c r="AC60" s="4" t="s">
        <v>30</v>
      </c>
      <c r="AF60" s="4" t="s">
        <v>140</v>
      </c>
      <c r="AG60" s="4" t="s">
        <v>361</v>
      </c>
      <c r="AH60" s="4" t="s">
        <v>538</v>
      </c>
      <c r="AK60" s="4" t="s">
        <v>128</v>
      </c>
      <c r="AL60" s="4" t="s">
        <v>441</v>
      </c>
      <c r="AM60" s="4" t="s">
        <v>30</v>
      </c>
      <c r="AP60" s="4" t="s">
        <v>114</v>
      </c>
      <c r="AQ60" s="4" t="s">
        <v>441</v>
      </c>
      <c r="AR60" s="4" t="s">
        <v>651</v>
      </c>
      <c r="AZ60" s="4" t="s">
        <v>112</v>
      </c>
      <c r="BA60" s="4" t="s">
        <v>345</v>
      </c>
      <c r="BB60" s="4" t="s">
        <v>740</v>
      </c>
      <c r="BE60" s="4" t="s">
        <v>125</v>
      </c>
      <c r="BF60" s="4" t="s">
        <v>441</v>
      </c>
      <c r="BG60" s="4" t="s">
        <v>654</v>
      </c>
      <c r="BJ60" s="4" t="s">
        <v>128</v>
      </c>
      <c r="BK60" s="4" t="s">
        <v>441</v>
      </c>
      <c r="BL60" s="4" t="s">
        <v>745</v>
      </c>
      <c r="BT60" s="4" t="s">
        <v>144</v>
      </c>
      <c r="BU60" s="4" t="s">
        <v>898</v>
      </c>
      <c r="BV60" s="4" t="s">
        <v>904</v>
      </c>
      <c r="BY60" s="4" t="s">
        <v>146</v>
      </c>
      <c r="BZ60" s="4" t="s">
        <v>441</v>
      </c>
      <c r="CA60" s="4" t="s">
        <v>664</v>
      </c>
      <c r="CD60" s="4" t="s">
        <v>128</v>
      </c>
      <c r="CE60" s="4" t="s">
        <v>360</v>
      </c>
      <c r="CF60" s="4" t="s">
        <v>30</v>
      </c>
      <c r="CX60" s="4" t="s">
        <v>166</v>
      </c>
      <c r="CY60" s="4" t="s">
        <v>1645</v>
      </c>
      <c r="CZ60" s="4" t="s">
        <v>1196</v>
      </c>
      <c r="DC60" s="4" t="s">
        <v>136</v>
      </c>
      <c r="DD60" s="4" t="s">
        <v>441</v>
      </c>
      <c r="DE60" s="4" t="s">
        <v>1281</v>
      </c>
      <c r="DM60" s="4" t="s">
        <v>132</v>
      </c>
      <c r="DN60" s="4" t="s">
        <v>441</v>
      </c>
      <c r="DO60" s="4" t="s">
        <v>658</v>
      </c>
      <c r="DR60" s="4" t="s">
        <v>140</v>
      </c>
      <c r="DS60" s="4" t="s">
        <v>361</v>
      </c>
      <c r="DT60" s="4" t="s">
        <v>1452</v>
      </c>
    </row>
    <row r="61" spans="2:124">
      <c r="B61" s="4" t="s">
        <v>130</v>
      </c>
      <c r="C61" s="4" t="s">
        <v>35</v>
      </c>
      <c r="D61" s="4" t="s">
        <v>131</v>
      </c>
      <c r="G61" s="4" t="s">
        <v>130</v>
      </c>
      <c r="H61" s="4" t="s">
        <v>290</v>
      </c>
      <c r="I61" s="4" t="s">
        <v>131</v>
      </c>
      <c r="L61" s="4" t="s">
        <v>114</v>
      </c>
      <c r="M61" s="4" t="s">
        <v>29</v>
      </c>
      <c r="N61" s="4" t="s">
        <v>115</v>
      </c>
      <c r="Q61" s="4" t="s">
        <v>114</v>
      </c>
      <c r="R61" s="4" t="s">
        <v>288</v>
      </c>
      <c r="S61" s="4" t="s">
        <v>115</v>
      </c>
      <c r="V61" s="4" t="s">
        <v>144</v>
      </c>
      <c r="W61" s="4" t="s">
        <v>420</v>
      </c>
      <c r="X61" s="4" t="s">
        <v>145</v>
      </c>
      <c r="AA61" s="4" t="s">
        <v>114</v>
      </c>
      <c r="AB61" s="4" t="s">
        <v>345</v>
      </c>
      <c r="AC61" s="4" t="s">
        <v>30</v>
      </c>
      <c r="AF61" s="4" t="s">
        <v>142</v>
      </c>
      <c r="AG61" s="4" t="s">
        <v>539</v>
      </c>
      <c r="AH61" s="4" t="s">
        <v>540</v>
      </c>
      <c r="AK61" s="4" t="s">
        <v>130</v>
      </c>
      <c r="AL61" s="4" t="s">
        <v>441</v>
      </c>
      <c r="AM61" s="4" t="s">
        <v>30</v>
      </c>
      <c r="AP61" s="4" t="s">
        <v>116</v>
      </c>
      <c r="AQ61" s="4" t="s">
        <v>441</v>
      </c>
      <c r="AR61" s="4" t="s">
        <v>652</v>
      </c>
      <c r="AZ61" s="4" t="s">
        <v>114</v>
      </c>
      <c r="BA61" s="4" t="s">
        <v>345</v>
      </c>
      <c r="BB61" s="4" t="s">
        <v>741</v>
      </c>
      <c r="BE61" s="4" t="s">
        <v>126</v>
      </c>
      <c r="BF61" s="4" t="s">
        <v>441</v>
      </c>
      <c r="BG61" s="4" t="s">
        <v>655</v>
      </c>
      <c r="BJ61" s="4" t="s">
        <v>130</v>
      </c>
      <c r="BK61" s="4" t="s">
        <v>441</v>
      </c>
      <c r="BL61" s="4" t="s">
        <v>746</v>
      </c>
      <c r="BT61" s="4" t="s">
        <v>146</v>
      </c>
      <c r="BU61" s="4" t="s">
        <v>361</v>
      </c>
      <c r="BV61" s="4" t="s">
        <v>905</v>
      </c>
      <c r="BY61" s="4" t="s">
        <v>148</v>
      </c>
      <c r="BZ61" s="4" t="s">
        <v>441</v>
      </c>
      <c r="CA61" s="4" t="s">
        <v>665</v>
      </c>
      <c r="CD61" s="4" t="s">
        <v>130</v>
      </c>
      <c r="CE61" s="4" t="s">
        <v>298</v>
      </c>
      <c r="CF61" s="4" t="s">
        <v>982</v>
      </c>
      <c r="CX61" s="4" t="s">
        <v>168</v>
      </c>
      <c r="CY61" s="4" t="s">
        <v>1646</v>
      </c>
      <c r="CZ61" s="4" t="s">
        <v>1198</v>
      </c>
      <c r="DC61" s="4" t="s">
        <v>138</v>
      </c>
      <c r="DD61" s="4" t="s">
        <v>441</v>
      </c>
      <c r="DE61" s="4" t="s">
        <v>1281</v>
      </c>
      <c r="DM61" s="4" t="s">
        <v>134</v>
      </c>
      <c r="DN61" s="4" t="s">
        <v>441</v>
      </c>
      <c r="DO61" s="4" t="s">
        <v>659</v>
      </c>
      <c r="DR61" s="4" t="s">
        <v>142</v>
      </c>
      <c r="DS61" s="4" t="s">
        <v>573</v>
      </c>
      <c r="DT61" s="4" t="s">
        <v>1453</v>
      </c>
    </row>
    <row r="62" spans="2:124">
      <c r="B62" s="4" t="s">
        <v>132</v>
      </c>
      <c r="C62" s="4" t="s">
        <v>35</v>
      </c>
      <c r="D62" s="4" t="s">
        <v>133</v>
      </c>
      <c r="G62" s="4" t="s">
        <v>132</v>
      </c>
      <c r="H62" s="4" t="s">
        <v>290</v>
      </c>
      <c r="I62" s="4" t="s">
        <v>133</v>
      </c>
      <c r="L62" s="4" t="s">
        <v>116</v>
      </c>
      <c r="M62" s="4" t="s">
        <v>55</v>
      </c>
      <c r="N62" s="4" t="s">
        <v>117</v>
      </c>
      <c r="Q62" s="4" t="s">
        <v>116</v>
      </c>
      <c r="R62" s="4" t="s">
        <v>293</v>
      </c>
      <c r="S62" s="4" t="s">
        <v>117</v>
      </c>
      <c r="V62" s="4" t="s">
        <v>146</v>
      </c>
      <c r="W62" s="4" t="s">
        <v>359</v>
      </c>
      <c r="X62" s="4" t="s">
        <v>421</v>
      </c>
      <c r="AA62" s="4" t="s">
        <v>116</v>
      </c>
      <c r="AB62" s="4" t="s">
        <v>345</v>
      </c>
      <c r="AC62" s="4" t="s">
        <v>30</v>
      </c>
      <c r="AF62" s="4" t="s">
        <v>144</v>
      </c>
      <c r="AG62" s="4" t="s">
        <v>24</v>
      </c>
      <c r="AH62" s="4" t="s">
        <v>541</v>
      </c>
      <c r="AK62" s="4" t="s">
        <v>132</v>
      </c>
      <c r="AL62" s="4" t="s">
        <v>441</v>
      </c>
      <c r="AM62" s="4" t="s">
        <v>30</v>
      </c>
      <c r="AP62" s="4" t="s">
        <v>118</v>
      </c>
      <c r="AQ62" s="4" t="s">
        <v>298</v>
      </c>
      <c r="AR62" s="4" t="s">
        <v>653</v>
      </c>
      <c r="AZ62" s="4" t="s">
        <v>116</v>
      </c>
      <c r="BA62" s="4" t="s">
        <v>345</v>
      </c>
      <c r="BB62" s="4" t="s">
        <v>742</v>
      </c>
      <c r="BE62" s="4" t="s">
        <v>128</v>
      </c>
      <c r="BF62" s="4" t="s">
        <v>441</v>
      </c>
      <c r="BG62" s="4" t="s">
        <v>656</v>
      </c>
      <c r="BJ62" s="4" t="s">
        <v>132</v>
      </c>
      <c r="BK62" s="4" t="s">
        <v>441</v>
      </c>
      <c r="BL62" s="4" t="s">
        <v>747</v>
      </c>
      <c r="BT62" s="4" t="s">
        <v>148</v>
      </c>
      <c r="BU62" s="4" t="s">
        <v>377</v>
      </c>
      <c r="BV62" s="4" t="s">
        <v>906</v>
      </c>
      <c r="BY62" s="4" t="s">
        <v>150</v>
      </c>
      <c r="BZ62" s="4" t="s">
        <v>441</v>
      </c>
      <c r="CA62" s="4" t="s">
        <v>785</v>
      </c>
      <c r="CD62" s="4" t="s">
        <v>132</v>
      </c>
      <c r="CE62" s="4" t="s">
        <v>444</v>
      </c>
      <c r="CF62" s="4" t="s">
        <v>983</v>
      </c>
      <c r="CX62" s="4" t="s">
        <v>170</v>
      </c>
      <c r="CY62" s="4" t="s">
        <v>1647</v>
      </c>
      <c r="CZ62" s="4" t="s">
        <v>1200</v>
      </c>
      <c r="DC62" s="4" t="s">
        <v>140</v>
      </c>
      <c r="DD62" s="4" t="s">
        <v>441</v>
      </c>
      <c r="DE62" s="4" t="s">
        <v>1281</v>
      </c>
      <c r="DM62" s="4" t="s">
        <v>136</v>
      </c>
      <c r="DN62" s="4" t="s">
        <v>345</v>
      </c>
      <c r="DO62" s="4" t="s">
        <v>660</v>
      </c>
      <c r="DR62" s="4" t="s">
        <v>144</v>
      </c>
      <c r="DS62" s="4" t="s">
        <v>24</v>
      </c>
      <c r="DT62" s="4" t="s">
        <v>1454</v>
      </c>
    </row>
    <row r="63" spans="2:124">
      <c r="B63" s="4" t="s">
        <v>134</v>
      </c>
      <c r="C63" s="4" t="s">
        <v>55</v>
      </c>
      <c r="D63" s="4" t="s">
        <v>135</v>
      </c>
      <c r="G63" s="4" t="s">
        <v>134</v>
      </c>
      <c r="H63" s="4" t="s">
        <v>293</v>
      </c>
      <c r="I63" s="4" t="s">
        <v>135</v>
      </c>
      <c r="L63" s="4" t="s">
        <v>118</v>
      </c>
      <c r="M63" s="4" t="s">
        <v>119</v>
      </c>
      <c r="N63" s="4" t="s">
        <v>120</v>
      </c>
      <c r="Q63" s="4" t="s">
        <v>118</v>
      </c>
      <c r="R63" s="4" t="s">
        <v>299</v>
      </c>
      <c r="S63" s="4" t="s">
        <v>120</v>
      </c>
      <c r="V63" s="4" t="s">
        <v>148</v>
      </c>
      <c r="W63" s="4" t="s">
        <v>292</v>
      </c>
      <c r="X63" s="4" t="s">
        <v>149</v>
      </c>
      <c r="AA63" s="4" t="s">
        <v>118</v>
      </c>
      <c r="AB63" s="4" t="s">
        <v>450</v>
      </c>
      <c r="AC63" s="4" t="s">
        <v>451</v>
      </c>
      <c r="AF63" s="4" t="s">
        <v>146</v>
      </c>
      <c r="AG63" s="4" t="s">
        <v>485</v>
      </c>
      <c r="AH63" s="4" t="s">
        <v>542</v>
      </c>
      <c r="AK63" s="4" t="s">
        <v>134</v>
      </c>
      <c r="AL63" s="4" t="s">
        <v>441</v>
      </c>
      <c r="AM63" s="4" t="s">
        <v>30</v>
      </c>
      <c r="AP63" s="4" t="s">
        <v>121</v>
      </c>
      <c r="AQ63" s="4" t="s">
        <v>441</v>
      </c>
      <c r="AR63" s="4" t="s">
        <v>654</v>
      </c>
      <c r="AZ63" s="4" t="s">
        <v>118</v>
      </c>
      <c r="BA63" s="4" t="s">
        <v>444</v>
      </c>
      <c r="BB63" s="4" t="s">
        <v>653</v>
      </c>
      <c r="BE63" s="4" t="s">
        <v>130</v>
      </c>
      <c r="BF63" s="4" t="s">
        <v>441</v>
      </c>
      <c r="BG63" s="4" t="s">
        <v>657</v>
      </c>
      <c r="BJ63" s="4" t="s">
        <v>134</v>
      </c>
      <c r="BK63" s="4" t="s">
        <v>441</v>
      </c>
      <c r="BL63" s="4" t="s">
        <v>748</v>
      </c>
      <c r="BT63" s="4" t="s">
        <v>150</v>
      </c>
      <c r="BU63" s="4" t="s">
        <v>356</v>
      </c>
      <c r="BV63" s="4" t="s">
        <v>907</v>
      </c>
      <c r="BY63" s="4" t="s">
        <v>152</v>
      </c>
      <c r="BZ63" s="4" t="s">
        <v>441</v>
      </c>
      <c r="CA63" s="4" t="s">
        <v>667</v>
      </c>
      <c r="CD63" s="4" t="s">
        <v>134</v>
      </c>
      <c r="CE63" s="4" t="s">
        <v>444</v>
      </c>
      <c r="CF63" s="4" t="s">
        <v>972</v>
      </c>
      <c r="CX63" s="4" t="s">
        <v>172</v>
      </c>
      <c r="CY63" s="4" t="s">
        <v>1648</v>
      </c>
      <c r="CZ63" s="4" t="s">
        <v>1202</v>
      </c>
      <c r="DC63" s="4" t="s">
        <v>142</v>
      </c>
      <c r="DD63" s="4" t="s">
        <v>441</v>
      </c>
      <c r="DE63" s="4" t="s">
        <v>1281</v>
      </c>
      <c r="DM63" s="4" t="s">
        <v>138</v>
      </c>
      <c r="DN63" s="4" t="s">
        <v>441</v>
      </c>
      <c r="DO63" s="4" t="s">
        <v>661</v>
      </c>
      <c r="DR63" s="4" t="s">
        <v>146</v>
      </c>
      <c r="DS63" s="4" t="s">
        <v>1271</v>
      </c>
      <c r="DT63" s="4" t="s">
        <v>1455</v>
      </c>
    </row>
    <row r="64" spans="2:124">
      <c r="B64" s="4" t="s">
        <v>136</v>
      </c>
      <c r="C64" s="4" t="s">
        <v>24</v>
      </c>
      <c r="D64" s="4" t="s">
        <v>137</v>
      </c>
      <c r="G64" s="4" t="s">
        <v>136</v>
      </c>
      <c r="H64" s="4" t="s">
        <v>286</v>
      </c>
      <c r="I64" s="4" t="s">
        <v>137</v>
      </c>
      <c r="L64" s="4" t="s">
        <v>121</v>
      </c>
      <c r="M64" s="4" t="s">
        <v>32</v>
      </c>
      <c r="N64" s="4" t="s">
        <v>311</v>
      </c>
      <c r="Q64" s="4" t="s">
        <v>121</v>
      </c>
      <c r="R64" s="4" t="s">
        <v>289</v>
      </c>
      <c r="S64" s="4" t="s">
        <v>311</v>
      </c>
      <c r="V64" s="4" t="s">
        <v>150</v>
      </c>
      <c r="W64" s="4" t="s">
        <v>422</v>
      </c>
      <c r="X64" s="4" t="s">
        <v>423</v>
      </c>
      <c r="AA64" s="4" t="s">
        <v>121</v>
      </c>
      <c r="AB64" s="4" t="s">
        <v>345</v>
      </c>
      <c r="AC64" s="4" t="s">
        <v>122</v>
      </c>
      <c r="AF64" s="4" t="s">
        <v>148</v>
      </c>
      <c r="AG64" s="4" t="s">
        <v>445</v>
      </c>
      <c r="AH64" s="4" t="s">
        <v>543</v>
      </c>
      <c r="AK64" s="4" t="s">
        <v>136</v>
      </c>
      <c r="AL64" s="4" t="s">
        <v>441</v>
      </c>
      <c r="AM64" s="4" t="s">
        <v>30</v>
      </c>
      <c r="AP64" s="4" t="s">
        <v>123</v>
      </c>
      <c r="AQ64" s="4" t="s">
        <v>441</v>
      </c>
      <c r="AR64" s="4" t="s">
        <v>654</v>
      </c>
      <c r="AZ64" s="4" t="s">
        <v>121</v>
      </c>
      <c r="BA64" s="4" t="s">
        <v>345</v>
      </c>
      <c r="BB64" s="4" t="s">
        <v>743</v>
      </c>
      <c r="BE64" s="4" t="s">
        <v>132</v>
      </c>
      <c r="BF64" s="4" t="s">
        <v>441</v>
      </c>
      <c r="BG64" s="4" t="s">
        <v>658</v>
      </c>
      <c r="BJ64" s="4" t="s">
        <v>136</v>
      </c>
      <c r="BK64" s="4" t="s">
        <v>441</v>
      </c>
      <c r="BL64" s="4" t="s">
        <v>797</v>
      </c>
      <c r="BT64" s="4" t="s">
        <v>152</v>
      </c>
      <c r="BU64" s="4" t="s">
        <v>614</v>
      </c>
      <c r="BV64" s="4" t="s">
        <v>908</v>
      </c>
      <c r="BY64" s="4" t="s">
        <v>154</v>
      </c>
      <c r="BZ64" s="4" t="s">
        <v>441</v>
      </c>
      <c r="CA64" s="4" t="s">
        <v>668</v>
      </c>
      <c r="CD64" s="4" t="s">
        <v>136</v>
      </c>
      <c r="CE64" s="4" t="s">
        <v>450</v>
      </c>
      <c r="CF64" s="4" t="s">
        <v>984</v>
      </c>
      <c r="CX64" s="4" t="s">
        <v>174</v>
      </c>
      <c r="CY64" s="4" t="s">
        <v>1649</v>
      </c>
      <c r="CZ64" s="4" t="s">
        <v>1204</v>
      </c>
      <c r="DC64" s="4" t="s">
        <v>144</v>
      </c>
      <c r="DD64" s="4" t="s">
        <v>441</v>
      </c>
      <c r="DE64" s="4" t="s">
        <v>1281</v>
      </c>
      <c r="DM64" s="4" t="s">
        <v>140</v>
      </c>
      <c r="DN64" s="4" t="s">
        <v>441</v>
      </c>
      <c r="DO64" s="4" t="s">
        <v>662</v>
      </c>
      <c r="DR64" s="4" t="s">
        <v>148</v>
      </c>
      <c r="DS64" s="4" t="s">
        <v>445</v>
      </c>
      <c r="DT64" s="4" t="s">
        <v>1456</v>
      </c>
    </row>
    <row r="65" spans="2:124">
      <c r="B65" s="4" t="s">
        <v>138</v>
      </c>
      <c r="C65" s="4" t="s">
        <v>35</v>
      </c>
      <c r="D65" s="4" t="s">
        <v>139</v>
      </c>
      <c r="G65" s="4" t="s">
        <v>138</v>
      </c>
      <c r="H65" s="4" t="s">
        <v>290</v>
      </c>
      <c r="I65" s="4" t="s">
        <v>139</v>
      </c>
      <c r="L65" s="4" t="s">
        <v>123</v>
      </c>
      <c r="M65" s="4" t="s">
        <v>32</v>
      </c>
      <c r="N65" s="4" t="s">
        <v>311</v>
      </c>
      <c r="Q65" s="4" t="s">
        <v>123</v>
      </c>
      <c r="R65" s="4" t="s">
        <v>289</v>
      </c>
      <c r="S65" s="4" t="s">
        <v>311</v>
      </c>
      <c r="V65" s="4" t="s">
        <v>152</v>
      </c>
      <c r="W65" s="4" t="s">
        <v>424</v>
      </c>
      <c r="X65" s="4" t="s">
        <v>425</v>
      </c>
      <c r="AA65" s="4" t="s">
        <v>123</v>
      </c>
      <c r="AB65" s="4" t="s">
        <v>345</v>
      </c>
      <c r="AC65" s="4" t="s">
        <v>122</v>
      </c>
      <c r="AF65" s="4" t="s">
        <v>150</v>
      </c>
      <c r="AG65" s="4" t="s">
        <v>544</v>
      </c>
      <c r="AH65" s="4" t="s">
        <v>545</v>
      </c>
      <c r="AK65" s="4" t="s">
        <v>138</v>
      </c>
      <c r="AL65" s="4" t="s">
        <v>441</v>
      </c>
      <c r="AM65" s="4" t="s">
        <v>30</v>
      </c>
      <c r="AP65" s="4" t="s">
        <v>124</v>
      </c>
      <c r="AQ65" s="4" t="s">
        <v>441</v>
      </c>
      <c r="AR65" s="4" t="s">
        <v>654</v>
      </c>
      <c r="AZ65" s="4" t="s">
        <v>123</v>
      </c>
      <c r="BA65" s="4" t="s">
        <v>345</v>
      </c>
      <c r="BB65" s="4" t="s">
        <v>743</v>
      </c>
      <c r="BE65" s="4" t="s">
        <v>134</v>
      </c>
      <c r="BF65" s="4" t="s">
        <v>345</v>
      </c>
      <c r="BG65" s="4" t="s">
        <v>784</v>
      </c>
      <c r="BJ65" s="4" t="s">
        <v>138</v>
      </c>
      <c r="BK65" s="4" t="s">
        <v>441</v>
      </c>
      <c r="BL65" s="4" t="s">
        <v>749</v>
      </c>
      <c r="BT65" s="4" t="s">
        <v>154</v>
      </c>
      <c r="BU65" s="4" t="s">
        <v>444</v>
      </c>
      <c r="BV65" s="4" t="s">
        <v>909</v>
      </c>
      <c r="BY65" s="4" t="s">
        <v>156</v>
      </c>
      <c r="BZ65" s="4" t="s">
        <v>441</v>
      </c>
      <c r="CA65" s="4" t="s">
        <v>669</v>
      </c>
      <c r="CD65" s="4" t="s">
        <v>138</v>
      </c>
      <c r="CE65" s="4" t="s">
        <v>444</v>
      </c>
      <c r="CF65" s="4" t="s">
        <v>985</v>
      </c>
      <c r="CX65" s="4" t="s">
        <v>176</v>
      </c>
      <c r="CY65" s="4" t="s">
        <v>1650</v>
      </c>
      <c r="CZ65" s="4" t="s">
        <v>1206</v>
      </c>
      <c r="DC65" s="4" t="s">
        <v>146</v>
      </c>
      <c r="DD65" s="4" t="s">
        <v>441</v>
      </c>
      <c r="DE65" s="4" t="s">
        <v>1281</v>
      </c>
      <c r="DM65" s="4" t="s">
        <v>142</v>
      </c>
      <c r="DN65" s="4" t="s">
        <v>441</v>
      </c>
      <c r="DO65" s="4" t="s">
        <v>640</v>
      </c>
      <c r="DR65" s="4" t="s">
        <v>150</v>
      </c>
      <c r="DS65" s="4" t="s">
        <v>1078</v>
      </c>
      <c r="DT65" s="4" t="s">
        <v>1457</v>
      </c>
    </row>
    <row r="66" spans="2:124">
      <c r="B66" s="4" t="s">
        <v>140</v>
      </c>
      <c r="C66" s="4" t="s">
        <v>29</v>
      </c>
      <c r="D66" s="4" t="s">
        <v>141</v>
      </c>
      <c r="G66" s="4" t="s">
        <v>140</v>
      </c>
      <c r="H66" s="4" t="s">
        <v>288</v>
      </c>
      <c r="I66" s="4" t="s">
        <v>141</v>
      </c>
      <c r="L66" s="4" t="s">
        <v>124</v>
      </c>
      <c r="M66" s="4" t="s">
        <v>32</v>
      </c>
      <c r="N66" s="4" t="s">
        <v>311</v>
      </c>
      <c r="Q66" s="4" t="s">
        <v>124</v>
      </c>
      <c r="R66" s="4" t="s">
        <v>289</v>
      </c>
      <c r="S66" s="4" t="s">
        <v>311</v>
      </c>
      <c r="V66" s="4" t="s">
        <v>154</v>
      </c>
      <c r="W66" s="4" t="s">
        <v>293</v>
      </c>
      <c r="X66" s="4" t="s">
        <v>155</v>
      </c>
      <c r="AA66" s="4" t="s">
        <v>124</v>
      </c>
      <c r="AB66" s="4" t="s">
        <v>345</v>
      </c>
      <c r="AC66" s="4" t="s">
        <v>122</v>
      </c>
      <c r="AF66" s="4" t="s">
        <v>152</v>
      </c>
      <c r="AG66" s="4" t="s">
        <v>424</v>
      </c>
      <c r="AH66" s="4" t="s">
        <v>546</v>
      </c>
      <c r="AK66" s="4" t="s">
        <v>140</v>
      </c>
      <c r="AL66" s="4" t="s">
        <v>441</v>
      </c>
      <c r="AM66" s="4" t="s">
        <v>30</v>
      </c>
      <c r="AP66" s="4" t="s">
        <v>125</v>
      </c>
      <c r="AQ66" s="4" t="s">
        <v>441</v>
      </c>
      <c r="AR66" s="4" t="s">
        <v>654</v>
      </c>
      <c r="AZ66" s="4" t="s">
        <v>124</v>
      </c>
      <c r="BA66" s="4" t="s">
        <v>345</v>
      </c>
      <c r="BB66" s="4" t="s">
        <v>743</v>
      </c>
      <c r="BE66" s="4" t="s">
        <v>136</v>
      </c>
      <c r="BF66" s="4" t="s">
        <v>345</v>
      </c>
      <c r="BG66" s="4" t="s">
        <v>660</v>
      </c>
      <c r="BJ66" s="4" t="s">
        <v>140</v>
      </c>
      <c r="BK66" s="4" t="s">
        <v>441</v>
      </c>
      <c r="BL66" s="4" t="s">
        <v>750</v>
      </c>
      <c r="BT66" s="4" t="s">
        <v>156</v>
      </c>
      <c r="BU66" s="4" t="s">
        <v>345</v>
      </c>
      <c r="BV66" s="4" t="s">
        <v>910</v>
      </c>
      <c r="BY66" s="4" t="s">
        <v>157</v>
      </c>
      <c r="BZ66" s="4" t="s">
        <v>441</v>
      </c>
      <c r="CA66" s="4" t="s">
        <v>670</v>
      </c>
      <c r="CD66" s="4" t="s">
        <v>140</v>
      </c>
      <c r="CE66" s="4" t="s">
        <v>446</v>
      </c>
      <c r="CF66" s="4" t="s">
        <v>30</v>
      </c>
      <c r="CX66" s="4" t="s">
        <v>178</v>
      </c>
      <c r="CY66" s="4" t="s">
        <v>1651</v>
      </c>
      <c r="CZ66" s="4" t="s">
        <v>1208</v>
      </c>
      <c r="DC66" s="4" t="s">
        <v>148</v>
      </c>
      <c r="DD66" s="4" t="s">
        <v>441</v>
      </c>
      <c r="DE66" s="4" t="s">
        <v>1281</v>
      </c>
      <c r="DM66" s="4" t="s">
        <v>144</v>
      </c>
      <c r="DN66" s="4" t="s">
        <v>441</v>
      </c>
      <c r="DO66" s="4" t="s">
        <v>663</v>
      </c>
      <c r="DR66" s="4" t="s">
        <v>152</v>
      </c>
      <c r="DS66" s="4" t="s">
        <v>293</v>
      </c>
      <c r="DT66" s="4" t="s">
        <v>1458</v>
      </c>
    </row>
    <row r="67" spans="2:124">
      <c r="B67" s="4" t="s">
        <v>142</v>
      </c>
      <c r="C67" s="4" t="s">
        <v>55</v>
      </c>
      <c r="D67" s="4" t="s">
        <v>143</v>
      </c>
      <c r="G67" s="4" t="s">
        <v>142</v>
      </c>
      <c r="H67" s="4" t="s">
        <v>293</v>
      </c>
      <c r="I67" s="4" t="s">
        <v>143</v>
      </c>
      <c r="L67" s="4" t="s">
        <v>125</v>
      </c>
      <c r="M67" s="4" t="s">
        <v>32</v>
      </c>
      <c r="N67" s="4" t="s">
        <v>311</v>
      </c>
      <c r="Q67" s="4" t="s">
        <v>125</v>
      </c>
      <c r="R67" s="4" t="s">
        <v>289</v>
      </c>
      <c r="S67" s="4" t="s">
        <v>311</v>
      </c>
      <c r="V67" s="4" t="s">
        <v>156</v>
      </c>
      <c r="W67" s="4" t="s">
        <v>345</v>
      </c>
      <c r="X67" s="4" t="s">
        <v>30</v>
      </c>
      <c r="AA67" s="4" t="s">
        <v>125</v>
      </c>
      <c r="AB67" s="4" t="s">
        <v>345</v>
      </c>
      <c r="AC67" s="4" t="s">
        <v>122</v>
      </c>
      <c r="AF67" s="4" t="s">
        <v>154</v>
      </c>
      <c r="AG67" s="4" t="s">
        <v>350</v>
      </c>
      <c r="AH67" s="4" t="s">
        <v>547</v>
      </c>
      <c r="AK67" s="4" t="s">
        <v>142</v>
      </c>
      <c r="AL67" s="4" t="s">
        <v>441</v>
      </c>
      <c r="AM67" s="4" t="s">
        <v>30</v>
      </c>
      <c r="AP67" s="4" t="s">
        <v>126</v>
      </c>
      <c r="AQ67" s="4" t="s">
        <v>441</v>
      </c>
      <c r="AR67" s="4" t="s">
        <v>655</v>
      </c>
      <c r="AZ67" s="4" t="s">
        <v>125</v>
      </c>
      <c r="BA67" s="4" t="s">
        <v>345</v>
      </c>
      <c r="BB67" s="4" t="s">
        <v>743</v>
      </c>
      <c r="BE67" s="4" t="s">
        <v>138</v>
      </c>
      <c r="BF67" s="4" t="s">
        <v>441</v>
      </c>
      <c r="BG67" s="4" t="s">
        <v>661</v>
      </c>
      <c r="BJ67" s="4" t="s">
        <v>142</v>
      </c>
      <c r="BK67" s="4" t="s">
        <v>441</v>
      </c>
      <c r="BL67" s="4" t="s">
        <v>751</v>
      </c>
      <c r="BT67" s="4" t="s">
        <v>157</v>
      </c>
      <c r="BU67" s="4" t="s">
        <v>345</v>
      </c>
      <c r="BV67" s="4" t="s">
        <v>911</v>
      </c>
      <c r="BY67" s="4" t="s">
        <v>160</v>
      </c>
      <c r="BZ67" s="4" t="s">
        <v>441</v>
      </c>
      <c r="CA67" s="4" t="s">
        <v>671</v>
      </c>
      <c r="CD67" s="4" t="s">
        <v>142</v>
      </c>
      <c r="CE67" s="4" t="s">
        <v>298</v>
      </c>
      <c r="CF67" s="4" t="s">
        <v>986</v>
      </c>
      <c r="CX67" s="4" t="s">
        <v>182</v>
      </c>
      <c r="CY67" s="4" t="s">
        <v>1652</v>
      </c>
      <c r="CZ67" s="4" t="s">
        <v>1210</v>
      </c>
      <c r="DC67" s="4" t="s">
        <v>150</v>
      </c>
      <c r="DD67" s="4" t="s">
        <v>441</v>
      </c>
      <c r="DE67" s="4" t="s">
        <v>1281</v>
      </c>
      <c r="DM67" s="4" t="s">
        <v>146</v>
      </c>
      <c r="DN67" s="4" t="s">
        <v>441</v>
      </c>
      <c r="DO67" s="4" t="s">
        <v>664</v>
      </c>
      <c r="DR67" s="4" t="s">
        <v>154</v>
      </c>
      <c r="DS67" s="4" t="s">
        <v>350</v>
      </c>
      <c r="DT67" s="4" t="s">
        <v>1459</v>
      </c>
    </row>
    <row r="68" spans="2:124">
      <c r="B68" s="4" t="s">
        <v>144</v>
      </c>
      <c r="C68" s="4" t="s">
        <v>45</v>
      </c>
      <c r="D68" s="4" t="s">
        <v>145</v>
      </c>
      <c r="G68" s="4" t="s">
        <v>144</v>
      </c>
      <c r="H68" s="4" t="s">
        <v>292</v>
      </c>
      <c r="I68" s="4" t="s">
        <v>145</v>
      </c>
      <c r="L68" s="4" t="s">
        <v>126</v>
      </c>
      <c r="M68" s="4" t="s">
        <v>29</v>
      </c>
      <c r="N68" s="4" t="s">
        <v>127</v>
      </c>
      <c r="Q68" s="4" t="s">
        <v>126</v>
      </c>
      <c r="R68" s="4" t="s">
        <v>288</v>
      </c>
      <c r="S68" s="4" t="s">
        <v>127</v>
      </c>
      <c r="V68" s="4" t="s">
        <v>157</v>
      </c>
      <c r="W68" s="4" t="s">
        <v>345</v>
      </c>
      <c r="X68" s="4" t="s">
        <v>426</v>
      </c>
      <c r="AA68" s="4" t="s">
        <v>126</v>
      </c>
      <c r="AB68" s="4" t="s">
        <v>345</v>
      </c>
      <c r="AC68" s="4" t="s">
        <v>30</v>
      </c>
      <c r="AF68" s="4" t="s">
        <v>156</v>
      </c>
      <c r="AG68" s="4" t="s">
        <v>345</v>
      </c>
      <c r="AH68" s="4" t="s">
        <v>30</v>
      </c>
      <c r="AK68" s="4" t="s">
        <v>144</v>
      </c>
      <c r="AL68" s="4" t="s">
        <v>441</v>
      </c>
      <c r="AM68" s="4" t="s">
        <v>30</v>
      </c>
      <c r="AP68" s="4" t="s">
        <v>128</v>
      </c>
      <c r="AQ68" s="4" t="s">
        <v>441</v>
      </c>
      <c r="AR68" s="4" t="s">
        <v>656</v>
      </c>
      <c r="AZ68" s="4" t="s">
        <v>126</v>
      </c>
      <c r="BA68" s="4" t="s">
        <v>345</v>
      </c>
      <c r="BB68" s="4" t="s">
        <v>744</v>
      </c>
      <c r="BE68" s="4" t="s">
        <v>140</v>
      </c>
      <c r="BF68" s="4" t="s">
        <v>441</v>
      </c>
      <c r="BG68" s="4" t="s">
        <v>662</v>
      </c>
      <c r="BJ68" s="4" t="s">
        <v>144</v>
      </c>
      <c r="BK68" s="4" t="s">
        <v>441</v>
      </c>
      <c r="BL68" s="4" t="s">
        <v>752</v>
      </c>
      <c r="BT68" s="4" t="s">
        <v>160</v>
      </c>
      <c r="BU68" s="4" t="s">
        <v>104</v>
      </c>
      <c r="BV68" s="4" t="s">
        <v>912</v>
      </c>
      <c r="BY68" s="4" t="s">
        <v>162</v>
      </c>
      <c r="BZ68" s="4" t="s">
        <v>441</v>
      </c>
      <c r="CA68" s="4" t="s">
        <v>672</v>
      </c>
      <c r="CD68" s="4" t="s">
        <v>144</v>
      </c>
      <c r="CE68" s="4" t="s">
        <v>298</v>
      </c>
      <c r="CF68" s="4" t="s">
        <v>980</v>
      </c>
      <c r="CX68" s="4" t="s">
        <v>184</v>
      </c>
      <c r="CY68" s="4" t="s">
        <v>1653</v>
      </c>
      <c r="CZ68" s="4" t="s">
        <v>1212</v>
      </c>
      <c r="DC68" s="4" t="s">
        <v>152</v>
      </c>
      <c r="DD68" s="4" t="s">
        <v>441</v>
      </c>
      <c r="DE68" s="4" t="s">
        <v>1281</v>
      </c>
      <c r="DM68" s="4" t="s">
        <v>148</v>
      </c>
      <c r="DN68" s="4" t="s">
        <v>441</v>
      </c>
      <c r="DO68" s="4" t="s">
        <v>665</v>
      </c>
      <c r="DR68" s="4" t="s">
        <v>156</v>
      </c>
      <c r="DS68" s="4" t="s">
        <v>345</v>
      </c>
      <c r="DT68" s="4" t="s">
        <v>1460</v>
      </c>
    </row>
    <row r="69" spans="2:124">
      <c r="B69" s="4" t="s">
        <v>146</v>
      </c>
      <c r="C69" s="4" t="s">
        <v>45</v>
      </c>
      <c r="D69" s="4" t="s">
        <v>147</v>
      </c>
      <c r="G69" s="4" t="s">
        <v>146</v>
      </c>
      <c r="H69" s="4" t="s">
        <v>292</v>
      </c>
      <c r="I69" s="4" t="s">
        <v>147</v>
      </c>
      <c r="L69" s="4" t="s">
        <v>128</v>
      </c>
      <c r="M69" s="4" t="s">
        <v>35</v>
      </c>
      <c r="N69" s="4" t="s">
        <v>129</v>
      </c>
      <c r="Q69" s="4" t="s">
        <v>128</v>
      </c>
      <c r="R69" s="4" t="s">
        <v>290</v>
      </c>
      <c r="S69" s="4" t="s">
        <v>129</v>
      </c>
      <c r="V69" s="4" t="s">
        <v>160</v>
      </c>
      <c r="W69" s="4" t="s">
        <v>296</v>
      </c>
      <c r="X69" s="4" t="s">
        <v>427</v>
      </c>
      <c r="AA69" s="4" t="s">
        <v>128</v>
      </c>
      <c r="AB69" s="4" t="s">
        <v>345</v>
      </c>
      <c r="AC69" s="4" t="s">
        <v>30</v>
      </c>
      <c r="AF69" s="4" t="s">
        <v>157</v>
      </c>
      <c r="AG69" s="4" t="s">
        <v>350</v>
      </c>
      <c r="AH69" s="4" t="s">
        <v>548</v>
      </c>
      <c r="AK69" s="4" t="s">
        <v>146</v>
      </c>
      <c r="AL69" s="4" t="s">
        <v>441</v>
      </c>
      <c r="AM69" s="4" t="s">
        <v>30</v>
      </c>
      <c r="AP69" s="4" t="s">
        <v>130</v>
      </c>
      <c r="AQ69" s="4" t="s">
        <v>441</v>
      </c>
      <c r="AR69" s="4" t="s">
        <v>657</v>
      </c>
      <c r="AZ69" s="4" t="s">
        <v>128</v>
      </c>
      <c r="BA69" s="4" t="s">
        <v>345</v>
      </c>
      <c r="BB69" s="4" t="s">
        <v>745</v>
      </c>
      <c r="BE69" s="4" t="s">
        <v>142</v>
      </c>
      <c r="BF69" s="4" t="s">
        <v>441</v>
      </c>
      <c r="BG69" s="4" t="s">
        <v>640</v>
      </c>
      <c r="BJ69" s="4" t="s">
        <v>146</v>
      </c>
      <c r="BK69" s="4" t="s">
        <v>441</v>
      </c>
      <c r="BL69" s="4" t="s">
        <v>753</v>
      </c>
      <c r="BT69" s="4" t="s">
        <v>164</v>
      </c>
      <c r="BU69" s="4" t="s">
        <v>497</v>
      </c>
      <c r="BV69" s="4" t="s">
        <v>913</v>
      </c>
      <c r="BY69" s="4" t="s">
        <v>164</v>
      </c>
      <c r="BZ69" s="4" t="s">
        <v>360</v>
      </c>
      <c r="CA69" s="4" t="s">
        <v>673</v>
      </c>
      <c r="CD69" s="4" t="s">
        <v>146</v>
      </c>
      <c r="CE69" s="4" t="s">
        <v>298</v>
      </c>
      <c r="CF69" s="4" t="s">
        <v>987</v>
      </c>
      <c r="CX69" s="4" t="s">
        <v>188</v>
      </c>
      <c r="CY69" s="4" t="s">
        <v>1654</v>
      </c>
      <c r="CZ69" s="4" t="s">
        <v>1214</v>
      </c>
      <c r="DC69" s="4" t="s">
        <v>154</v>
      </c>
      <c r="DD69" s="4" t="s">
        <v>441</v>
      </c>
      <c r="DE69" s="4" t="s">
        <v>1281</v>
      </c>
      <c r="DM69" s="4" t="s">
        <v>150</v>
      </c>
      <c r="DN69" s="4" t="s">
        <v>441</v>
      </c>
      <c r="DO69" s="4" t="s">
        <v>785</v>
      </c>
      <c r="DR69" s="4" t="s">
        <v>157</v>
      </c>
      <c r="DS69" s="4" t="s">
        <v>350</v>
      </c>
      <c r="DT69" s="4" t="s">
        <v>1461</v>
      </c>
    </row>
    <row r="70" spans="2:124">
      <c r="B70" s="4" t="s">
        <v>148</v>
      </c>
      <c r="C70" s="4" t="s">
        <v>55</v>
      </c>
      <c r="D70" s="4" t="s">
        <v>149</v>
      </c>
      <c r="G70" s="4" t="s">
        <v>148</v>
      </c>
      <c r="H70" s="4" t="s">
        <v>293</v>
      </c>
      <c r="I70" s="4" t="s">
        <v>149</v>
      </c>
      <c r="L70" s="4" t="s">
        <v>130</v>
      </c>
      <c r="M70" s="4" t="s">
        <v>35</v>
      </c>
      <c r="N70" s="4" t="s">
        <v>131</v>
      </c>
      <c r="Q70" s="4" t="s">
        <v>130</v>
      </c>
      <c r="R70" s="4" t="s">
        <v>290</v>
      </c>
      <c r="S70" s="4" t="s">
        <v>131</v>
      </c>
      <c r="V70" s="4" t="s">
        <v>164</v>
      </c>
      <c r="W70" s="4" t="s">
        <v>428</v>
      </c>
      <c r="X70" s="4" t="s">
        <v>429</v>
      </c>
      <c r="AA70" s="4" t="s">
        <v>130</v>
      </c>
      <c r="AB70" s="4" t="s">
        <v>345</v>
      </c>
      <c r="AC70" s="4" t="s">
        <v>30</v>
      </c>
      <c r="AF70" s="4" t="s">
        <v>160</v>
      </c>
      <c r="AG70" s="4" t="s">
        <v>445</v>
      </c>
      <c r="AH70" s="4" t="s">
        <v>549</v>
      </c>
      <c r="AK70" s="4" t="s">
        <v>148</v>
      </c>
      <c r="AL70" s="4" t="s">
        <v>441</v>
      </c>
      <c r="AM70" s="4" t="s">
        <v>30</v>
      </c>
      <c r="AP70" s="4" t="s">
        <v>132</v>
      </c>
      <c r="AQ70" s="4" t="s">
        <v>441</v>
      </c>
      <c r="AR70" s="4" t="s">
        <v>658</v>
      </c>
      <c r="AZ70" s="4" t="s">
        <v>130</v>
      </c>
      <c r="BA70" s="4" t="s">
        <v>345</v>
      </c>
      <c r="BB70" s="4" t="s">
        <v>746</v>
      </c>
      <c r="BE70" s="4" t="s">
        <v>144</v>
      </c>
      <c r="BF70" s="4" t="s">
        <v>441</v>
      </c>
      <c r="BG70" s="4" t="s">
        <v>663</v>
      </c>
      <c r="BJ70" s="4" t="s">
        <v>148</v>
      </c>
      <c r="BK70" s="4" t="s">
        <v>441</v>
      </c>
      <c r="BL70" s="4" t="s">
        <v>754</v>
      </c>
      <c r="BT70" s="4" t="s">
        <v>166</v>
      </c>
      <c r="BU70" s="4" t="s">
        <v>521</v>
      </c>
      <c r="BV70" s="4" t="s">
        <v>914</v>
      </c>
      <c r="BY70" s="4" t="s">
        <v>166</v>
      </c>
      <c r="BZ70" s="4" t="s">
        <v>441</v>
      </c>
      <c r="CA70" s="4" t="s">
        <v>674</v>
      </c>
      <c r="CD70" s="4" t="s">
        <v>148</v>
      </c>
      <c r="CE70" s="4" t="s">
        <v>446</v>
      </c>
      <c r="CF70" s="4" t="s">
        <v>988</v>
      </c>
      <c r="CX70" s="4" t="s">
        <v>190</v>
      </c>
      <c r="CY70" s="4" t="s">
        <v>1215</v>
      </c>
      <c r="CZ70" s="4" t="s">
        <v>1216</v>
      </c>
      <c r="DC70" s="4" t="s">
        <v>156</v>
      </c>
      <c r="DD70" s="4" t="s">
        <v>441</v>
      </c>
      <c r="DE70" s="4" t="s">
        <v>1281</v>
      </c>
      <c r="DM70" s="4" t="s">
        <v>152</v>
      </c>
      <c r="DN70" s="4" t="s">
        <v>441</v>
      </c>
      <c r="DO70" s="4" t="s">
        <v>667</v>
      </c>
      <c r="DR70" s="4" t="s">
        <v>160</v>
      </c>
      <c r="DS70" s="4" t="s">
        <v>445</v>
      </c>
      <c r="DT70" s="4" t="s">
        <v>1462</v>
      </c>
    </row>
    <row r="71" spans="2:124">
      <c r="B71" s="4" t="s">
        <v>150</v>
      </c>
      <c r="C71" s="4" t="s">
        <v>35</v>
      </c>
      <c r="D71" s="4" t="s">
        <v>151</v>
      </c>
      <c r="G71" s="4" t="s">
        <v>150</v>
      </c>
      <c r="H71" s="4" t="s">
        <v>290</v>
      </c>
      <c r="I71" s="4" t="s">
        <v>151</v>
      </c>
      <c r="L71" s="4" t="s">
        <v>132</v>
      </c>
      <c r="M71" s="4" t="s">
        <v>35</v>
      </c>
      <c r="N71" s="4" t="s">
        <v>133</v>
      </c>
      <c r="Q71" s="4" t="s">
        <v>132</v>
      </c>
      <c r="R71" s="4" t="s">
        <v>290</v>
      </c>
      <c r="S71" s="4" t="s">
        <v>133</v>
      </c>
      <c r="V71" s="4" t="s">
        <v>166</v>
      </c>
      <c r="W71" s="4" t="s">
        <v>430</v>
      </c>
      <c r="X71" s="4" t="s">
        <v>431</v>
      </c>
      <c r="AA71" s="4" t="s">
        <v>132</v>
      </c>
      <c r="AB71" s="4" t="s">
        <v>345</v>
      </c>
      <c r="AC71" s="4" t="s">
        <v>30</v>
      </c>
      <c r="AF71" s="4" t="s">
        <v>164</v>
      </c>
      <c r="AG71" s="4" t="s">
        <v>550</v>
      </c>
      <c r="AH71" s="4" t="s">
        <v>551</v>
      </c>
      <c r="AK71" s="4" t="s">
        <v>150</v>
      </c>
      <c r="AL71" s="4" t="s">
        <v>441</v>
      </c>
      <c r="AM71" s="4" t="s">
        <v>30</v>
      </c>
      <c r="AP71" s="4" t="s">
        <v>134</v>
      </c>
      <c r="AQ71" s="4" t="s">
        <v>441</v>
      </c>
      <c r="AR71" s="4" t="s">
        <v>659</v>
      </c>
      <c r="AZ71" s="4" t="s">
        <v>132</v>
      </c>
      <c r="BA71" s="4" t="s">
        <v>345</v>
      </c>
      <c r="BB71" s="4" t="s">
        <v>747</v>
      </c>
      <c r="BE71" s="4" t="s">
        <v>146</v>
      </c>
      <c r="BF71" s="4" t="s">
        <v>441</v>
      </c>
      <c r="BG71" s="4" t="s">
        <v>664</v>
      </c>
      <c r="BJ71" s="4" t="s">
        <v>150</v>
      </c>
      <c r="BK71" s="4" t="s">
        <v>441</v>
      </c>
      <c r="BL71" s="4" t="s">
        <v>755</v>
      </c>
      <c r="BT71" s="4" t="s">
        <v>168</v>
      </c>
      <c r="BU71" s="4" t="s">
        <v>593</v>
      </c>
      <c r="BV71" s="4" t="s">
        <v>915</v>
      </c>
      <c r="BY71" s="4" t="s">
        <v>168</v>
      </c>
      <c r="BZ71" s="4" t="s">
        <v>441</v>
      </c>
      <c r="CA71" s="4" t="s">
        <v>787</v>
      </c>
      <c r="CD71" s="4" t="s">
        <v>150</v>
      </c>
      <c r="CE71" s="4" t="s">
        <v>298</v>
      </c>
      <c r="CF71" s="4" t="s">
        <v>989</v>
      </c>
      <c r="CX71" s="4" t="s">
        <v>196</v>
      </c>
      <c r="CY71" s="4" t="s">
        <v>1217</v>
      </c>
      <c r="CZ71" s="4" t="s">
        <v>1218</v>
      </c>
      <c r="DC71" s="4" t="s">
        <v>157</v>
      </c>
      <c r="DD71" s="4" t="s">
        <v>441</v>
      </c>
      <c r="DE71" s="4" t="s">
        <v>1281</v>
      </c>
      <c r="DM71" s="4" t="s">
        <v>154</v>
      </c>
      <c r="DN71" s="4" t="s">
        <v>441</v>
      </c>
      <c r="DO71" s="4" t="s">
        <v>668</v>
      </c>
      <c r="DR71" s="4" t="s">
        <v>164</v>
      </c>
      <c r="DS71" s="4" t="s">
        <v>1463</v>
      </c>
      <c r="DT71" s="4" t="s">
        <v>1464</v>
      </c>
    </row>
    <row r="72" spans="2:124">
      <c r="B72" s="4" t="s">
        <v>152</v>
      </c>
      <c r="C72" s="4" t="s">
        <v>55</v>
      </c>
      <c r="D72" s="4" t="s">
        <v>153</v>
      </c>
      <c r="G72" s="4" t="s">
        <v>152</v>
      </c>
      <c r="H72" s="4" t="s">
        <v>293</v>
      </c>
      <c r="I72" s="4" t="s">
        <v>153</v>
      </c>
      <c r="L72" s="4" t="s">
        <v>134</v>
      </c>
      <c r="M72" s="4" t="s">
        <v>55</v>
      </c>
      <c r="N72" s="4" t="s">
        <v>135</v>
      </c>
      <c r="Q72" s="4" t="s">
        <v>134</v>
      </c>
      <c r="R72" s="4" t="s">
        <v>293</v>
      </c>
      <c r="S72" s="4" t="s">
        <v>135</v>
      </c>
      <c r="V72" s="4" t="s">
        <v>168</v>
      </c>
      <c r="W72" s="4" t="s">
        <v>432</v>
      </c>
      <c r="X72" s="4" t="s">
        <v>433</v>
      </c>
      <c r="AA72" s="4" t="s">
        <v>134</v>
      </c>
      <c r="AB72" s="4" t="s">
        <v>345</v>
      </c>
      <c r="AC72" s="4" t="s">
        <v>30</v>
      </c>
      <c r="AF72" s="4" t="s">
        <v>166</v>
      </c>
      <c r="AG72" s="4" t="s">
        <v>286</v>
      </c>
      <c r="AH72" s="4" t="s">
        <v>552</v>
      </c>
      <c r="AK72" s="4" t="s">
        <v>152</v>
      </c>
      <c r="AL72" s="4" t="s">
        <v>441</v>
      </c>
      <c r="AM72" s="4" t="s">
        <v>30</v>
      </c>
      <c r="AP72" s="4" t="s">
        <v>136</v>
      </c>
      <c r="AQ72" s="4" t="s">
        <v>345</v>
      </c>
      <c r="AR72" s="4" t="s">
        <v>660</v>
      </c>
      <c r="AZ72" s="4" t="s">
        <v>134</v>
      </c>
      <c r="BA72" s="4" t="s">
        <v>345</v>
      </c>
      <c r="BB72" s="4" t="s">
        <v>748</v>
      </c>
      <c r="BE72" s="4" t="s">
        <v>148</v>
      </c>
      <c r="BF72" s="4" t="s">
        <v>441</v>
      </c>
      <c r="BG72" s="4" t="s">
        <v>665</v>
      </c>
      <c r="BJ72" s="4" t="s">
        <v>152</v>
      </c>
      <c r="BK72" s="4" t="s">
        <v>441</v>
      </c>
      <c r="BL72" s="4" t="s">
        <v>756</v>
      </c>
      <c r="BT72" s="4" t="s">
        <v>170</v>
      </c>
      <c r="BU72" s="4" t="s">
        <v>555</v>
      </c>
      <c r="BV72" s="4" t="s">
        <v>916</v>
      </c>
      <c r="BY72" s="4" t="s">
        <v>170</v>
      </c>
      <c r="BZ72" s="4" t="s">
        <v>345</v>
      </c>
      <c r="CA72" s="4" t="s">
        <v>676</v>
      </c>
      <c r="CD72" s="4" t="s">
        <v>152</v>
      </c>
      <c r="CE72" s="4" t="s">
        <v>360</v>
      </c>
      <c r="CF72" s="4" t="s">
        <v>981</v>
      </c>
      <c r="CX72" s="4" t="s">
        <v>198</v>
      </c>
      <c r="CY72" s="4" t="s">
        <v>1219</v>
      </c>
      <c r="CZ72" s="4" t="s">
        <v>1220</v>
      </c>
      <c r="DC72" s="4" t="s">
        <v>159</v>
      </c>
      <c r="DD72" s="4" t="s">
        <v>441</v>
      </c>
      <c r="DE72" s="4" t="s">
        <v>1281</v>
      </c>
      <c r="DM72" s="4" t="s">
        <v>156</v>
      </c>
      <c r="DN72" s="4" t="s">
        <v>441</v>
      </c>
      <c r="DO72" s="4" t="s">
        <v>669</v>
      </c>
      <c r="DR72" s="4" t="s">
        <v>166</v>
      </c>
      <c r="DS72" s="4" t="s">
        <v>286</v>
      </c>
      <c r="DT72" s="4" t="s">
        <v>1465</v>
      </c>
    </row>
    <row r="73" spans="2:124">
      <c r="B73" s="4" t="s">
        <v>154</v>
      </c>
      <c r="C73" s="4" t="s">
        <v>55</v>
      </c>
      <c r="D73" s="4" t="s">
        <v>155</v>
      </c>
      <c r="G73" s="4" t="s">
        <v>154</v>
      </c>
      <c r="H73" s="4" t="s">
        <v>293</v>
      </c>
      <c r="I73" s="4" t="s">
        <v>155</v>
      </c>
      <c r="L73" s="4" t="s">
        <v>136</v>
      </c>
      <c r="M73" s="4" t="s">
        <v>24</v>
      </c>
      <c r="N73" s="4" t="s">
        <v>137</v>
      </c>
      <c r="Q73" s="4" t="s">
        <v>136</v>
      </c>
      <c r="R73" s="4" t="s">
        <v>286</v>
      </c>
      <c r="S73" s="4" t="s">
        <v>137</v>
      </c>
      <c r="V73" s="4" t="s">
        <v>170</v>
      </c>
      <c r="W73" s="4" t="s">
        <v>434</v>
      </c>
      <c r="X73" s="4" t="s">
        <v>435</v>
      </c>
      <c r="AA73" s="4" t="s">
        <v>136</v>
      </c>
      <c r="AB73" s="4" t="s">
        <v>346</v>
      </c>
      <c r="AC73" s="4" t="s">
        <v>30</v>
      </c>
      <c r="AF73" s="4" t="s">
        <v>168</v>
      </c>
      <c r="AG73" s="4" t="s">
        <v>77</v>
      </c>
      <c r="AH73" s="4" t="s">
        <v>553</v>
      </c>
      <c r="AK73" s="4" t="s">
        <v>154</v>
      </c>
      <c r="AL73" s="4" t="s">
        <v>441</v>
      </c>
      <c r="AM73" s="4" t="s">
        <v>30</v>
      </c>
      <c r="AP73" s="4" t="s">
        <v>138</v>
      </c>
      <c r="AQ73" s="4" t="s">
        <v>441</v>
      </c>
      <c r="AR73" s="4" t="s">
        <v>661</v>
      </c>
      <c r="AZ73" s="4" t="s">
        <v>136</v>
      </c>
      <c r="BA73" s="4" t="s">
        <v>346</v>
      </c>
      <c r="BB73" s="4" t="s">
        <v>660</v>
      </c>
      <c r="BE73" s="4" t="s">
        <v>150</v>
      </c>
      <c r="BF73" s="4" t="s">
        <v>441</v>
      </c>
      <c r="BG73" s="4" t="s">
        <v>785</v>
      </c>
      <c r="BJ73" s="4" t="s">
        <v>154</v>
      </c>
      <c r="BK73" s="4" t="s">
        <v>441</v>
      </c>
      <c r="BL73" s="4" t="s">
        <v>757</v>
      </c>
      <c r="BT73" s="4" t="s">
        <v>172</v>
      </c>
      <c r="BU73" s="4" t="s">
        <v>603</v>
      </c>
      <c r="BV73" s="4" t="s">
        <v>917</v>
      </c>
      <c r="BY73" s="4" t="s">
        <v>172</v>
      </c>
      <c r="BZ73" s="4" t="s">
        <v>441</v>
      </c>
      <c r="CA73" s="4" t="s">
        <v>677</v>
      </c>
      <c r="CD73" s="4" t="s">
        <v>154</v>
      </c>
      <c r="CE73" s="4" t="s">
        <v>434</v>
      </c>
      <c r="CF73" s="4" t="s">
        <v>990</v>
      </c>
      <c r="CX73" s="4" t="s">
        <v>200</v>
      </c>
      <c r="CY73" s="4" t="s">
        <v>1221</v>
      </c>
      <c r="CZ73" s="4" t="s">
        <v>1222</v>
      </c>
      <c r="DC73" s="4" t="s">
        <v>160</v>
      </c>
      <c r="DD73" s="4" t="s">
        <v>441</v>
      </c>
      <c r="DE73" s="4" t="s">
        <v>1281</v>
      </c>
      <c r="DM73" s="4" t="s">
        <v>157</v>
      </c>
      <c r="DN73" s="4" t="s">
        <v>441</v>
      </c>
      <c r="DO73" s="4" t="s">
        <v>670</v>
      </c>
      <c r="DR73" s="4" t="s">
        <v>168</v>
      </c>
      <c r="DS73" s="4" t="s">
        <v>77</v>
      </c>
      <c r="DT73" s="4" t="s">
        <v>1466</v>
      </c>
    </row>
    <row r="74" spans="2:124">
      <c r="B74" s="4" t="s">
        <v>156</v>
      </c>
      <c r="C74" s="4" t="s">
        <v>32</v>
      </c>
      <c r="D74" s="4" t="s">
        <v>30</v>
      </c>
      <c r="G74" s="4" t="s">
        <v>156</v>
      </c>
      <c r="H74" s="4" t="s">
        <v>289</v>
      </c>
      <c r="I74" s="4" t="s">
        <v>30</v>
      </c>
      <c r="L74" s="4" t="s">
        <v>138</v>
      </c>
      <c r="M74" s="4" t="s">
        <v>35</v>
      </c>
      <c r="N74" s="4" t="s">
        <v>139</v>
      </c>
      <c r="Q74" s="4" t="s">
        <v>138</v>
      </c>
      <c r="R74" s="4" t="s">
        <v>290</v>
      </c>
      <c r="S74" s="4" t="s">
        <v>139</v>
      </c>
      <c r="V74" s="4" t="s">
        <v>172</v>
      </c>
      <c r="W74" s="4" t="s">
        <v>436</v>
      </c>
      <c r="X74" s="4" t="s">
        <v>437</v>
      </c>
      <c r="AA74" s="4" t="s">
        <v>138</v>
      </c>
      <c r="AB74" s="4" t="s">
        <v>345</v>
      </c>
      <c r="AC74" s="4" t="s">
        <v>30</v>
      </c>
      <c r="AF74" s="4" t="s">
        <v>170</v>
      </c>
      <c r="AG74" s="4" t="s">
        <v>513</v>
      </c>
      <c r="AH74" s="4" t="s">
        <v>554</v>
      </c>
      <c r="AK74" s="4" t="s">
        <v>156</v>
      </c>
      <c r="AL74" s="4" t="s">
        <v>441</v>
      </c>
      <c r="AM74" s="4" t="s">
        <v>30</v>
      </c>
      <c r="AP74" s="4" t="s">
        <v>140</v>
      </c>
      <c r="AQ74" s="4" t="s">
        <v>441</v>
      </c>
      <c r="AR74" s="4" t="s">
        <v>662</v>
      </c>
      <c r="AZ74" s="4" t="s">
        <v>138</v>
      </c>
      <c r="BA74" s="4" t="s">
        <v>345</v>
      </c>
      <c r="BB74" s="4" t="s">
        <v>749</v>
      </c>
      <c r="BE74" s="4" t="s">
        <v>152</v>
      </c>
      <c r="BF74" s="4" t="s">
        <v>441</v>
      </c>
      <c r="BG74" s="4" t="s">
        <v>667</v>
      </c>
      <c r="BJ74" s="4" t="s">
        <v>156</v>
      </c>
      <c r="BK74" s="4" t="s">
        <v>441</v>
      </c>
      <c r="BL74" s="4" t="s">
        <v>758</v>
      </c>
      <c r="BT74" s="4" t="s">
        <v>174</v>
      </c>
      <c r="BU74" s="4" t="s">
        <v>350</v>
      </c>
      <c r="BV74" s="4" t="s">
        <v>918</v>
      </c>
      <c r="BY74" s="4" t="s">
        <v>174</v>
      </c>
      <c r="BZ74" s="4" t="s">
        <v>441</v>
      </c>
      <c r="CA74" s="4" t="s">
        <v>678</v>
      </c>
      <c r="CD74" s="4" t="s">
        <v>156</v>
      </c>
      <c r="CE74" s="4" t="s">
        <v>298</v>
      </c>
      <c r="CF74" s="4" t="s">
        <v>991</v>
      </c>
      <c r="CX74" s="4" t="s">
        <v>201</v>
      </c>
      <c r="CY74" s="4" t="s">
        <v>1655</v>
      </c>
      <c r="CZ74" s="4" t="s">
        <v>1224</v>
      </c>
      <c r="DC74" s="4" t="s">
        <v>162</v>
      </c>
      <c r="DD74" s="4" t="s">
        <v>441</v>
      </c>
      <c r="DE74" s="4" t="s">
        <v>1281</v>
      </c>
      <c r="DM74" s="4" t="s">
        <v>160</v>
      </c>
      <c r="DN74" s="4" t="s">
        <v>346</v>
      </c>
      <c r="DO74" s="4" t="s">
        <v>1387</v>
      </c>
      <c r="DR74" s="4" t="s">
        <v>170</v>
      </c>
      <c r="DS74" s="4" t="s">
        <v>513</v>
      </c>
      <c r="DT74" s="4" t="s">
        <v>1467</v>
      </c>
    </row>
    <row r="75" spans="2:124">
      <c r="B75" s="4" t="s">
        <v>157</v>
      </c>
      <c r="C75" s="4" t="s">
        <v>55</v>
      </c>
      <c r="D75" s="4" t="s">
        <v>158</v>
      </c>
      <c r="G75" s="4" t="s">
        <v>157</v>
      </c>
      <c r="H75" s="4" t="s">
        <v>293</v>
      </c>
      <c r="I75" s="4" t="s">
        <v>158</v>
      </c>
      <c r="L75" s="4" t="s">
        <v>140</v>
      </c>
      <c r="M75" s="4" t="s">
        <v>29</v>
      </c>
      <c r="N75" s="4" t="s">
        <v>141</v>
      </c>
      <c r="Q75" s="4" t="s">
        <v>140</v>
      </c>
      <c r="R75" s="4" t="s">
        <v>288</v>
      </c>
      <c r="S75" s="4" t="s">
        <v>141</v>
      </c>
      <c r="V75" s="4" t="s">
        <v>174</v>
      </c>
      <c r="W75" s="4" t="s">
        <v>438</v>
      </c>
      <c r="X75" s="4" t="s">
        <v>439</v>
      </c>
      <c r="AA75" s="4" t="s">
        <v>140</v>
      </c>
      <c r="AB75" s="4" t="s">
        <v>345</v>
      </c>
      <c r="AC75" s="4" t="s">
        <v>30</v>
      </c>
      <c r="AF75" s="4" t="s">
        <v>172</v>
      </c>
      <c r="AG75" s="4" t="s">
        <v>555</v>
      </c>
      <c r="AH75" s="4" t="s">
        <v>556</v>
      </c>
      <c r="AK75" s="4" t="s">
        <v>157</v>
      </c>
      <c r="AL75" s="4" t="s">
        <v>441</v>
      </c>
      <c r="AM75" s="4" t="s">
        <v>30</v>
      </c>
      <c r="AP75" s="4" t="s">
        <v>142</v>
      </c>
      <c r="AQ75" s="4" t="s">
        <v>441</v>
      </c>
      <c r="AR75" s="4" t="s">
        <v>640</v>
      </c>
      <c r="AZ75" s="4" t="s">
        <v>140</v>
      </c>
      <c r="BA75" s="4" t="s">
        <v>345</v>
      </c>
      <c r="BB75" s="4" t="s">
        <v>750</v>
      </c>
      <c r="BE75" s="4" t="s">
        <v>154</v>
      </c>
      <c r="BF75" s="4" t="s">
        <v>441</v>
      </c>
      <c r="BG75" s="4" t="s">
        <v>668</v>
      </c>
      <c r="BJ75" s="4" t="s">
        <v>157</v>
      </c>
      <c r="BK75" s="4" t="s">
        <v>441</v>
      </c>
      <c r="BL75" s="4" t="s">
        <v>759</v>
      </c>
      <c r="BT75" s="4" t="s">
        <v>176</v>
      </c>
      <c r="BU75" s="4" t="s">
        <v>444</v>
      </c>
      <c r="BV75" s="4" t="s">
        <v>919</v>
      </c>
      <c r="BY75" s="4" t="s">
        <v>176</v>
      </c>
      <c r="BZ75" s="4" t="s">
        <v>345</v>
      </c>
      <c r="CA75" s="4" t="s">
        <v>679</v>
      </c>
      <c r="CD75" s="4" t="s">
        <v>157</v>
      </c>
      <c r="CE75" s="4" t="s">
        <v>345</v>
      </c>
      <c r="CF75" s="4" t="s">
        <v>992</v>
      </c>
      <c r="CX75" s="4" t="s">
        <v>203</v>
      </c>
      <c r="CY75" s="4" t="s">
        <v>1159</v>
      </c>
      <c r="CZ75" s="4" t="s">
        <v>1226</v>
      </c>
      <c r="DC75" s="4" t="s">
        <v>164</v>
      </c>
      <c r="DD75" s="4" t="s">
        <v>441</v>
      </c>
      <c r="DE75" s="4" t="s">
        <v>1281</v>
      </c>
      <c r="DM75" s="4" t="s">
        <v>162</v>
      </c>
      <c r="DN75" s="4" t="s">
        <v>441</v>
      </c>
      <c r="DO75" s="4" t="s">
        <v>672</v>
      </c>
      <c r="DR75" s="4" t="s">
        <v>172</v>
      </c>
      <c r="DS75" s="4" t="s">
        <v>555</v>
      </c>
      <c r="DT75" s="4" t="s">
        <v>1468</v>
      </c>
    </row>
    <row r="76" spans="2:124">
      <c r="B76" s="4" t="s">
        <v>159</v>
      </c>
      <c r="C76" s="4" t="s">
        <v>104</v>
      </c>
      <c r="D76" s="4" t="s">
        <v>30</v>
      </c>
      <c r="G76" s="4" t="s">
        <v>159</v>
      </c>
      <c r="H76" s="4" t="s">
        <v>298</v>
      </c>
      <c r="I76" s="4" t="s">
        <v>30</v>
      </c>
      <c r="L76" s="4" t="s">
        <v>142</v>
      </c>
      <c r="M76" s="4" t="s">
        <v>55</v>
      </c>
      <c r="N76" s="4" t="s">
        <v>143</v>
      </c>
      <c r="Q76" s="4" t="s">
        <v>142</v>
      </c>
      <c r="R76" s="4" t="s">
        <v>293</v>
      </c>
      <c r="S76" s="4" t="s">
        <v>143</v>
      </c>
      <c r="V76" s="4" t="s">
        <v>336</v>
      </c>
      <c r="W76" s="4" t="s">
        <v>104</v>
      </c>
      <c r="X76" s="4" t="s">
        <v>30</v>
      </c>
      <c r="AA76" s="4" t="s">
        <v>142</v>
      </c>
      <c r="AB76" s="4" t="s">
        <v>345</v>
      </c>
      <c r="AC76" s="4" t="s">
        <v>30</v>
      </c>
      <c r="AF76" s="4" t="s">
        <v>174</v>
      </c>
      <c r="AG76" s="4" t="s">
        <v>440</v>
      </c>
      <c r="AH76" s="4" t="s">
        <v>557</v>
      </c>
      <c r="AK76" s="4" t="s">
        <v>159</v>
      </c>
      <c r="AL76" s="4" t="s">
        <v>441</v>
      </c>
      <c r="AM76" s="4" t="s">
        <v>30</v>
      </c>
      <c r="AP76" s="4" t="s">
        <v>144</v>
      </c>
      <c r="AQ76" s="4" t="s">
        <v>441</v>
      </c>
      <c r="AR76" s="4" t="s">
        <v>663</v>
      </c>
      <c r="AZ76" s="4" t="s">
        <v>142</v>
      </c>
      <c r="BA76" s="4" t="s">
        <v>345</v>
      </c>
      <c r="BB76" s="4" t="s">
        <v>751</v>
      </c>
      <c r="BE76" s="4" t="s">
        <v>156</v>
      </c>
      <c r="BF76" s="4" t="s">
        <v>441</v>
      </c>
      <c r="BG76" s="4" t="s">
        <v>669</v>
      </c>
      <c r="BJ76" s="4" t="s">
        <v>159</v>
      </c>
      <c r="BK76" s="4" t="s">
        <v>441</v>
      </c>
      <c r="BL76" s="4" t="s">
        <v>760</v>
      </c>
      <c r="BT76" s="4" t="s">
        <v>178</v>
      </c>
      <c r="BU76" s="4" t="s">
        <v>360</v>
      </c>
      <c r="BV76" s="4" t="s">
        <v>920</v>
      </c>
      <c r="BY76" s="4" t="s">
        <v>178</v>
      </c>
      <c r="BZ76" s="4" t="s">
        <v>441</v>
      </c>
      <c r="CA76" s="4" t="s">
        <v>680</v>
      </c>
      <c r="CD76" s="4" t="s">
        <v>159</v>
      </c>
      <c r="CE76" s="4" t="s">
        <v>441</v>
      </c>
      <c r="CF76" s="4" t="s">
        <v>30</v>
      </c>
      <c r="CX76" s="4" t="s">
        <v>205</v>
      </c>
      <c r="CY76" s="4" t="s">
        <v>1227</v>
      </c>
      <c r="CZ76" s="4" t="s">
        <v>1228</v>
      </c>
      <c r="DC76" s="4" t="s">
        <v>166</v>
      </c>
      <c r="DD76" s="4" t="s">
        <v>441</v>
      </c>
      <c r="DE76" s="4" t="s">
        <v>1281</v>
      </c>
      <c r="DM76" s="4" t="s">
        <v>164</v>
      </c>
      <c r="DN76" s="4" t="s">
        <v>346</v>
      </c>
      <c r="DO76" s="4" t="s">
        <v>673</v>
      </c>
      <c r="DR76" s="4" t="s">
        <v>174</v>
      </c>
      <c r="DS76" s="4" t="s">
        <v>881</v>
      </c>
      <c r="DT76" s="4" t="s">
        <v>1469</v>
      </c>
    </row>
    <row r="77" spans="2:124">
      <c r="B77" s="4" t="s">
        <v>160</v>
      </c>
      <c r="C77" s="4" t="s">
        <v>77</v>
      </c>
      <c r="D77" s="4" t="s">
        <v>161</v>
      </c>
      <c r="G77" s="4" t="s">
        <v>160</v>
      </c>
      <c r="H77" s="4" t="s">
        <v>295</v>
      </c>
      <c r="I77" s="4" t="s">
        <v>161</v>
      </c>
      <c r="L77" s="4" t="s">
        <v>144</v>
      </c>
      <c r="M77" s="4" t="s">
        <v>45</v>
      </c>
      <c r="N77" s="4" t="s">
        <v>145</v>
      </c>
      <c r="Q77" s="4" t="s">
        <v>144</v>
      </c>
      <c r="R77" s="4" t="s">
        <v>292</v>
      </c>
      <c r="S77" s="4" t="s">
        <v>145</v>
      </c>
      <c r="V77" s="4" t="s">
        <v>337</v>
      </c>
      <c r="W77" s="4" t="s">
        <v>440</v>
      </c>
      <c r="X77" s="4" t="s">
        <v>30</v>
      </c>
      <c r="AA77" s="4" t="s">
        <v>144</v>
      </c>
      <c r="AB77" s="4" t="s">
        <v>345</v>
      </c>
      <c r="AC77" s="4" t="s">
        <v>30</v>
      </c>
      <c r="AF77" s="4" t="s">
        <v>176</v>
      </c>
      <c r="AG77" s="4" t="s">
        <v>436</v>
      </c>
      <c r="AH77" s="4" t="s">
        <v>558</v>
      </c>
      <c r="AK77" s="4" t="s">
        <v>160</v>
      </c>
      <c r="AL77" s="4" t="s">
        <v>441</v>
      </c>
      <c r="AM77" s="4" t="s">
        <v>30</v>
      </c>
      <c r="AP77" s="4" t="s">
        <v>146</v>
      </c>
      <c r="AQ77" s="4" t="s">
        <v>441</v>
      </c>
      <c r="AR77" s="4" t="s">
        <v>664</v>
      </c>
      <c r="AZ77" s="4" t="s">
        <v>144</v>
      </c>
      <c r="BA77" s="4" t="s">
        <v>345</v>
      </c>
      <c r="BB77" s="4" t="s">
        <v>752</v>
      </c>
      <c r="BE77" s="4" t="s">
        <v>157</v>
      </c>
      <c r="BF77" s="4" t="s">
        <v>441</v>
      </c>
      <c r="BG77" s="4" t="s">
        <v>670</v>
      </c>
      <c r="BJ77" s="4" t="s">
        <v>160</v>
      </c>
      <c r="BK77" s="4" t="s">
        <v>441</v>
      </c>
      <c r="BL77" s="4" t="s">
        <v>761</v>
      </c>
      <c r="BT77" s="4" t="s">
        <v>182</v>
      </c>
      <c r="BU77" s="4" t="s">
        <v>397</v>
      </c>
      <c r="BV77" s="4" t="s">
        <v>921</v>
      </c>
      <c r="BY77" s="4" t="s">
        <v>180</v>
      </c>
      <c r="BZ77" s="4" t="s">
        <v>345</v>
      </c>
      <c r="CA77" s="4" t="s">
        <v>681</v>
      </c>
      <c r="CD77" s="4" t="s">
        <v>160</v>
      </c>
      <c r="CE77" s="4" t="s">
        <v>360</v>
      </c>
      <c r="CF77" s="4" t="s">
        <v>993</v>
      </c>
      <c r="CX77" s="4" t="s">
        <v>206</v>
      </c>
      <c r="CY77" s="4" t="s">
        <v>1656</v>
      </c>
      <c r="CZ77" s="4" t="s">
        <v>1230</v>
      </c>
      <c r="DC77" s="4" t="s">
        <v>168</v>
      </c>
      <c r="DD77" s="4" t="s">
        <v>441</v>
      </c>
      <c r="DE77" s="4" t="s">
        <v>1281</v>
      </c>
      <c r="DM77" s="4" t="s">
        <v>166</v>
      </c>
      <c r="DN77" s="4" t="s">
        <v>441</v>
      </c>
      <c r="DO77" s="4" t="s">
        <v>674</v>
      </c>
      <c r="DR77" s="4" t="s">
        <v>176</v>
      </c>
      <c r="DS77" s="4" t="s">
        <v>289</v>
      </c>
      <c r="DT77" s="4" t="s">
        <v>1470</v>
      </c>
    </row>
    <row r="78" spans="2:124">
      <c r="B78" s="4" t="s">
        <v>162</v>
      </c>
      <c r="C78" s="4" t="s">
        <v>32</v>
      </c>
      <c r="D78" s="4" t="s">
        <v>163</v>
      </c>
      <c r="G78" s="4" t="s">
        <v>162</v>
      </c>
      <c r="H78" s="4" t="s">
        <v>289</v>
      </c>
      <c r="I78" s="4" t="s">
        <v>163</v>
      </c>
      <c r="L78" s="4" t="s">
        <v>146</v>
      </c>
      <c r="M78" s="4" t="s">
        <v>45</v>
      </c>
      <c r="N78" s="4" t="s">
        <v>147</v>
      </c>
      <c r="Q78" s="4" t="s">
        <v>146</v>
      </c>
      <c r="R78" s="4" t="s">
        <v>292</v>
      </c>
      <c r="S78" s="4" t="s">
        <v>147</v>
      </c>
      <c r="V78" s="4" t="s">
        <v>338</v>
      </c>
      <c r="W78" s="4" t="s">
        <v>345</v>
      </c>
      <c r="X78" s="4" t="s">
        <v>30</v>
      </c>
      <c r="AA78" s="4" t="s">
        <v>146</v>
      </c>
      <c r="AB78" s="4" t="s">
        <v>345</v>
      </c>
      <c r="AC78" s="4" t="s">
        <v>30</v>
      </c>
      <c r="AF78" s="4" t="s">
        <v>178</v>
      </c>
      <c r="AG78" s="4" t="s">
        <v>450</v>
      </c>
      <c r="AH78" s="4" t="s">
        <v>559</v>
      </c>
      <c r="AK78" s="4" t="s">
        <v>162</v>
      </c>
      <c r="AL78" s="4" t="s">
        <v>441</v>
      </c>
      <c r="AM78" s="4" t="s">
        <v>615</v>
      </c>
      <c r="AP78" s="4" t="s">
        <v>148</v>
      </c>
      <c r="AQ78" s="4" t="s">
        <v>441</v>
      </c>
      <c r="AR78" s="4" t="s">
        <v>665</v>
      </c>
      <c r="AZ78" s="4" t="s">
        <v>146</v>
      </c>
      <c r="BA78" s="4" t="s">
        <v>345</v>
      </c>
      <c r="BB78" s="4" t="s">
        <v>753</v>
      </c>
      <c r="BE78" s="4" t="s">
        <v>160</v>
      </c>
      <c r="BF78" s="4" t="s">
        <v>345</v>
      </c>
      <c r="BG78" s="4" t="s">
        <v>786</v>
      </c>
      <c r="BJ78" s="4" t="s">
        <v>162</v>
      </c>
      <c r="BK78" s="4" t="s">
        <v>441</v>
      </c>
      <c r="BL78" s="4" t="s">
        <v>762</v>
      </c>
      <c r="BT78" s="4" t="s">
        <v>184</v>
      </c>
      <c r="BU78" s="4" t="s">
        <v>555</v>
      </c>
      <c r="BV78" s="4" t="s">
        <v>922</v>
      </c>
      <c r="BY78" s="4" t="s">
        <v>182</v>
      </c>
      <c r="BZ78" s="4" t="s">
        <v>441</v>
      </c>
      <c r="CA78" s="4" t="s">
        <v>682</v>
      </c>
      <c r="CD78" s="4" t="s">
        <v>162</v>
      </c>
      <c r="CE78" s="4" t="s">
        <v>441</v>
      </c>
      <c r="CF78" s="4" t="s">
        <v>163</v>
      </c>
      <c r="CX78" s="4" t="s">
        <v>208</v>
      </c>
      <c r="CY78" s="4" t="s">
        <v>1231</v>
      </c>
      <c r="CZ78" s="4" t="s">
        <v>1232</v>
      </c>
      <c r="DC78" s="4" t="s">
        <v>170</v>
      </c>
      <c r="DD78" s="4" t="s">
        <v>441</v>
      </c>
      <c r="DE78" s="4" t="s">
        <v>1281</v>
      </c>
      <c r="DM78" s="4" t="s">
        <v>168</v>
      </c>
      <c r="DN78" s="4" t="s">
        <v>441</v>
      </c>
      <c r="DO78" s="4" t="s">
        <v>787</v>
      </c>
      <c r="DR78" s="4" t="s">
        <v>178</v>
      </c>
      <c r="DS78" s="4" t="s">
        <v>298</v>
      </c>
      <c r="DT78" s="4" t="s">
        <v>1471</v>
      </c>
    </row>
    <row r="79" spans="2:124">
      <c r="B79" s="4" t="s">
        <v>164</v>
      </c>
      <c r="C79" s="4" t="s">
        <v>24</v>
      </c>
      <c r="D79" s="4" t="s">
        <v>165</v>
      </c>
      <c r="G79" s="4" t="s">
        <v>164</v>
      </c>
      <c r="H79" s="4" t="s">
        <v>286</v>
      </c>
      <c r="I79" s="4" t="s">
        <v>165</v>
      </c>
      <c r="L79" s="4" t="s">
        <v>148</v>
      </c>
      <c r="M79" s="4" t="s">
        <v>55</v>
      </c>
      <c r="N79" s="4" t="s">
        <v>149</v>
      </c>
      <c r="Q79" s="4" t="s">
        <v>148</v>
      </c>
      <c r="R79" s="4" t="s">
        <v>293</v>
      </c>
      <c r="S79" s="4" t="s">
        <v>149</v>
      </c>
      <c r="AA79" s="4" t="s">
        <v>148</v>
      </c>
      <c r="AB79" s="4" t="s">
        <v>345</v>
      </c>
      <c r="AC79" s="4" t="s">
        <v>30</v>
      </c>
      <c r="AF79" s="4" t="s">
        <v>182</v>
      </c>
      <c r="AG79" s="4" t="s">
        <v>55</v>
      </c>
      <c r="AH79" s="4" t="s">
        <v>560</v>
      </c>
      <c r="AK79" s="4" t="s">
        <v>164</v>
      </c>
      <c r="AL79" s="4" t="s">
        <v>441</v>
      </c>
      <c r="AM79" s="4" t="s">
        <v>616</v>
      </c>
      <c r="AP79" s="4" t="s">
        <v>150</v>
      </c>
      <c r="AQ79" s="4" t="s">
        <v>345</v>
      </c>
      <c r="AR79" s="4" t="s">
        <v>666</v>
      </c>
      <c r="AZ79" s="4" t="s">
        <v>148</v>
      </c>
      <c r="BA79" s="4" t="s">
        <v>345</v>
      </c>
      <c r="BB79" s="4" t="s">
        <v>754</v>
      </c>
      <c r="BE79" s="4" t="s">
        <v>162</v>
      </c>
      <c r="BF79" s="4" t="s">
        <v>441</v>
      </c>
      <c r="BG79" s="4" t="s">
        <v>672</v>
      </c>
      <c r="BJ79" s="4" t="s">
        <v>164</v>
      </c>
      <c r="BK79" s="4" t="s">
        <v>441</v>
      </c>
      <c r="BL79" s="4" t="s">
        <v>798</v>
      </c>
      <c r="BT79" s="4" t="s">
        <v>186</v>
      </c>
      <c r="BU79" s="4" t="s">
        <v>446</v>
      </c>
      <c r="BV79" s="4" t="s">
        <v>923</v>
      </c>
      <c r="BY79" s="4" t="s">
        <v>184</v>
      </c>
      <c r="BZ79" s="4" t="s">
        <v>441</v>
      </c>
      <c r="CA79" s="4" t="s">
        <v>683</v>
      </c>
      <c r="CD79" s="4" t="s">
        <v>164</v>
      </c>
      <c r="CE79" s="4" t="s">
        <v>593</v>
      </c>
      <c r="CF79" s="4" t="s">
        <v>994</v>
      </c>
      <c r="CX79" s="4" t="s">
        <v>210</v>
      </c>
      <c r="CY79" s="4" t="s">
        <v>1233</v>
      </c>
      <c r="CZ79" s="4" t="s">
        <v>1234</v>
      </c>
      <c r="DC79" s="4" t="s">
        <v>172</v>
      </c>
      <c r="DD79" s="4" t="s">
        <v>441</v>
      </c>
      <c r="DE79" s="4" t="s">
        <v>1281</v>
      </c>
      <c r="DM79" s="4" t="s">
        <v>170</v>
      </c>
      <c r="DN79" s="4" t="s">
        <v>345</v>
      </c>
      <c r="DO79" s="4" t="s">
        <v>676</v>
      </c>
      <c r="DR79" s="4" t="s">
        <v>182</v>
      </c>
      <c r="DS79" s="4" t="s">
        <v>361</v>
      </c>
      <c r="DT79" s="4" t="s">
        <v>1472</v>
      </c>
    </row>
    <row r="80" spans="2:124">
      <c r="B80" s="4" t="s">
        <v>166</v>
      </c>
      <c r="C80" s="4" t="s">
        <v>55</v>
      </c>
      <c r="D80" s="4" t="s">
        <v>167</v>
      </c>
      <c r="G80" s="4" t="s">
        <v>166</v>
      </c>
      <c r="H80" s="4" t="s">
        <v>293</v>
      </c>
      <c r="I80" s="4" t="s">
        <v>167</v>
      </c>
      <c r="L80" s="4" t="s">
        <v>150</v>
      </c>
      <c r="M80" s="4" t="s">
        <v>35</v>
      </c>
      <c r="N80" s="4" t="s">
        <v>151</v>
      </c>
      <c r="Q80" s="4" t="s">
        <v>150</v>
      </c>
      <c r="R80" s="4" t="s">
        <v>290</v>
      </c>
      <c r="S80" s="4" t="s">
        <v>151</v>
      </c>
      <c r="AA80" s="4" t="s">
        <v>150</v>
      </c>
      <c r="AB80" s="4" t="s">
        <v>345</v>
      </c>
      <c r="AC80" s="4" t="s">
        <v>30</v>
      </c>
      <c r="AF80" s="4" t="s">
        <v>184</v>
      </c>
      <c r="AG80" s="4" t="s">
        <v>295</v>
      </c>
      <c r="AH80" s="4" t="s">
        <v>561</v>
      </c>
      <c r="AK80" s="4" t="s">
        <v>166</v>
      </c>
      <c r="AL80" s="4" t="s">
        <v>441</v>
      </c>
      <c r="AM80" s="4" t="s">
        <v>617</v>
      </c>
      <c r="AP80" s="4" t="s">
        <v>152</v>
      </c>
      <c r="AQ80" s="4" t="s">
        <v>441</v>
      </c>
      <c r="AR80" s="4" t="s">
        <v>667</v>
      </c>
      <c r="AZ80" s="4" t="s">
        <v>150</v>
      </c>
      <c r="BA80" s="4" t="s">
        <v>345</v>
      </c>
      <c r="BB80" s="4" t="s">
        <v>755</v>
      </c>
      <c r="BE80" s="4" t="s">
        <v>164</v>
      </c>
      <c r="BF80" s="4" t="s">
        <v>346</v>
      </c>
      <c r="BG80" s="4" t="s">
        <v>673</v>
      </c>
      <c r="BJ80" s="4" t="s">
        <v>166</v>
      </c>
      <c r="BK80" s="4" t="s">
        <v>441</v>
      </c>
      <c r="BL80" s="4" t="s">
        <v>799</v>
      </c>
      <c r="BT80" s="4" t="s">
        <v>188</v>
      </c>
      <c r="BU80" s="4" t="s">
        <v>293</v>
      </c>
      <c r="BV80" s="4" t="s">
        <v>924</v>
      </c>
      <c r="BY80" s="4" t="s">
        <v>186</v>
      </c>
      <c r="BZ80" s="4" t="s">
        <v>345</v>
      </c>
      <c r="CA80" s="4" t="s">
        <v>964</v>
      </c>
      <c r="CD80" s="4" t="s">
        <v>166</v>
      </c>
      <c r="CE80" s="4" t="s">
        <v>346</v>
      </c>
      <c r="CF80" s="4" t="s">
        <v>995</v>
      </c>
      <c r="CX80" s="4" t="s">
        <v>212</v>
      </c>
      <c r="CY80" s="4" t="s">
        <v>1576</v>
      </c>
      <c r="CZ80" s="4" t="s">
        <v>1236</v>
      </c>
      <c r="DC80" s="4" t="s">
        <v>174</v>
      </c>
      <c r="DD80" s="4" t="s">
        <v>441</v>
      </c>
      <c r="DE80" s="4" t="s">
        <v>1281</v>
      </c>
      <c r="DM80" s="4" t="s">
        <v>172</v>
      </c>
      <c r="DN80" s="4" t="s">
        <v>441</v>
      </c>
      <c r="DO80" s="4" t="s">
        <v>677</v>
      </c>
      <c r="DR80" s="4" t="s">
        <v>184</v>
      </c>
      <c r="DS80" s="4" t="s">
        <v>295</v>
      </c>
      <c r="DT80" s="4" t="s">
        <v>1473</v>
      </c>
    </row>
    <row r="81" spans="2:124">
      <c r="B81" s="4" t="s">
        <v>168</v>
      </c>
      <c r="C81" s="4" t="s">
        <v>55</v>
      </c>
      <c r="D81" s="4" t="s">
        <v>169</v>
      </c>
      <c r="G81" s="4" t="s">
        <v>168</v>
      </c>
      <c r="H81" s="4" t="s">
        <v>293</v>
      </c>
      <c r="I81" s="4" t="s">
        <v>169</v>
      </c>
      <c r="L81" s="4" t="s">
        <v>152</v>
      </c>
      <c r="M81" s="4" t="s">
        <v>55</v>
      </c>
      <c r="N81" s="4" t="s">
        <v>153</v>
      </c>
      <c r="Q81" s="4" t="s">
        <v>152</v>
      </c>
      <c r="R81" s="4" t="s">
        <v>293</v>
      </c>
      <c r="S81" s="4" t="s">
        <v>153</v>
      </c>
      <c r="AA81" s="4" t="s">
        <v>152</v>
      </c>
      <c r="AB81" s="4" t="s">
        <v>345</v>
      </c>
      <c r="AC81" s="4" t="s">
        <v>30</v>
      </c>
      <c r="AF81" s="4" t="s">
        <v>186</v>
      </c>
      <c r="AG81" s="4" t="s">
        <v>555</v>
      </c>
      <c r="AH81" s="4" t="s">
        <v>562</v>
      </c>
      <c r="AK81" s="4" t="s">
        <v>168</v>
      </c>
      <c r="AL81" s="4" t="s">
        <v>441</v>
      </c>
      <c r="AM81" s="4" t="s">
        <v>618</v>
      </c>
      <c r="AP81" s="4" t="s">
        <v>154</v>
      </c>
      <c r="AQ81" s="4" t="s">
        <v>441</v>
      </c>
      <c r="AR81" s="4" t="s">
        <v>668</v>
      </c>
      <c r="AZ81" s="4" t="s">
        <v>152</v>
      </c>
      <c r="BA81" s="4" t="s">
        <v>345</v>
      </c>
      <c r="BB81" s="4" t="s">
        <v>756</v>
      </c>
      <c r="BE81" s="4" t="s">
        <v>166</v>
      </c>
      <c r="BF81" s="4" t="s">
        <v>441</v>
      </c>
      <c r="BG81" s="4" t="s">
        <v>674</v>
      </c>
      <c r="BJ81" s="4" t="s">
        <v>168</v>
      </c>
      <c r="BK81" s="4" t="s">
        <v>441</v>
      </c>
      <c r="BL81" s="4" t="s">
        <v>763</v>
      </c>
      <c r="BT81" s="4" t="s">
        <v>190</v>
      </c>
      <c r="BU81" s="4" t="s">
        <v>441</v>
      </c>
      <c r="BV81" s="4" t="s">
        <v>925</v>
      </c>
      <c r="BY81" s="4" t="s">
        <v>188</v>
      </c>
      <c r="BZ81" s="4" t="s">
        <v>441</v>
      </c>
      <c r="CA81" s="4" t="s">
        <v>685</v>
      </c>
      <c r="CD81" s="4" t="s">
        <v>168</v>
      </c>
      <c r="CE81" s="4" t="s">
        <v>360</v>
      </c>
      <c r="CF81" s="4" t="s">
        <v>996</v>
      </c>
      <c r="CX81" s="4" t="s">
        <v>217</v>
      </c>
      <c r="CY81" s="4" t="s">
        <v>1237</v>
      </c>
      <c r="CZ81" s="4" t="s">
        <v>1238</v>
      </c>
      <c r="DC81" s="4" t="s">
        <v>176</v>
      </c>
      <c r="DD81" s="4" t="s">
        <v>441</v>
      </c>
      <c r="DE81" s="4" t="s">
        <v>1281</v>
      </c>
      <c r="DM81" s="4" t="s">
        <v>174</v>
      </c>
      <c r="DN81" s="4" t="s">
        <v>441</v>
      </c>
      <c r="DO81" s="4" t="s">
        <v>678</v>
      </c>
      <c r="DR81" s="4" t="s">
        <v>186</v>
      </c>
      <c r="DS81" s="4" t="s">
        <v>377</v>
      </c>
      <c r="DT81" s="4" t="s">
        <v>1474</v>
      </c>
    </row>
    <row r="82" spans="2:124">
      <c r="B82" s="4" t="s">
        <v>170</v>
      </c>
      <c r="C82" s="4" t="s">
        <v>29</v>
      </c>
      <c r="D82" s="4" t="s">
        <v>171</v>
      </c>
      <c r="G82" s="4" t="s">
        <v>170</v>
      </c>
      <c r="H82" s="4" t="s">
        <v>288</v>
      </c>
      <c r="I82" s="4" t="s">
        <v>171</v>
      </c>
      <c r="L82" s="4" t="s">
        <v>154</v>
      </c>
      <c r="M82" s="4" t="s">
        <v>55</v>
      </c>
      <c r="N82" s="4" t="s">
        <v>155</v>
      </c>
      <c r="Q82" s="4" t="s">
        <v>154</v>
      </c>
      <c r="R82" s="4" t="s">
        <v>293</v>
      </c>
      <c r="S82" s="4" t="s">
        <v>155</v>
      </c>
      <c r="AA82" s="4" t="s">
        <v>154</v>
      </c>
      <c r="AB82" s="4" t="s">
        <v>345</v>
      </c>
      <c r="AC82" s="4" t="s">
        <v>30</v>
      </c>
      <c r="AF82" s="4" t="s">
        <v>188</v>
      </c>
      <c r="AG82" s="4" t="s">
        <v>563</v>
      </c>
      <c r="AH82" s="4" t="s">
        <v>564</v>
      </c>
      <c r="AK82" s="4" t="s">
        <v>170</v>
      </c>
      <c r="AL82" s="4" t="s">
        <v>441</v>
      </c>
      <c r="AM82" s="4" t="s">
        <v>619</v>
      </c>
      <c r="AP82" s="4" t="s">
        <v>156</v>
      </c>
      <c r="AQ82" s="4" t="s">
        <v>441</v>
      </c>
      <c r="AR82" s="4" t="s">
        <v>669</v>
      </c>
      <c r="AZ82" s="4" t="s">
        <v>154</v>
      </c>
      <c r="BA82" s="4" t="s">
        <v>345</v>
      </c>
      <c r="BB82" s="4" t="s">
        <v>757</v>
      </c>
      <c r="BE82" s="4" t="s">
        <v>168</v>
      </c>
      <c r="BF82" s="4" t="s">
        <v>441</v>
      </c>
      <c r="BG82" s="4" t="s">
        <v>787</v>
      </c>
      <c r="BJ82" s="4" t="s">
        <v>170</v>
      </c>
      <c r="BK82" s="4" t="s">
        <v>441</v>
      </c>
      <c r="BL82" s="4" t="s">
        <v>800</v>
      </c>
      <c r="BT82" s="4" t="s">
        <v>196</v>
      </c>
      <c r="BU82" s="4" t="s">
        <v>298</v>
      </c>
      <c r="BV82" s="4" t="s">
        <v>926</v>
      </c>
      <c r="BY82" s="4" t="s">
        <v>190</v>
      </c>
      <c r="BZ82" s="4" t="s">
        <v>441</v>
      </c>
      <c r="CA82" s="4" t="s">
        <v>686</v>
      </c>
      <c r="CD82" s="4" t="s">
        <v>170</v>
      </c>
      <c r="CE82" s="4" t="s">
        <v>298</v>
      </c>
      <c r="CF82" s="4" t="s">
        <v>997</v>
      </c>
      <c r="CX82" s="4" t="s">
        <v>218</v>
      </c>
      <c r="CY82" s="4" t="s">
        <v>1657</v>
      </c>
      <c r="CZ82" s="4" t="s">
        <v>1240</v>
      </c>
      <c r="DC82" s="4" t="s">
        <v>178</v>
      </c>
      <c r="DD82" s="4" t="s">
        <v>441</v>
      </c>
      <c r="DE82" s="4" t="s">
        <v>1281</v>
      </c>
      <c r="DM82" s="4" t="s">
        <v>176</v>
      </c>
      <c r="DN82" s="4" t="s">
        <v>345</v>
      </c>
      <c r="DO82" s="4" t="s">
        <v>679</v>
      </c>
      <c r="DR82" s="4" t="s">
        <v>188</v>
      </c>
      <c r="DS82" s="4" t="s">
        <v>563</v>
      </c>
      <c r="DT82" s="4" t="s">
        <v>1475</v>
      </c>
    </row>
    <row r="83" spans="2:124">
      <c r="B83" s="4" t="s">
        <v>172</v>
      </c>
      <c r="C83" s="4" t="s">
        <v>55</v>
      </c>
      <c r="D83" s="4" t="s">
        <v>173</v>
      </c>
      <c r="G83" s="4" t="s">
        <v>172</v>
      </c>
      <c r="H83" s="4" t="s">
        <v>293</v>
      </c>
      <c r="I83" s="4" t="s">
        <v>173</v>
      </c>
      <c r="L83" s="4" t="s">
        <v>156</v>
      </c>
      <c r="M83" s="4" t="s">
        <v>32</v>
      </c>
      <c r="N83" s="4" t="s">
        <v>30</v>
      </c>
      <c r="Q83" s="4" t="s">
        <v>156</v>
      </c>
      <c r="R83" s="4" t="s">
        <v>289</v>
      </c>
      <c r="S83" s="4" t="s">
        <v>30</v>
      </c>
      <c r="AA83" s="4" t="s">
        <v>156</v>
      </c>
      <c r="AB83" s="4" t="s">
        <v>345</v>
      </c>
      <c r="AC83" s="4" t="s">
        <v>30</v>
      </c>
      <c r="AF83" s="4" t="s">
        <v>190</v>
      </c>
      <c r="AG83" s="4" t="s">
        <v>441</v>
      </c>
      <c r="AH83" s="4" t="s">
        <v>565</v>
      </c>
      <c r="AK83" s="4" t="s">
        <v>172</v>
      </c>
      <c r="AL83" s="4" t="s">
        <v>441</v>
      </c>
      <c r="AM83" s="4" t="s">
        <v>620</v>
      </c>
      <c r="AP83" s="4" t="s">
        <v>157</v>
      </c>
      <c r="AQ83" s="4" t="s">
        <v>441</v>
      </c>
      <c r="AR83" s="4" t="s">
        <v>670</v>
      </c>
      <c r="AZ83" s="4" t="s">
        <v>156</v>
      </c>
      <c r="BA83" s="4" t="s">
        <v>345</v>
      </c>
      <c r="BB83" s="4" t="s">
        <v>758</v>
      </c>
      <c r="BE83" s="4" t="s">
        <v>170</v>
      </c>
      <c r="BF83" s="4" t="s">
        <v>345</v>
      </c>
      <c r="BG83" s="4" t="s">
        <v>676</v>
      </c>
      <c r="BJ83" s="4" t="s">
        <v>172</v>
      </c>
      <c r="BK83" s="4" t="s">
        <v>441</v>
      </c>
      <c r="BL83" s="4" t="s">
        <v>764</v>
      </c>
      <c r="BT83" s="4" t="s">
        <v>198</v>
      </c>
      <c r="BU83" s="4" t="s">
        <v>424</v>
      </c>
      <c r="BV83" s="4" t="s">
        <v>927</v>
      </c>
      <c r="BY83" s="4" t="s">
        <v>192</v>
      </c>
      <c r="BZ83" s="4" t="s">
        <v>441</v>
      </c>
      <c r="CA83" s="4" t="s">
        <v>687</v>
      </c>
      <c r="CD83" s="4" t="s">
        <v>172</v>
      </c>
      <c r="CE83" s="4" t="s">
        <v>345</v>
      </c>
      <c r="CF83" s="4" t="s">
        <v>454</v>
      </c>
      <c r="CX83" s="4" t="s">
        <v>220</v>
      </c>
      <c r="CY83" s="4" t="s">
        <v>1241</v>
      </c>
      <c r="CZ83" s="4" t="s">
        <v>1242</v>
      </c>
      <c r="DC83" s="4" t="s">
        <v>180</v>
      </c>
      <c r="DD83" s="4" t="s">
        <v>441</v>
      </c>
      <c r="DE83" s="4" t="s">
        <v>1281</v>
      </c>
      <c r="DM83" s="4" t="s">
        <v>178</v>
      </c>
      <c r="DN83" s="4" t="s">
        <v>441</v>
      </c>
      <c r="DO83" s="4" t="s">
        <v>680</v>
      </c>
      <c r="DR83" s="4" t="s">
        <v>190</v>
      </c>
      <c r="DS83" s="4" t="s">
        <v>441</v>
      </c>
      <c r="DT83" s="4" t="s">
        <v>1476</v>
      </c>
    </row>
    <row r="84" spans="2:124">
      <c r="B84" s="4" t="s">
        <v>174</v>
      </c>
      <c r="C84" s="4" t="s">
        <v>55</v>
      </c>
      <c r="D84" s="4" t="s">
        <v>175</v>
      </c>
      <c r="G84" s="4" t="s">
        <v>174</v>
      </c>
      <c r="H84" s="4" t="s">
        <v>293</v>
      </c>
      <c r="I84" s="4" t="s">
        <v>175</v>
      </c>
      <c r="L84" s="4" t="s">
        <v>157</v>
      </c>
      <c r="M84" s="4" t="s">
        <v>55</v>
      </c>
      <c r="N84" s="4" t="s">
        <v>158</v>
      </c>
      <c r="Q84" s="4" t="s">
        <v>157</v>
      </c>
      <c r="R84" s="4" t="s">
        <v>293</v>
      </c>
      <c r="S84" s="4" t="s">
        <v>158</v>
      </c>
      <c r="AA84" s="4" t="s">
        <v>157</v>
      </c>
      <c r="AB84" s="4" t="s">
        <v>345</v>
      </c>
      <c r="AC84" s="4" t="s">
        <v>30</v>
      </c>
      <c r="AF84" s="4" t="s">
        <v>196</v>
      </c>
      <c r="AG84" s="4" t="s">
        <v>436</v>
      </c>
      <c r="AH84" s="4" t="s">
        <v>566</v>
      </c>
      <c r="AK84" s="4" t="s">
        <v>174</v>
      </c>
      <c r="AL84" s="4" t="s">
        <v>441</v>
      </c>
      <c r="AM84" s="4" t="s">
        <v>621</v>
      </c>
      <c r="AP84" s="4" t="s">
        <v>160</v>
      </c>
      <c r="AQ84" s="4" t="s">
        <v>441</v>
      </c>
      <c r="AR84" s="4" t="s">
        <v>671</v>
      </c>
      <c r="AZ84" s="4" t="s">
        <v>157</v>
      </c>
      <c r="BA84" s="4" t="s">
        <v>345</v>
      </c>
      <c r="BB84" s="4" t="s">
        <v>759</v>
      </c>
      <c r="BE84" s="4" t="s">
        <v>172</v>
      </c>
      <c r="BF84" s="4" t="s">
        <v>441</v>
      </c>
      <c r="BG84" s="4" t="s">
        <v>677</v>
      </c>
      <c r="BJ84" s="4" t="s">
        <v>174</v>
      </c>
      <c r="BK84" s="4" t="s">
        <v>441</v>
      </c>
      <c r="BL84" s="4" t="s">
        <v>765</v>
      </c>
      <c r="BT84" s="4" t="s">
        <v>200</v>
      </c>
      <c r="BU84" s="4" t="s">
        <v>450</v>
      </c>
      <c r="BV84" s="4" t="s">
        <v>928</v>
      </c>
      <c r="BY84" s="4" t="s">
        <v>194</v>
      </c>
      <c r="BZ84" s="4" t="s">
        <v>441</v>
      </c>
      <c r="CA84" s="4" t="s">
        <v>688</v>
      </c>
      <c r="CD84" s="4" t="s">
        <v>174</v>
      </c>
      <c r="CE84" s="4" t="s">
        <v>345</v>
      </c>
      <c r="CF84" s="4" t="s">
        <v>455</v>
      </c>
      <c r="CX84" s="4" t="s">
        <v>222</v>
      </c>
      <c r="CY84" s="4" t="s">
        <v>1243</v>
      </c>
      <c r="CZ84" s="4" t="s">
        <v>1244</v>
      </c>
      <c r="DC84" s="4" t="s">
        <v>182</v>
      </c>
      <c r="DD84" s="4" t="s">
        <v>441</v>
      </c>
      <c r="DE84" s="4" t="s">
        <v>1281</v>
      </c>
      <c r="DM84" s="4" t="s">
        <v>180</v>
      </c>
      <c r="DN84" s="4" t="s">
        <v>345</v>
      </c>
      <c r="DO84" s="4" t="s">
        <v>681</v>
      </c>
      <c r="DR84" s="4" t="s">
        <v>196</v>
      </c>
      <c r="DS84" s="4" t="s">
        <v>436</v>
      </c>
      <c r="DT84" s="4" t="s">
        <v>1477</v>
      </c>
    </row>
    <row r="85" spans="2:124">
      <c r="B85" s="4" t="s">
        <v>176</v>
      </c>
      <c r="C85" s="4" t="s">
        <v>55</v>
      </c>
      <c r="D85" s="4" t="s">
        <v>177</v>
      </c>
      <c r="G85" s="4" t="s">
        <v>176</v>
      </c>
      <c r="H85" s="4" t="s">
        <v>293</v>
      </c>
      <c r="I85" s="4" t="s">
        <v>177</v>
      </c>
      <c r="L85" s="4" t="s">
        <v>159</v>
      </c>
      <c r="M85" s="4" t="s">
        <v>104</v>
      </c>
      <c r="N85" s="4" t="s">
        <v>30</v>
      </c>
      <c r="Q85" s="4" t="s">
        <v>159</v>
      </c>
      <c r="R85" s="4" t="s">
        <v>298</v>
      </c>
      <c r="S85" s="4" t="s">
        <v>30</v>
      </c>
      <c r="AA85" s="4" t="s">
        <v>159</v>
      </c>
      <c r="AB85" s="4" t="s">
        <v>441</v>
      </c>
      <c r="AC85" s="4" t="s">
        <v>30</v>
      </c>
      <c r="AF85" s="4" t="s">
        <v>198</v>
      </c>
      <c r="AG85" s="4" t="s">
        <v>402</v>
      </c>
      <c r="AH85" s="4" t="s">
        <v>567</v>
      </c>
      <c r="AK85" s="4" t="s">
        <v>176</v>
      </c>
      <c r="AL85" s="4" t="s">
        <v>441</v>
      </c>
      <c r="AM85" s="4" t="s">
        <v>622</v>
      </c>
      <c r="AP85" s="4" t="s">
        <v>162</v>
      </c>
      <c r="AQ85" s="4" t="s">
        <v>441</v>
      </c>
      <c r="AR85" s="4" t="s">
        <v>672</v>
      </c>
      <c r="AZ85" s="4" t="s">
        <v>159</v>
      </c>
      <c r="BA85" s="4" t="s">
        <v>441</v>
      </c>
      <c r="BB85" s="4" t="s">
        <v>760</v>
      </c>
      <c r="BE85" s="4" t="s">
        <v>174</v>
      </c>
      <c r="BF85" s="4" t="s">
        <v>441</v>
      </c>
      <c r="BG85" s="4" t="s">
        <v>678</v>
      </c>
      <c r="BJ85" s="4" t="s">
        <v>176</v>
      </c>
      <c r="BK85" s="4" t="s">
        <v>441</v>
      </c>
      <c r="BL85" s="4" t="s">
        <v>801</v>
      </c>
      <c r="BT85" s="4" t="s">
        <v>201</v>
      </c>
      <c r="BU85" s="4" t="s">
        <v>929</v>
      </c>
      <c r="BV85" s="4" t="s">
        <v>890</v>
      </c>
      <c r="BY85" s="4" t="s">
        <v>196</v>
      </c>
      <c r="BZ85" s="4" t="s">
        <v>441</v>
      </c>
      <c r="CA85" s="4" t="s">
        <v>689</v>
      </c>
      <c r="CD85" s="4" t="s">
        <v>176</v>
      </c>
      <c r="CE85" s="4" t="s">
        <v>360</v>
      </c>
      <c r="CF85" s="4" t="s">
        <v>998</v>
      </c>
      <c r="CX85" s="4" t="s">
        <v>224</v>
      </c>
      <c r="CY85" s="4" t="s">
        <v>1245</v>
      </c>
      <c r="CZ85" s="4" t="s">
        <v>1246</v>
      </c>
      <c r="DC85" s="4" t="s">
        <v>184</v>
      </c>
      <c r="DD85" s="4" t="s">
        <v>441</v>
      </c>
      <c r="DE85" s="4" t="s">
        <v>1281</v>
      </c>
      <c r="DM85" s="4" t="s">
        <v>182</v>
      </c>
      <c r="DN85" s="4" t="s">
        <v>441</v>
      </c>
      <c r="DO85" s="4" t="s">
        <v>682</v>
      </c>
      <c r="DR85" s="4" t="s">
        <v>198</v>
      </c>
      <c r="DS85" s="4" t="s">
        <v>402</v>
      </c>
      <c r="DT85" s="4" t="s">
        <v>1478</v>
      </c>
    </row>
    <row r="86" spans="2:124">
      <c r="B86" s="4" t="s">
        <v>178</v>
      </c>
      <c r="C86" s="4" t="s">
        <v>32</v>
      </c>
      <c r="D86" s="4" t="s">
        <v>179</v>
      </c>
      <c r="G86" s="4" t="s">
        <v>178</v>
      </c>
      <c r="H86" s="4" t="s">
        <v>289</v>
      </c>
      <c r="I86" s="4" t="s">
        <v>300</v>
      </c>
      <c r="L86" s="4" t="s">
        <v>160</v>
      </c>
      <c r="M86" s="4" t="s">
        <v>38</v>
      </c>
      <c r="N86" s="4" t="s">
        <v>161</v>
      </c>
      <c r="Q86" s="4" t="s">
        <v>160</v>
      </c>
      <c r="R86" s="4" t="s">
        <v>291</v>
      </c>
      <c r="S86" s="4" t="s">
        <v>161</v>
      </c>
      <c r="AA86" s="4" t="s">
        <v>160</v>
      </c>
      <c r="AB86" s="4" t="s">
        <v>345</v>
      </c>
      <c r="AC86" s="4" t="s">
        <v>30</v>
      </c>
      <c r="AF86" s="4" t="s">
        <v>200</v>
      </c>
      <c r="AG86" s="4" t="s">
        <v>396</v>
      </c>
      <c r="AH86" s="4" t="s">
        <v>568</v>
      </c>
      <c r="AK86" s="4" t="s">
        <v>178</v>
      </c>
      <c r="AL86" s="4" t="s">
        <v>441</v>
      </c>
      <c r="AM86" s="4" t="s">
        <v>179</v>
      </c>
      <c r="AP86" s="4" t="s">
        <v>164</v>
      </c>
      <c r="AQ86" s="4" t="s">
        <v>346</v>
      </c>
      <c r="AR86" s="4" t="s">
        <v>673</v>
      </c>
      <c r="AZ86" s="4" t="s">
        <v>160</v>
      </c>
      <c r="BA86" s="4" t="s">
        <v>345</v>
      </c>
      <c r="BB86" s="4" t="s">
        <v>761</v>
      </c>
      <c r="BE86" s="4" t="s">
        <v>176</v>
      </c>
      <c r="BF86" s="4" t="s">
        <v>345</v>
      </c>
      <c r="BG86" s="4" t="s">
        <v>679</v>
      </c>
      <c r="BJ86" s="4" t="s">
        <v>178</v>
      </c>
      <c r="BK86" s="4" t="s">
        <v>441</v>
      </c>
      <c r="BL86" s="4" t="s">
        <v>802</v>
      </c>
      <c r="BT86" s="4" t="s">
        <v>203</v>
      </c>
      <c r="BU86" s="4" t="s">
        <v>930</v>
      </c>
      <c r="BV86" s="4" t="s">
        <v>931</v>
      </c>
      <c r="BY86" s="4" t="s">
        <v>198</v>
      </c>
      <c r="BZ86" s="4" t="s">
        <v>441</v>
      </c>
      <c r="CA86" s="4" t="s">
        <v>690</v>
      </c>
      <c r="CD86" s="4" t="s">
        <v>178</v>
      </c>
      <c r="CE86" s="4" t="s">
        <v>346</v>
      </c>
      <c r="CF86" s="4" t="s">
        <v>300</v>
      </c>
      <c r="CX86" s="4" t="s">
        <v>226</v>
      </c>
      <c r="CY86" s="4" t="s">
        <v>1247</v>
      </c>
      <c r="CZ86" s="4" t="s">
        <v>1580</v>
      </c>
      <c r="DC86" s="4" t="s">
        <v>186</v>
      </c>
      <c r="DD86" s="4" t="s">
        <v>441</v>
      </c>
      <c r="DE86" s="4" t="s">
        <v>1281</v>
      </c>
      <c r="DM86" s="4" t="s">
        <v>184</v>
      </c>
      <c r="DN86" s="4" t="s">
        <v>441</v>
      </c>
      <c r="DO86" s="4" t="s">
        <v>683</v>
      </c>
      <c r="DR86" s="4" t="s">
        <v>200</v>
      </c>
      <c r="DS86" s="4" t="s">
        <v>396</v>
      </c>
      <c r="DT86" s="4" t="s">
        <v>1479</v>
      </c>
    </row>
    <row r="87" spans="2:124">
      <c r="B87" s="4" t="s">
        <v>180</v>
      </c>
      <c r="C87" s="4" t="s">
        <v>55</v>
      </c>
      <c r="D87" s="4" t="s">
        <v>181</v>
      </c>
      <c r="G87" s="4" t="s">
        <v>180</v>
      </c>
      <c r="H87" s="4" t="s">
        <v>293</v>
      </c>
      <c r="I87" s="4" t="s">
        <v>181</v>
      </c>
      <c r="L87" s="4" t="s">
        <v>162</v>
      </c>
      <c r="M87" s="4" t="s">
        <v>32</v>
      </c>
      <c r="N87" s="4" t="s">
        <v>311</v>
      </c>
      <c r="Q87" s="4" t="s">
        <v>162</v>
      </c>
      <c r="R87" s="4" t="s">
        <v>289</v>
      </c>
      <c r="S87" s="4" t="s">
        <v>311</v>
      </c>
      <c r="AA87" s="4" t="s">
        <v>162</v>
      </c>
      <c r="AB87" s="4" t="s">
        <v>345</v>
      </c>
      <c r="AC87" s="4" t="s">
        <v>163</v>
      </c>
      <c r="AF87" s="4" t="s">
        <v>201</v>
      </c>
      <c r="AG87" s="4" t="s">
        <v>569</v>
      </c>
      <c r="AH87" s="4" t="s">
        <v>570</v>
      </c>
      <c r="AK87" s="4" t="s">
        <v>180</v>
      </c>
      <c r="AL87" s="4" t="s">
        <v>441</v>
      </c>
      <c r="AM87" s="4" t="s">
        <v>623</v>
      </c>
      <c r="AP87" s="4" t="s">
        <v>166</v>
      </c>
      <c r="AQ87" s="4" t="s">
        <v>441</v>
      </c>
      <c r="AR87" s="4" t="s">
        <v>674</v>
      </c>
      <c r="AZ87" s="4" t="s">
        <v>162</v>
      </c>
      <c r="BA87" s="4" t="s">
        <v>345</v>
      </c>
      <c r="BB87" s="4" t="s">
        <v>762</v>
      </c>
      <c r="BE87" s="4" t="s">
        <v>178</v>
      </c>
      <c r="BF87" s="4" t="s">
        <v>441</v>
      </c>
      <c r="BG87" s="4" t="s">
        <v>680</v>
      </c>
      <c r="BJ87" s="4" t="s">
        <v>180</v>
      </c>
      <c r="BK87" s="4" t="s">
        <v>441</v>
      </c>
      <c r="BL87" s="4" t="s">
        <v>803</v>
      </c>
      <c r="BT87" s="4" t="s">
        <v>205</v>
      </c>
      <c r="BU87" s="4" t="s">
        <v>932</v>
      </c>
      <c r="BV87" s="4" t="s">
        <v>933</v>
      </c>
      <c r="BY87" s="4" t="s">
        <v>200</v>
      </c>
      <c r="BZ87" s="4" t="s">
        <v>441</v>
      </c>
      <c r="CA87" s="4" t="s">
        <v>690</v>
      </c>
      <c r="CD87" s="4" t="s">
        <v>180</v>
      </c>
      <c r="CE87" s="4" t="s">
        <v>345</v>
      </c>
      <c r="CF87" s="4" t="s">
        <v>999</v>
      </c>
      <c r="CX87" s="4" t="s">
        <v>227</v>
      </c>
      <c r="CY87" s="4" t="s">
        <v>1658</v>
      </c>
      <c r="CZ87" s="4" t="s">
        <v>1250</v>
      </c>
      <c r="DC87" s="4" t="s">
        <v>188</v>
      </c>
      <c r="DD87" s="4" t="s">
        <v>441</v>
      </c>
      <c r="DE87" s="4" t="s">
        <v>1281</v>
      </c>
      <c r="DM87" s="4" t="s">
        <v>186</v>
      </c>
      <c r="DN87" s="4" t="s">
        <v>345</v>
      </c>
      <c r="DO87" s="4" t="s">
        <v>1388</v>
      </c>
      <c r="DR87" s="4" t="s">
        <v>201</v>
      </c>
      <c r="DS87" s="4" t="s">
        <v>569</v>
      </c>
      <c r="DT87" s="4" t="s">
        <v>1480</v>
      </c>
    </row>
    <row r="88" spans="2:124">
      <c r="B88" s="4" t="s">
        <v>182</v>
      </c>
      <c r="C88" s="4" t="s">
        <v>32</v>
      </c>
      <c r="D88" s="4" t="s">
        <v>183</v>
      </c>
      <c r="G88" s="4" t="s">
        <v>182</v>
      </c>
      <c r="H88" s="4" t="s">
        <v>289</v>
      </c>
      <c r="I88" s="4" t="s">
        <v>183</v>
      </c>
      <c r="L88" s="4" t="s">
        <v>164</v>
      </c>
      <c r="M88" s="4" t="s">
        <v>24</v>
      </c>
      <c r="N88" s="4" t="s">
        <v>165</v>
      </c>
      <c r="Q88" s="4" t="s">
        <v>164</v>
      </c>
      <c r="R88" s="4" t="s">
        <v>286</v>
      </c>
      <c r="S88" s="4" t="s">
        <v>165</v>
      </c>
      <c r="AA88" s="4" t="s">
        <v>164</v>
      </c>
      <c r="AB88" s="4" t="s">
        <v>360</v>
      </c>
      <c r="AC88" s="4" t="s">
        <v>165</v>
      </c>
      <c r="AF88" s="4" t="s">
        <v>203</v>
      </c>
      <c r="AG88" s="4" t="s">
        <v>489</v>
      </c>
      <c r="AH88" s="4" t="s">
        <v>571</v>
      </c>
      <c r="AK88" s="4" t="s">
        <v>182</v>
      </c>
      <c r="AL88" s="4" t="s">
        <v>441</v>
      </c>
      <c r="AM88" s="4" t="s">
        <v>183</v>
      </c>
      <c r="AP88" s="4" t="s">
        <v>168</v>
      </c>
      <c r="AQ88" s="4" t="s">
        <v>345</v>
      </c>
      <c r="AR88" s="4" t="s">
        <v>675</v>
      </c>
      <c r="AZ88" s="4" t="s">
        <v>164</v>
      </c>
      <c r="BA88" s="4" t="s">
        <v>360</v>
      </c>
      <c r="BB88" s="4" t="s">
        <v>673</v>
      </c>
      <c r="BE88" s="4" t="s">
        <v>180</v>
      </c>
      <c r="BF88" s="4" t="s">
        <v>345</v>
      </c>
      <c r="BG88" s="4" t="s">
        <v>681</v>
      </c>
      <c r="BJ88" s="4" t="s">
        <v>182</v>
      </c>
      <c r="BK88" s="4" t="s">
        <v>441</v>
      </c>
      <c r="BL88" s="4" t="s">
        <v>804</v>
      </c>
      <c r="BT88" s="4" t="s">
        <v>206</v>
      </c>
      <c r="BU88" s="4" t="s">
        <v>593</v>
      </c>
      <c r="BV88" s="4" t="s">
        <v>934</v>
      </c>
      <c r="BY88" s="4" t="s">
        <v>201</v>
      </c>
      <c r="BZ88" s="4" t="s">
        <v>345</v>
      </c>
      <c r="CA88" s="4" t="s">
        <v>702</v>
      </c>
      <c r="CD88" s="4" t="s">
        <v>182</v>
      </c>
      <c r="CE88" s="4" t="s">
        <v>346</v>
      </c>
      <c r="CF88" s="4" t="s">
        <v>1000</v>
      </c>
      <c r="CX88" s="4" t="s">
        <v>228</v>
      </c>
      <c r="CY88" s="4" t="s">
        <v>1659</v>
      </c>
      <c r="CZ88" s="4" t="s">
        <v>1252</v>
      </c>
      <c r="DC88" s="4" t="s">
        <v>190</v>
      </c>
      <c r="DD88" s="4" t="s">
        <v>441</v>
      </c>
      <c r="DE88" s="4" t="s">
        <v>1281</v>
      </c>
      <c r="DM88" s="4" t="s">
        <v>188</v>
      </c>
      <c r="DN88" s="4" t="s">
        <v>441</v>
      </c>
      <c r="DO88" s="4" t="s">
        <v>685</v>
      </c>
      <c r="DR88" s="4" t="s">
        <v>203</v>
      </c>
      <c r="DS88" s="4" t="s">
        <v>489</v>
      </c>
      <c r="DT88" s="4" t="s">
        <v>1481</v>
      </c>
    </row>
    <row r="89" spans="2:124">
      <c r="B89" s="4" t="s">
        <v>184</v>
      </c>
      <c r="C89" s="4" t="s">
        <v>32</v>
      </c>
      <c r="D89" s="4" t="s">
        <v>185</v>
      </c>
      <c r="G89" s="4" t="s">
        <v>184</v>
      </c>
      <c r="H89" s="4" t="s">
        <v>289</v>
      </c>
      <c r="I89" s="4" t="s">
        <v>301</v>
      </c>
      <c r="L89" s="4" t="s">
        <v>166</v>
      </c>
      <c r="M89" s="4" t="s">
        <v>55</v>
      </c>
      <c r="N89" s="4" t="s">
        <v>167</v>
      </c>
      <c r="Q89" s="4" t="s">
        <v>166</v>
      </c>
      <c r="R89" s="4" t="s">
        <v>293</v>
      </c>
      <c r="S89" s="4" t="s">
        <v>167</v>
      </c>
      <c r="AA89" s="4" t="s">
        <v>166</v>
      </c>
      <c r="AB89" s="4" t="s">
        <v>345</v>
      </c>
      <c r="AC89" s="4" t="s">
        <v>452</v>
      </c>
      <c r="AF89" s="4" t="s">
        <v>205</v>
      </c>
      <c r="AG89" s="4" t="s">
        <v>521</v>
      </c>
      <c r="AH89" s="4" t="s">
        <v>572</v>
      </c>
      <c r="AK89" s="4" t="s">
        <v>184</v>
      </c>
      <c r="AL89" s="4" t="s">
        <v>441</v>
      </c>
      <c r="AM89" s="4" t="s">
        <v>301</v>
      </c>
      <c r="AP89" s="4" t="s">
        <v>170</v>
      </c>
      <c r="AQ89" s="4" t="s">
        <v>345</v>
      </c>
      <c r="AR89" s="4" t="s">
        <v>676</v>
      </c>
      <c r="AZ89" s="4" t="s">
        <v>166</v>
      </c>
      <c r="BA89" s="4" t="s">
        <v>345</v>
      </c>
      <c r="BB89" s="4" t="s">
        <v>674</v>
      </c>
      <c r="BE89" s="4" t="s">
        <v>182</v>
      </c>
      <c r="BF89" s="4" t="s">
        <v>441</v>
      </c>
      <c r="BG89" s="4" t="s">
        <v>682</v>
      </c>
      <c r="BJ89" s="4" t="s">
        <v>184</v>
      </c>
      <c r="BK89" s="4" t="s">
        <v>441</v>
      </c>
      <c r="BL89" s="4" t="s">
        <v>805</v>
      </c>
      <c r="BT89" s="4" t="s">
        <v>208</v>
      </c>
      <c r="BU89" s="4" t="s">
        <v>298</v>
      </c>
      <c r="BV89" s="4" t="s">
        <v>935</v>
      </c>
      <c r="BY89" s="4" t="s">
        <v>203</v>
      </c>
      <c r="BZ89" s="4" t="s">
        <v>441</v>
      </c>
      <c r="CA89" s="4" t="s">
        <v>692</v>
      </c>
      <c r="CD89" s="4" t="s">
        <v>184</v>
      </c>
      <c r="CE89" s="4" t="s">
        <v>446</v>
      </c>
      <c r="CF89" s="4" t="s">
        <v>972</v>
      </c>
      <c r="CX89" s="4" t="s">
        <v>232</v>
      </c>
      <c r="CY89" s="4" t="s">
        <v>402</v>
      </c>
      <c r="CZ89" s="4" t="s">
        <v>1253</v>
      </c>
      <c r="DC89" s="4" t="s">
        <v>192</v>
      </c>
      <c r="DD89" s="4" t="s">
        <v>441</v>
      </c>
      <c r="DE89" s="4" t="s">
        <v>1281</v>
      </c>
      <c r="DM89" s="4" t="s">
        <v>190</v>
      </c>
      <c r="DN89" s="4" t="s">
        <v>441</v>
      </c>
      <c r="DO89" s="4" t="s">
        <v>686</v>
      </c>
      <c r="DR89" s="4" t="s">
        <v>205</v>
      </c>
      <c r="DS89" s="4" t="s">
        <v>521</v>
      </c>
      <c r="DT89" s="4" t="s">
        <v>1482</v>
      </c>
    </row>
    <row r="90" spans="2:124">
      <c r="B90" s="4" t="s">
        <v>186</v>
      </c>
      <c r="C90" s="4" t="s">
        <v>32</v>
      </c>
      <c r="D90" s="4" t="s">
        <v>187</v>
      </c>
      <c r="G90" s="4" t="s">
        <v>186</v>
      </c>
      <c r="H90" s="4" t="s">
        <v>289</v>
      </c>
      <c r="I90" s="4" t="s">
        <v>187</v>
      </c>
      <c r="L90" s="4" t="s">
        <v>168</v>
      </c>
      <c r="M90" s="4" t="s">
        <v>55</v>
      </c>
      <c r="N90" s="4" t="s">
        <v>169</v>
      </c>
      <c r="Q90" s="4" t="s">
        <v>168</v>
      </c>
      <c r="R90" s="4" t="s">
        <v>293</v>
      </c>
      <c r="S90" s="4" t="s">
        <v>169</v>
      </c>
      <c r="AA90" s="4" t="s">
        <v>168</v>
      </c>
      <c r="AB90" s="4" t="s">
        <v>345</v>
      </c>
      <c r="AC90" s="4" t="s">
        <v>453</v>
      </c>
      <c r="AF90" s="4" t="s">
        <v>206</v>
      </c>
      <c r="AG90" s="4" t="s">
        <v>573</v>
      </c>
      <c r="AH90" s="4" t="s">
        <v>574</v>
      </c>
      <c r="AK90" s="4" t="s">
        <v>186</v>
      </c>
      <c r="AL90" s="4" t="s">
        <v>441</v>
      </c>
      <c r="AM90" s="4" t="s">
        <v>329</v>
      </c>
      <c r="AP90" s="4" t="s">
        <v>172</v>
      </c>
      <c r="AQ90" s="4" t="s">
        <v>441</v>
      </c>
      <c r="AR90" s="4" t="s">
        <v>677</v>
      </c>
      <c r="AZ90" s="4" t="s">
        <v>168</v>
      </c>
      <c r="BA90" s="4" t="s">
        <v>345</v>
      </c>
      <c r="BB90" s="4" t="s">
        <v>763</v>
      </c>
      <c r="BE90" s="4" t="s">
        <v>184</v>
      </c>
      <c r="BF90" s="4" t="s">
        <v>441</v>
      </c>
      <c r="BG90" s="4" t="s">
        <v>683</v>
      </c>
      <c r="BJ90" s="4" t="s">
        <v>186</v>
      </c>
      <c r="BK90" s="4" t="s">
        <v>441</v>
      </c>
      <c r="BL90" s="4" t="s">
        <v>806</v>
      </c>
      <c r="BT90" s="4" t="s">
        <v>210</v>
      </c>
      <c r="BU90" s="4" t="s">
        <v>396</v>
      </c>
      <c r="BV90" s="4" t="s">
        <v>915</v>
      </c>
      <c r="BY90" s="4" t="s">
        <v>205</v>
      </c>
      <c r="BZ90" s="4" t="s">
        <v>441</v>
      </c>
      <c r="CA90" s="4" t="s">
        <v>692</v>
      </c>
      <c r="CD90" s="4" t="s">
        <v>186</v>
      </c>
      <c r="CE90" s="4" t="s">
        <v>446</v>
      </c>
      <c r="CF90" s="4" t="s">
        <v>187</v>
      </c>
      <c r="CX90" s="4" t="s">
        <v>235</v>
      </c>
      <c r="CY90" s="4" t="s">
        <v>850</v>
      </c>
      <c r="CZ90" s="4" t="s">
        <v>1254</v>
      </c>
      <c r="DC90" s="4" t="s">
        <v>194</v>
      </c>
      <c r="DD90" s="4" t="s">
        <v>441</v>
      </c>
      <c r="DE90" s="4" t="s">
        <v>1289</v>
      </c>
      <c r="DM90" s="4" t="s">
        <v>192</v>
      </c>
      <c r="DN90" s="4" t="s">
        <v>441</v>
      </c>
      <c r="DO90" s="4" t="s">
        <v>687</v>
      </c>
      <c r="DR90" s="4" t="s">
        <v>206</v>
      </c>
      <c r="DS90" s="4" t="s">
        <v>573</v>
      </c>
      <c r="DT90" s="4" t="s">
        <v>1483</v>
      </c>
    </row>
    <row r="91" spans="2:124">
      <c r="B91" s="4" t="s">
        <v>188</v>
      </c>
      <c r="C91" s="4" t="s">
        <v>32</v>
      </c>
      <c r="D91" s="4" t="s">
        <v>189</v>
      </c>
      <c r="G91" s="4" t="s">
        <v>188</v>
      </c>
      <c r="H91" s="4" t="s">
        <v>289</v>
      </c>
      <c r="I91" s="4" t="s">
        <v>302</v>
      </c>
      <c r="L91" s="4" t="s">
        <v>170</v>
      </c>
      <c r="M91" s="4" t="s">
        <v>29</v>
      </c>
      <c r="N91" s="4" t="s">
        <v>171</v>
      </c>
      <c r="Q91" s="4" t="s">
        <v>170</v>
      </c>
      <c r="R91" s="4" t="s">
        <v>288</v>
      </c>
      <c r="S91" s="4" t="s">
        <v>171</v>
      </c>
      <c r="AA91" s="4" t="s">
        <v>170</v>
      </c>
      <c r="AB91" s="4" t="s">
        <v>346</v>
      </c>
      <c r="AC91" s="4" t="s">
        <v>171</v>
      </c>
      <c r="AF91" s="4" t="s">
        <v>208</v>
      </c>
      <c r="AG91" s="4" t="s">
        <v>32</v>
      </c>
      <c r="AH91" s="4" t="s">
        <v>575</v>
      </c>
      <c r="AK91" s="4" t="s">
        <v>188</v>
      </c>
      <c r="AL91" s="4" t="s">
        <v>441</v>
      </c>
      <c r="AM91" s="4" t="s">
        <v>302</v>
      </c>
      <c r="AP91" s="4" t="s">
        <v>174</v>
      </c>
      <c r="AQ91" s="4" t="s">
        <v>441</v>
      </c>
      <c r="AR91" s="4" t="s">
        <v>678</v>
      </c>
      <c r="AZ91" s="4" t="s">
        <v>170</v>
      </c>
      <c r="BA91" s="4" t="s">
        <v>346</v>
      </c>
      <c r="BB91" s="4" t="s">
        <v>676</v>
      </c>
      <c r="BE91" s="4" t="s">
        <v>186</v>
      </c>
      <c r="BF91" s="4" t="s">
        <v>345</v>
      </c>
      <c r="BG91" s="4" t="s">
        <v>788</v>
      </c>
      <c r="BJ91" s="4" t="s">
        <v>188</v>
      </c>
      <c r="BK91" s="4" t="s">
        <v>441</v>
      </c>
      <c r="BL91" s="4" t="s">
        <v>807</v>
      </c>
      <c r="BT91" s="4" t="s">
        <v>212</v>
      </c>
      <c r="BU91" s="4" t="s">
        <v>533</v>
      </c>
      <c r="BV91" s="4" t="s">
        <v>936</v>
      </c>
      <c r="BY91" s="4" t="s">
        <v>206</v>
      </c>
      <c r="BZ91" s="4" t="s">
        <v>441</v>
      </c>
      <c r="CA91" s="4" t="s">
        <v>693</v>
      </c>
      <c r="CD91" s="4" t="s">
        <v>188</v>
      </c>
      <c r="CE91" s="4" t="s">
        <v>346</v>
      </c>
      <c r="CF91" s="4" t="s">
        <v>189</v>
      </c>
      <c r="CX91" s="4" t="s">
        <v>237</v>
      </c>
      <c r="CY91" s="4" t="s">
        <v>603</v>
      </c>
      <c r="CZ91" s="4" t="s">
        <v>1255</v>
      </c>
      <c r="DC91" s="4" t="s">
        <v>196</v>
      </c>
      <c r="DD91" s="4" t="s">
        <v>441</v>
      </c>
      <c r="DE91" s="4" t="s">
        <v>1290</v>
      </c>
      <c r="DM91" s="4" t="s">
        <v>194</v>
      </c>
      <c r="DN91" s="4" t="s">
        <v>441</v>
      </c>
      <c r="DO91" s="4" t="s">
        <v>688</v>
      </c>
      <c r="DR91" s="4" t="s">
        <v>208</v>
      </c>
      <c r="DS91" s="4" t="s">
        <v>32</v>
      </c>
      <c r="DT91" s="4" t="s">
        <v>1484</v>
      </c>
    </row>
    <row r="92" spans="2:124">
      <c r="B92" s="4" t="s">
        <v>190</v>
      </c>
      <c r="C92" s="4" t="s">
        <v>32</v>
      </c>
      <c r="D92" s="4" t="s">
        <v>191</v>
      </c>
      <c r="G92" s="4" t="s">
        <v>190</v>
      </c>
      <c r="H92" s="4" t="s">
        <v>289</v>
      </c>
      <c r="I92" s="4" t="s">
        <v>303</v>
      </c>
      <c r="L92" s="4" t="s">
        <v>172</v>
      </c>
      <c r="M92" s="4" t="s">
        <v>55</v>
      </c>
      <c r="N92" s="4" t="s">
        <v>173</v>
      </c>
      <c r="Q92" s="4" t="s">
        <v>172</v>
      </c>
      <c r="R92" s="4" t="s">
        <v>293</v>
      </c>
      <c r="S92" s="4" t="s">
        <v>173</v>
      </c>
      <c r="AA92" s="4" t="s">
        <v>172</v>
      </c>
      <c r="AB92" s="4" t="s">
        <v>345</v>
      </c>
      <c r="AC92" s="4" t="s">
        <v>454</v>
      </c>
      <c r="AF92" s="4" t="s">
        <v>210</v>
      </c>
      <c r="AG92" s="4" t="s">
        <v>521</v>
      </c>
      <c r="AH92" s="4" t="s">
        <v>576</v>
      </c>
      <c r="AK92" s="4" t="s">
        <v>190</v>
      </c>
      <c r="AL92" s="4" t="s">
        <v>441</v>
      </c>
      <c r="AM92" s="4" t="s">
        <v>321</v>
      </c>
      <c r="AP92" s="4" t="s">
        <v>176</v>
      </c>
      <c r="AQ92" s="4" t="s">
        <v>345</v>
      </c>
      <c r="AR92" s="4" t="s">
        <v>679</v>
      </c>
      <c r="AZ92" s="4" t="s">
        <v>172</v>
      </c>
      <c r="BA92" s="4" t="s">
        <v>345</v>
      </c>
      <c r="BB92" s="4" t="s">
        <v>764</v>
      </c>
      <c r="BE92" s="4" t="s">
        <v>188</v>
      </c>
      <c r="BF92" s="4" t="s">
        <v>441</v>
      </c>
      <c r="BG92" s="4" t="s">
        <v>685</v>
      </c>
      <c r="BJ92" s="4" t="s">
        <v>190</v>
      </c>
      <c r="BK92" s="4" t="s">
        <v>441</v>
      </c>
      <c r="BL92" s="4" t="s">
        <v>793</v>
      </c>
      <c r="BT92" s="4" t="s">
        <v>217</v>
      </c>
      <c r="BU92" s="4" t="s">
        <v>499</v>
      </c>
      <c r="BV92" s="4" t="s">
        <v>937</v>
      </c>
      <c r="BY92" s="4" t="s">
        <v>208</v>
      </c>
      <c r="BZ92" s="4" t="s">
        <v>441</v>
      </c>
      <c r="CA92" s="4" t="s">
        <v>694</v>
      </c>
      <c r="CD92" s="4" t="s">
        <v>190</v>
      </c>
      <c r="CE92" s="4" t="s">
        <v>346</v>
      </c>
      <c r="CF92" s="4" t="s">
        <v>1001</v>
      </c>
      <c r="CX92" s="4" t="s">
        <v>239</v>
      </c>
      <c r="CY92" s="4" t="s">
        <v>1256</v>
      </c>
      <c r="CZ92" s="4" t="s">
        <v>1257</v>
      </c>
      <c r="DC92" s="4" t="s">
        <v>198</v>
      </c>
      <c r="DD92" s="4" t="s">
        <v>441</v>
      </c>
      <c r="DE92" s="4" t="s">
        <v>1291</v>
      </c>
      <c r="DM92" s="4" t="s">
        <v>196</v>
      </c>
      <c r="DN92" s="4" t="s">
        <v>441</v>
      </c>
      <c r="DO92" s="4" t="s">
        <v>689</v>
      </c>
      <c r="DR92" s="4" t="s">
        <v>210</v>
      </c>
      <c r="DS92" s="4" t="s">
        <v>521</v>
      </c>
      <c r="DT92" s="4" t="s">
        <v>1485</v>
      </c>
    </row>
    <row r="93" spans="2:124">
      <c r="B93" s="4" t="s">
        <v>192</v>
      </c>
      <c r="C93" s="4" t="s">
        <v>32</v>
      </c>
      <c r="D93" s="4" t="s">
        <v>193</v>
      </c>
      <c r="G93" s="4" t="s">
        <v>192</v>
      </c>
      <c r="H93" s="4" t="s">
        <v>289</v>
      </c>
      <c r="I93" s="4" t="s">
        <v>193</v>
      </c>
      <c r="L93" s="4" t="s">
        <v>174</v>
      </c>
      <c r="M93" s="4" t="s">
        <v>55</v>
      </c>
      <c r="N93" s="4" t="s">
        <v>175</v>
      </c>
      <c r="Q93" s="4" t="s">
        <v>174</v>
      </c>
      <c r="R93" s="4" t="s">
        <v>293</v>
      </c>
      <c r="S93" s="4" t="s">
        <v>175</v>
      </c>
      <c r="AA93" s="4" t="s">
        <v>174</v>
      </c>
      <c r="AB93" s="4" t="s">
        <v>345</v>
      </c>
      <c r="AC93" s="4" t="s">
        <v>455</v>
      </c>
      <c r="AF93" s="4" t="s">
        <v>212</v>
      </c>
      <c r="AG93" s="4" t="s">
        <v>577</v>
      </c>
      <c r="AH93" s="4" t="s">
        <v>578</v>
      </c>
      <c r="AK93" s="4" t="s">
        <v>192</v>
      </c>
      <c r="AL93" s="4" t="s">
        <v>441</v>
      </c>
      <c r="AM93" s="4" t="s">
        <v>330</v>
      </c>
      <c r="AP93" s="4" t="s">
        <v>178</v>
      </c>
      <c r="AQ93" s="4" t="s">
        <v>441</v>
      </c>
      <c r="AR93" s="4" t="s">
        <v>680</v>
      </c>
      <c r="AZ93" s="4" t="s">
        <v>174</v>
      </c>
      <c r="BA93" s="4" t="s">
        <v>345</v>
      </c>
      <c r="BB93" s="4" t="s">
        <v>765</v>
      </c>
      <c r="BE93" s="4" t="s">
        <v>190</v>
      </c>
      <c r="BF93" s="4" t="s">
        <v>441</v>
      </c>
      <c r="BG93" s="4" t="s">
        <v>686</v>
      </c>
      <c r="BJ93" s="4" t="s">
        <v>192</v>
      </c>
      <c r="BK93" s="4" t="s">
        <v>441</v>
      </c>
      <c r="BL93" s="4" t="s">
        <v>808</v>
      </c>
      <c r="BT93" s="4" t="s">
        <v>218</v>
      </c>
      <c r="BU93" s="4" t="s">
        <v>45</v>
      </c>
      <c r="BV93" s="4" t="s">
        <v>938</v>
      </c>
      <c r="BY93" s="4" t="s">
        <v>210</v>
      </c>
      <c r="BZ93" s="4" t="s">
        <v>441</v>
      </c>
      <c r="CA93" s="4" t="s">
        <v>695</v>
      </c>
      <c r="CD93" s="4" t="s">
        <v>192</v>
      </c>
      <c r="CE93" s="4" t="s">
        <v>441</v>
      </c>
      <c r="CF93" s="4" t="s">
        <v>193</v>
      </c>
      <c r="CX93" s="4" t="s">
        <v>241</v>
      </c>
      <c r="CY93" s="4" t="s">
        <v>1258</v>
      </c>
      <c r="CZ93" s="4" t="s">
        <v>1259</v>
      </c>
      <c r="DC93" s="4" t="s">
        <v>200</v>
      </c>
      <c r="DD93" s="4" t="s">
        <v>441</v>
      </c>
      <c r="DE93" s="4" t="s">
        <v>1291</v>
      </c>
      <c r="DM93" s="4" t="s">
        <v>198</v>
      </c>
      <c r="DN93" s="4" t="s">
        <v>441</v>
      </c>
      <c r="DO93" s="4" t="s">
        <v>690</v>
      </c>
      <c r="DR93" s="4" t="s">
        <v>212</v>
      </c>
      <c r="DS93" s="4" t="s">
        <v>577</v>
      </c>
      <c r="DT93" s="4" t="s">
        <v>1486</v>
      </c>
    </row>
    <row r="94" spans="2:124">
      <c r="B94" s="4" t="s">
        <v>194</v>
      </c>
      <c r="C94" s="4" t="s">
        <v>32</v>
      </c>
      <c r="D94" s="4" t="s">
        <v>195</v>
      </c>
      <c r="G94" s="4" t="s">
        <v>194</v>
      </c>
      <c r="H94" s="4" t="s">
        <v>289</v>
      </c>
      <c r="I94" s="4" t="s">
        <v>304</v>
      </c>
      <c r="L94" s="4" t="s">
        <v>176</v>
      </c>
      <c r="M94" s="4" t="s">
        <v>55</v>
      </c>
      <c r="N94" s="4" t="s">
        <v>327</v>
      </c>
      <c r="Q94" s="4" t="s">
        <v>176</v>
      </c>
      <c r="R94" s="4" t="s">
        <v>293</v>
      </c>
      <c r="S94" s="4" t="s">
        <v>177</v>
      </c>
      <c r="AA94" s="4" t="s">
        <v>176</v>
      </c>
      <c r="AB94" s="4" t="s">
        <v>346</v>
      </c>
      <c r="AC94" s="4" t="s">
        <v>177</v>
      </c>
      <c r="AF94" s="4" t="s">
        <v>217</v>
      </c>
      <c r="AG94" s="4" t="s">
        <v>1586</v>
      </c>
      <c r="AH94" s="4" t="s">
        <v>580</v>
      </c>
      <c r="AK94" s="4" t="s">
        <v>194</v>
      </c>
      <c r="AL94" s="4" t="s">
        <v>441</v>
      </c>
      <c r="AM94" s="4" t="s">
        <v>304</v>
      </c>
      <c r="AP94" s="4" t="s">
        <v>180</v>
      </c>
      <c r="AQ94" s="4" t="s">
        <v>345</v>
      </c>
      <c r="AR94" s="4" t="s">
        <v>681</v>
      </c>
      <c r="AZ94" s="4" t="s">
        <v>176</v>
      </c>
      <c r="BA94" s="4" t="s">
        <v>346</v>
      </c>
      <c r="BB94" s="4" t="s">
        <v>679</v>
      </c>
      <c r="BE94" s="4" t="s">
        <v>192</v>
      </c>
      <c r="BF94" s="4" t="s">
        <v>441</v>
      </c>
      <c r="BG94" s="4" t="s">
        <v>687</v>
      </c>
      <c r="BJ94" s="4" t="s">
        <v>194</v>
      </c>
      <c r="BK94" s="4" t="s">
        <v>441</v>
      </c>
      <c r="BL94" s="4" t="s">
        <v>809</v>
      </c>
      <c r="BT94" s="4" t="s">
        <v>220</v>
      </c>
      <c r="BU94" s="4" t="s">
        <v>614</v>
      </c>
      <c r="BV94" s="4" t="s">
        <v>939</v>
      </c>
      <c r="BY94" s="4" t="s">
        <v>212</v>
      </c>
      <c r="BZ94" s="4" t="s">
        <v>441</v>
      </c>
      <c r="CA94" s="4" t="s">
        <v>695</v>
      </c>
      <c r="CD94" s="4" t="s">
        <v>194</v>
      </c>
      <c r="CE94" s="4" t="s">
        <v>345</v>
      </c>
      <c r="CF94" s="4" t="s">
        <v>1002</v>
      </c>
      <c r="CX94" s="4" t="s">
        <v>243</v>
      </c>
      <c r="CY94" s="4" t="s">
        <v>1260</v>
      </c>
      <c r="CZ94" s="4" t="s">
        <v>1261</v>
      </c>
      <c r="DC94" s="4" t="s">
        <v>201</v>
      </c>
      <c r="DD94" s="4" t="s">
        <v>441</v>
      </c>
      <c r="DE94" s="4" t="s">
        <v>1292</v>
      </c>
      <c r="DM94" s="4" t="s">
        <v>200</v>
      </c>
      <c r="DN94" s="4" t="s">
        <v>441</v>
      </c>
      <c r="DO94" s="4" t="s">
        <v>690</v>
      </c>
      <c r="DR94" s="4" t="s">
        <v>217</v>
      </c>
      <c r="DS94" s="4" t="s">
        <v>579</v>
      </c>
      <c r="DT94" s="4" t="s">
        <v>1487</v>
      </c>
    </row>
    <row r="95" spans="2:124">
      <c r="B95" s="4" t="s">
        <v>196</v>
      </c>
      <c r="C95" s="4" t="s">
        <v>32</v>
      </c>
      <c r="D95" s="4" t="s">
        <v>197</v>
      </c>
      <c r="G95" s="4" t="s">
        <v>196</v>
      </c>
      <c r="H95" s="4" t="s">
        <v>289</v>
      </c>
      <c r="I95" s="4" t="s">
        <v>197</v>
      </c>
      <c r="L95" s="4" t="s">
        <v>178</v>
      </c>
      <c r="M95" s="4" t="s">
        <v>32</v>
      </c>
      <c r="N95" s="4" t="s">
        <v>300</v>
      </c>
      <c r="Q95" s="4" t="s">
        <v>178</v>
      </c>
      <c r="R95" s="4" t="s">
        <v>289</v>
      </c>
      <c r="S95" s="4" t="s">
        <v>300</v>
      </c>
      <c r="AA95" s="4" t="s">
        <v>178</v>
      </c>
      <c r="AB95" s="4" t="s">
        <v>345</v>
      </c>
      <c r="AC95" s="4" t="s">
        <v>179</v>
      </c>
      <c r="AF95" s="4" t="s">
        <v>218</v>
      </c>
      <c r="AG95" s="4" t="s">
        <v>581</v>
      </c>
      <c r="AH95" s="4" t="s">
        <v>582</v>
      </c>
      <c r="AK95" s="4" t="s">
        <v>196</v>
      </c>
      <c r="AL95" s="4" t="s">
        <v>441</v>
      </c>
      <c r="AM95" s="4" t="s">
        <v>197</v>
      </c>
      <c r="AP95" s="4" t="s">
        <v>182</v>
      </c>
      <c r="AQ95" s="4" t="s">
        <v>441</v>
      </c>
      <c r="AR95" s="4" t="s">
        <v>682</v>
      </c>
      <c r="AZ95" s="4" t="s">
        <v>178</v>
      </c>
      <c r="BA95" s="4" t="s">
        <v>345</v>
      </c>
      <c r="BB95" s="4" t="s">
        <v>680</v>
      </c>
      <c r="BE95" s="4" t="s">
        <v>194</v>
      </c>
      <c r="BF95" s="4" t="s">
        <v>441</v>
      </c>
      <c r="BG95" s="4" t="s">
        <v>688</v>
      </c>
      <c r="BJ95" s="4" t="s">
        <v>196</v>
      </c>
      <c r="BK95" s="4" t="s">
        <v>441</v>
      </c>
      <c r="BL95" s="4" t="s">
        <v>810</v>
      </c>
      <c r="BT95" s="4" t="s">
        <v>222</v>
      </c>
      <c r="BU95" s="4" t="s">
        <v>614</v>
      </c>
      <c r="BV95" s="4" t="s">
        <v>940</v>
      </c>
      <c r="BY95" s="4" t="s">
        <v>213</v>
      </c>
      <c r="BZ95" s="4" t="s">
        <v>441</v>
      </c>
      <c r="CA95" s="4" t="s">
        <v>696</v>
      </c>
      <c r="CD95" s="4" t="s">
        <v>196</v>
      </c>
      <c r="CE95" s="4" t="s">
        <v>346</v>
      </c>
      <c r="CF95" s="4" t="s">
        <v>342</v>
      </c>
      <c r="CX95" s="4" t="s">
        <v>245</v>
      </c>
      <c r="CY95" s="4" t="s">
        <v>1262</v>
      </c>
      <c r="CZ95" s="4" t="s">
        <v>1263</v>
      </c>
      <c r="DC95" s="4" t="s">
        <v>203</v>
      </c>
      <c r="DD95" s="4" t="s">
        <v>441</v>
      </c>
      <c r="DE95" s="4" t="s">
        <v>1293</v>
      </c>
      <c r="DM95" s="4" t="s">
        <v>201</v>
      </c>
      <c r="DN95" s="4" t="s">
        <v>346</v>
      </c>
      <c r="DO95" s="4" t="s">
        <v>1389</v>
      </c>
      <c r="DR95" s="4" t="s">
        <v>218</v>
      </c>
      <c r="DS95" s="4" t="s">
        <v>581</v>
      </c>
      <c r="DT95" s="4" t="s">
        <v>1488</v>
      </c>
    </row>
    <row r="96" spans="2:124">
      <c r="B96" s="4" t="s">
        <v>198</v>
      </c>
      <c r="C96" s="4" t="s">
        <v>32</v>
      </c>
      <c r="D96" s="4" t="s">
        <v>199</v>
      </c>
      <c r="G96" s="4" t="s">
        <v>198</v>
      </c>
      <c r="H96" s="4" t="s">
        <v>289</v>
      </c>
      <c r="I96" s="4" t="s">
        <v>199</v>
      </c>
      <c r="L96" s="4" t="s">
        <v>180</v>
      </c>
      <c r="M96" s="4" t="s">
        <v>55</v>
      </c>
      <c r="N96" s="4" t="s">
        <v>328</v>
      </c>
      <c r="Q96" s="4" t="s">
        <v>180</v>
      </c>
      <c r="R96" s="4" t="s">
        <v>293</v>
      </c>
      <c r="S96" s="4" t="s">
        <v>328</v>
      </c>
      <c r="AA96" s="4" t="s">
        <v>180</v>
      </c>
      <c r="AB96" s="4" t="s">
        <v>346</v>
      </c>
      <c r="AC96" s="4" t="s">
        <v>181</v>
      </c>
      <c r="AF96" s="4" t="s">
        <v>220</v>
      </c>
      <c r="AG96" s="4" t="s">
        <v>539</v>
      </c>
      <c r="AH96" s="4" t="s">
        <v>583</v>
      </c>
      <c r="AK96" s="4" t="s">
        <v>198</v>
      </c>
      <c r="AL96" s="4" t="s">
        <v>441</v>
      </c>
      <c r="AM96" s="4" t="s">
        <v>624</v>
      </c>
      <c r="AP96" s="4" t="s">
        <v>184</v>
      </c>
      <c r="AQ96" s="4" t="s">
        <v>441</v>
      </c>
      <c r="AR96" s="4" t="s">
        <v>683</v>
      </c>
      <c r="AZ96" s="4" t="s">
        <v>180</v>
      </c>
      <c r="BA96" s="4" t="s">
        <v>346</v>
      </c>
      <c r="BB96" s="4" t="s">
        <v>681</v>
      </c>
      <c r="BE96" s="4" t="s">
        <v>196</v>
      </c>
      <c r="BF96" s="4" t="s">
        <v>441</v>
      </c>
      <c r="BG96" s="4" t="s">
        <v>689</v>
      </c>
      <c r="BJ96" s="4" t="s">
        <v>198</v>
      </c>
      <c r="BK96" s="4" t="s">
        <v>441</v>
      </c>
      <c r="BL96" s="4" t="s">
        <v>811</v>
      </c>
      <c r="BT96" s="4" t="s">
        <v>224</v>
      </c>
      <c r="BU96" s="4" t="s">
        <v>446</v>
      </c>
      <c r="BV96" s="4" t="s">
        <v>941</v>
      </c>
      <c r="BY96" s="4" t="s">
        <v>217</v>
      </c>
      <c r="BZ96" s="4" t="s">
        <v>441</v>
      </c>
      <c r="CA96" s="4" t="s">
        <v>697</v>
      </c>
      <c r="CD96" s="4" t="s">
        <v>198</v>
      </c>
      <c r="CE96" s="4" t="s">
        <v>446</v>
      </c>
      <c r="CF96" s="4" t="s">
        <v>974</v>
      </c>
      <c r="CX96" s="4" t="s">
        <v>247</v>
      </c>
      <c r="CY96" s="4" t="s">
        <v>1660</v>
      </c>
      <c r="CZ96" s="4" t="s">
        <v>1661</v>
      </c>
      <c r="DC96" s="4" t="s">
        <v>205</v>
      </c>
      <c r="DD96" s="4" t="s">
        <v>441</v>
      </c>
      <c r="DE96" s="4" t="s">
        <v>1293</v>
      </c>
      <c r="DM96" s="4" t="s">
        <v>203</v>
      </c>
      <c r="DN96" s="4" t="s">
        <v>441</v>
      </c>
      <c r="DO96" s="4" t="s">
        <v>692</v>
      </c>
      <c r="DR96" s="4" t="s">
        <v>220</v>
      </c>
      <c r="DS96" s="4" t="s">
        <v>539</v>
      </c>
      <c r="DT96" s="4" t="s">
        <v>1489</v>
      </c>
    </row>
    <row r="97" spans="2:124">
      <c r="B97" s="4" t="s">
        <v>200</v>
      </c>
      <c r="C97" s="4" t="s">
        <v>32</v>
      </c>
      <c r="D97" s="4" t="s">
        <v>199</v>
      </c>
      <c r="G97" s="4" t="s">
        <v>200</v>
      </c>
      <c r="H97" s="4" t="s">
        <v>289</v>
      </c>
      <c r="I97" s="4" t="s">
        <v>199</v>
      </c>
      <c r="L97" s="4" t="s">
        <v>182</v>
      </c>
      <c r="M97" s="4" t="s">
        <v>32</v>
      </c>
      <c r="N97" s="4" t="s">
        <v>183</v>
      </c>
      <c r="Q97" s="4" t="s">
        <v>182</v>
      </c>
      <c r="R97" s="4" t="s">
        <v>289</v>
      </c>
      <c r="S97" s="4" t="s">
        <v>183</v>
      </c>
      <c r="AA97" s="4" t="s">
        <v>182</v>
      </c>
      <c r="AB97" s="4" t="s">
        <v>345</v>
      </c>
      <c r="AC97" s="4" t="s">
        <v>456</v>
      </c>
      <c r="AF97" s="4" t="s">
        <v>222</v>
      </c>
      <c r="AG97" s="4" t="s">
        <v>521</v>
      </c>
      <c r="AH97" s="4" t="s">
        <v>584</v>
      </c>
      <c r="AK97" s="4" t="s">
        <v>200</v>
      </c>
      <c r="AL97" s="4" t="s">
        <v>441</v>
      </c>
      <c r="AM97" s="4" t="s">
        <v>624</v>
      </c>
      <c r="AP97" s="4" t="s">
        <v>186</v>
      </c>
      <c r="AQ97" s="4" t="s">
        <v>441</v>
      </c>
      <c r="AR97" s="4" t="s">
        <v>684</v>
      </c>
      <c r="AZ97" s="4" t="s">
        <v>182</v>
      </c>
      <c r="BA97" s="4" t="s">
        <v>345</v>
      </c>
      <c r="BB97" s="4" t="s">
        <v>682</v>
      </c>
      <c r="BE97" s="4" t="s">
        <v>198</v>
      </c>
      <c r="BF97" s="4" t="s">
        <v>441</v>
      </c>
      <c r="BG97" s="4" t="s">
        <v>690</v>
      </c>
      <c r="BJ97" s="4" t="s">
        <v>200</v>
      </c>
      <c r="BK97" s="4" t="s">
        <v>441</v>
      </c>
      <c r="BL97" s="4" t="s">
        <v>811</v>
      </c>
      <c r="BT97" s="4" t="s">
        <v>226</v>
      </c>
      <c r="BU97" s="4" t="s">
        <v>436</v>
      </c>
      <c r="BV97" s="4" t="s">
        <v>942</v>
      </c>
      <c r="BY97" s="4" t="s">
        <v>218</v>
      </c>
      <c r="BZ97" s="4" t="s">
        <v>345</v>
      </c>
      <c r="CA97" s="4" t="s">
        <v>698</v>
      </c>
      <c r="CD97" s="4" t="s">
        <v>200</v>
      </c>
      <c r="CE97" s="4" t="s">
        <v>446</v>
      </c>
      <c r="CF97" s="4" t="s">
        <v>980</v>
      </c>
      <c r="CX97" s="4" t="s">
        <v>249</v>
      </c>
      <c r="CY97" s="4" t="s">
        <v>1582</v>
      </c>
      <c r="CZ97" s="4" t="s">
        <v>1266</v>
      </c>
      <c r="DC97" s="4" t="s">
        <v>206</v>
      </c>
      <c r="DD97" s="4" t="s">
        <v>441</v>
      </c>
      <c r="DE97" s="4" t="s">
        <v>1294</v>
      </c>
      <c r="DM97" s="4" t="s">
        <v>205</v>
      </c>
      <c r="DN97" s="4" t="s">
        <v>441</v>
      </c>
      <c r="DO97" s="4" t="s">
        <v>692</v>
      </c>
      <c r="DR97" s="4" t="s">
        <v>222</v>
      </c>
      <c r="DS97" s="4" t="s">
        <v>521</v>
      </c>
      <c r="DT97" s="4" t="s">
        <v>1490</v>
      </c>
    </row>
    <row r="98" spans="2:124">
      <c r="B98" s="4" t="s">
        <v>201</v>
      </c>
      <c r="C98" s="4" t="s">
        <v>55</v>
      </c>
      <c r="D98" s="4" t="s">
        <v>202</v>
      </c>
      <c r="G98" s="4" t="s">
        <v>201</v>
      </c>
      <c r="H98" s="4" t="s">
        <v>293</v>
      </c>
      <c r="I98" s="4" t="s">
        <v>202</v>
      </c>
      <c r="L98" s="4" t="s">
        <v>184</v>
      </c>
      <c r="M98" s="4" t="s">
        <v>32</v>
      </c>
      <c r="N98" s="4" t="s">
        <v>301</v>
      </c>
      <c r="Q98" s="4" t="s">
        <v>184</v>
      </c>
      <c r="R98" s="4" t="s">
        <v>289</v>
      </c>
      <c r="S98" s="4" t="s">
        <v>301</v>
      </c>
      <c r="AA98" s="4" t="s">
        <v>184</v>
      </c>
      <c r="AB98" s="4" t="s">
        <v>345</v>
      </c>
      <c r="AC98" s="4" t="s">
        <v>301</v>
      </c>
      <c r="AF98" s="4" t="s">
        <v>224</v>
      </c>
      <c r="AG98" s="4" t="s">
        <v>585</v>
      </c>
      <c r="AH98" s="4" t="s">
        <v>586</v>
      </c>
      <c r="AK98" s="4" t="s">
        <v>201</v>
      </c>
      <c r="AL98" s="4" t="s">
        <v>441</v>
      </c>
      <c r="AM98" s="4" t="s">
        <v>625</v>
      </c>
      <c r="AP98" s="4" t="s">
        <v>188</v>
      </c>
      <c r="AQ98" s="4" t="s">
        <v>441</v>
      </c>
      <c r="AR98" s="4" t="s">
        <v>685</v>
      </c>
      <c r="AZ98" s="4" t="s">
        <v>184</v>
      </c>
      <c r="BA98" s="4" t="s">
        <v>345</v>
      </c>
      <c r="BB98" s="4" t="s">
        <v>683</v>
      </c>
      <c r="BE98" s="4" t="s">
        <v>200</v>
      </c>
      <c r="BF98" s="4" t="s">
        <v>441</v>
      </c>
      <c r="BG98" s="4" t="s">
        <v>690</v>
      </c>
      <c r="BJ98" s="4" t="s">
        <v>201</v>
      </c>
      <c r="BK98" s="4" t="s">
        <v>441</v>
      </c>
      <c r="BL98" s="4" t="s">
        <v>812</v>
      </c>
      <c r="BT98" s="4" t="s">
        <v>227</v>
      </c>
      <c r="BU98" s="4" t="s">
        <v>393</v>
      </c>
      <c r="BV98" s="4" t="s">
        <v>943</v>
      </c>
      <c r="BY98" s="4" t="s">
        <v>220</v>
      </c>
      <c r="BZ98" s="4" t="s">
        <v>441</v>
      </c>
      <c r="CA98" s="4" t="s">
        <v>699</v>
      </c>
      <c r="CD98" s="4" t="s">
        <v>201</v>
      </c>
      <c r="CE98" s="4" t="s">
        <v>446</v>
      </c>
      <c r="CF98" s="4" t="s">
        <v>1003</v>
      </c>
      <c r="CX98" s="4" t="s">
        <v>253</v>
      </c>
      <c r="CY98" s="4" t="s">
        <v>1662</v>
      </c>
      <c r="CZ98" s="4" t="s">
        <v>1268</v>
      </c>
      <c r="DC98" s="4" t="s">
        <v>208</v>
      </c>
      <c r="DD98" s="4" t="s">
        <v>441</v>
      </c>
      <c r="DE98" s="4" t="s">
        <v>1295</v>
      </c>
      <c r="DM98" s="4" t="s">
        <v>206</v>
      </c>
      <c r="DN98" s="4" t="s">
        <v>441</v>
      </c>
      <c r="DO98" s="4" t="s">
        <v>693</v>
      </c>
      <c r="DR98" s="4" t="s">
        <v>224</v>
      </c>
      <c r="DS98" s="4" t="s">
        <v>585</v>
      </c>
      <c r="DT98" s="4" t="s">
        <v>1491</v>
      </c>
    </row>
    <row r="99" spans="2:124">
      <c r="B99" s="4" t="s">
        <v>203</v>
      </c>
      <c r="C99" s="4" t="s">
        <v>32</v>
      </c>
      <c r="D99" s="4" t="s">
        <v>204</v>
      </c>
      <c r="G99" s="4" t="s">
        <v>203</v>
      </c>
      <c r="H99" s="4" t="s">
        <v>289</v>
      </c>
      <c r="I99" s="4" t="s">
        <v>204</v>
      </c>
      <c r="L99" s="4" t="s">
        <v>186</v>
      </c>
      <c r="M99" s="4" t="s">
        <v>32</v>
      </c>
      <c r="N99" s="4" t="s">
        <v>329</v>
      </c>
      <c r="Q99" s="4" t="s">
        <v>186</v>
      </c>
      <c r="R99" s="4" t="s">
        <v>289</v>
      </c>
      <c r="S99" s="4" t="s">
        <v>187</v>
      </c>
      <c r="AA99" s="4" t="s">
        <v>186</v>
      </c>
      <c r="AB99" s="4" t="s">
        <v>345</v>
      </c>
      <c r="AC99" s="4" t="s">
        <v>329</v>
      </c>
      <c r="AF99" s="4" t="s">
        <v>226</v>
      </c>
      <c r="AG99" s="4" t="s">
        <v>356</v>
      </c>
      <c r="AH99" s="4" t="s">
        <v>587</v>
      </c>
      <c r="AK99" s="4" t="s">
        <v>203</v>
      </c>
      <c r="AL99" s="4" t="s">
        <v>441</v>
      </c>
      <c r="AM99" s="4" t="s">
        <v>626</v>
      </c>
      <c r="AP99" s="4" t="s">
        <v>190</v>
      </c>
      <c r="AQ99" s="4" t="s">
        <v>441</v>
      </c>
      <c r="AR99" s="4" t="s">
        <v>686</v>
      </c>
      <c r="AZ99" s="4" t="s">
        <v>186</v>
      </c>
      <c r="BA99" s="4" t="s">
        <v>345</v>
      </c>
      <c r="BB99" s="4" t="s">
        <v>684</v>
      </c>
      <c r="BE99" s="4" t="s">
        <v>201</v>
      </c>
      <c r="BF99" s="4" t="s">
        <v>346</v>
      </c>
      <c r="BG99" s="4" t="s">
        <v>789</v>
      </c>
      <c r="BJ99" s="4" t="s">
        <v>203</v>
      </c>
      <c r="BK99" s="4" t="s">
        <v>441</v>
      </c>
      <c r="BL99" s="4" t="s">
        <v>813</v>
      </c>
      <c r="BT99" s="4" t="s">
        <v>228</v>
      </c>
      <c r="BU99" s="4" t="s">
        <v>944</v>
      </c>
      <c r="BV99" s="4" t="s">
        <v>945</v>
      </c>
      <c r="BY99" s="4" t="s">
        <v>222</v>
      </c>
      <c r="BZ99" s="4" t="s">
        <v>441</v>
      </c>
      <c r="CA99" s="4" t="s">
        <v>700</v>
      </c>
      <c r="CD99" s="4" t="s">
        <v>203</v>
      </c>
      <c r="CE99" s="4" t="s">
        <v>346</v>
      </c>
      <c r="CF99" s="4" t="s">
        <v>204</v>
      </c>
      <c r="CX99" s="4" t="s">
        <v>255</v>
      </c>
      <c r="CY99" s="4" t="s">
        <v>1663</v>
      </c>
      <c r="CZ99" s="4" t="s">
        <v>1664</v>
      </c>
      <c r="DC99" s="4" t="s">
        <v>210</v>
      </c>
      <c r="DD99" s="4" t="s">
        <v>441</v>
      </c>
      <c r="DE99" s="4" t="s">
        <v>1296</v>
      </c>
      <c r="DM99" s="4" t="s">
        <v>208</v>
      </c>
      <c r="DN99" s="4" t="s">
        <v>441</v>
      </c>
      <c r="DO99" s="4" t="s">
        <v>694</v>
      </c>
      <c r="DR99" s="4" t="s">
        <v>226</v>
      </c>
      <c r="DS99" s="4" t="s">
        <v>356</v>
      </c>
      <c r="DT99" s="4" t="s">
        <v>1492</v>
      </c>
    </row>
    <row r="100" spans="2:124">
      <c r="B100" s="4" t="s">
        <v>205</v>
      </c>
      <c r="C100" s="4" t="s">
        <v>32</v>
      </c>
      <c r="D100" s="4" t="s">
        <v>204</v>
      </c>
      <c r="G100" s="4" t="s">
        <v>205</v>
      </c>
      <c r="H100" s="4" t="s">
        <v>289</v>
      </c>
      <c r="I100" s="4" t="s">
        <v>204</v>
      </c>
      <c r="L100" s="4" t="s">
        <v>188</v>
      </c>
      <c r="M100" s="4" t="s">
        <v>32</v>
      </c>
      <c r="N100" s="4" t="s">
        <v>302</v>
      </c>
      <c r="Q100" s="4" t="s">
        <v>188</v>
      </c>
      <c r="R100" s="4" t="s">
        <v>289</v>
      </c>
      <c r="S100" s="4" t="s">
        <v>302</v>
      </c>
      <c r="AA100" s="4" t="s">
        <v>188</v>
      </c>
      <c r="AB100" s="4" t="s">
        <v>345</v>
      </c>
      <c r="AC100" s="4" t="s">
        <v>302</v>
      </c>
      <c r="AF100" s="4" t="s">
        <v>227</v>
      </c>
      <c r="AG100" s="4" t="s">
        <v>376</v>
      </c>
      <c r="AH100" s="4" t="s">
        <v>588</v>
      </c>
      <c r="AK100" s="4" t="s">
        <v>205</v>
      </c>
      <c r="AL100" s="4" t="s">
        <v>441</v>
      </c>
      <c r="AM100" s="4" t="s">
        <v>626</v>
      </c>
      <c r="AP100" s="4" t="s">
        <v>192</v>
      </c>
      <c r="AQ100" s="4" t="s">
        <v>441</v>
      </c>
      <c r="AR100" s="4" t="s">
        <v>687</v>
      </c>
      <c r="AZ100" s="4" t="s">
        <v>188</v>
      </c>
      <c r="BA100" s="4" t="s">
        <v>345</v>
      </c>
      <c r="BB100" s="4" t="s">
        <v>685</v>
      </c>
      <c r="BE100" s="4" t="s">
        <v>203</v>
      </c>
      <c r="BF100" s="4" t="s">
        <v>441</v>
      </c>
      <c r="BG100" s="4" t="s">
        <v>692</v>
      </c>
      <c r="BJ100" s="4" t="s">
        <v>205</v>
      </c>
      <c r="BK100" s="4" t="s">
        <v>441</v>
      </c>
      <c r="BL100" s="4" t="s">
        <v>813</v>
      </c>
      <c r="BT100" s="4" t="s">
        <v>232</v>
      </c>
      <c r="BU100" s="4" t="s">
        <v>345</v>
      </c>
      <c r="BV100" s="4" t="s">
        <v>946</v>
      </c>
      <c r="BY100" s="4" t="s">
        <v>224</v>
      </c>
      <c r="BZ100" s="4" t="s">
        <v>441</v>
      </c>
      <c r="CA100" s="4" t="s">
        <v>701</v>
      </c>
      <c r="CD100" s="4" t="s">
        <v>205</v>
      </c>
      <c r="CE100" s="4" t="s">
        <v>444</v>
      </c>
      <c r="CF100" s="4" t="s">
        <v>204</v>
      </c>
      <c r="CX100" s="4" t="s">
        <v>257</v>
      </c>
      <c r="CY100" s="4" t="s">
        <v>1271</v>
      </c>
      <c r="CZ100" s="4" t="s">
        <v>1272</v>
      </c>
      <c r="DC100" s="4" t="s">
        <v>212</v>
      </c>
      <c r="DD100" s="4" t="s">
        <v>441</v>
      </c>
      <c r="DE100" s="4" t="s">
        <v>1296</v>
      </c>
      <c r="DM100" s="4" t="s">
        <v>210</v>
      </c>
      <c r="DN100" s="4" t="s">
        <v>441</v>
      </c>
      <c r="DO100" s="4" t="s">
        <v>695</v>
      </c>
      <c r="DR100" s="4" t="s">
        <v>227</v>
      </c>
      <c r="DS100" s="4" t="s">
        <v>376</v>
      </c>
      <c r="DT100" s="4" t="s">
        <v>1493</v>
      </c>
    </row>
    <row r="101" spans="2:124">
      <c r="B101" s="4" t="s">
        <v>206</v>
      </c>
      <c r="C101" s="4" t="s">
        <v>32</v>
      </c>
      <c r="D101" s="4" t="s">
        <v>207</v>
      </c>
      <c r="G101" s="4" t="s">
        <v>206</v>
      </c>
      <c r="H101" s="4" t="s">
        <v>289</v>
      </c>
      <c r="I101" s="4" t="s">
        <v>207</v>
      </c>
      <c r="L101" s="4" t="s">
        <v>190</v>
      </c>
      <c r="M101" s="4" t="s">
        <v>32</v>
      </c>
      <c r="N101" s="4" t="s">
        <v>303</v>
      </c>
      <c r="Q101" s="4" t="s">
        <v>190</v>
      </c>
      <c r="R101" s="4" t="s">
        <v>289</v>
      </c>
      <c r="S101" s="4" t="s">
        <v>191</v>
      </c>
      <c r="AA101" s="4" t="s">
        <v>190</v>
      </c>
      <c r="AB101" s="4" t="s">
        <v>345</v>
      </c>
      <c r="AC101" s="4" t="s">
        <v>191</v>
      </c>
      <c r="AF101" s="4" t="s">
        <v>228</v>
      </c>
      <c r="AG101" s="4" t="s">
        <v>341</v>
      </c>
      <c r="AH101" s="4" t="s">
        <v>589</v>
      </c>
      <c r="AK101" s="4" t="s">
        <v>206</v>
      </c>
      <c r="AL101" s="4" t="s">
        <v>441</v>
      </c>
      <c r="AM101" s="4" t="s">
        <v>207</v>
      </c>
      <c r="AP101" s="4" t="s">
        <v>194</v>
      </c>
      <c r="AQ101" s="4" t="s">
        <v>441</v>
      </c>
      <c r="AR101" s="4" t="s">
        <v>688</v>
      </c>
      <c r="AZ101" s="4" t="s">
        <v>190</v>
      </c>
      <c r="BA101" s="4" t="s">
        <v>345</v>
      </c>
      <c r="BB101" s="4" t="s">
        <v>686</v>
      </c>
      <c r="BE101" s="4" t="s">
        <v>205</v>
      </c>
      <c r="BF101" s="4" t="s">
        <v>441</v>
      </c>
      <c r="BG101" s="4" t="s">
        <v>692</v>
      </c>
      <c r="BJ101" s="4" t="s">
        <v>206</v>
      </c>
      <c r="BK101" s="4" t="s">
        <v>441</v>
      </c>
      <c r="BL101" s="4" t="s">
        <v>814</v>
      </c>
      <c r="BT101" s="4" t="s">
        <v>235</v>
      </c>
      <c r="BU101" s="4" t="s">
        <v>360</v>
      </c>
      <c r="BV101" s="4" t="s">
        <v>947</v>
      </c>
      <c r="BY101" s="4" t="s">
        <v>226</v>
      </c>
      <c r="BZ101" s="4" t="s">
        <v>441</v>
      </c>
      <c r="CA101" s="4" t="s">
        <v>701</v>
      </c>
      <c r="CD101" s="4" t="s">
        <v>206</v>
      </c>
      <c r="CE101" s="4" t="s">
        <v>346</v>
      </c>
      <c r="CF101" s="4" t="s">
        <v>343</v>
      </c>
      <c r="CX101" s="4" t="s">
        <v>259</v>
      </c>
      <c r="CY101" s="4" t="s">
        <v>295</v>
      </c>
      <c r="CZ101" s="4" t="s">
        <v>1273</v>
      </c>
      <c r="DC101" s="4" t="s">
        <v>213</v>
      </c>
      <c r="DD101" s="4" t="s">
        <v>441</v>
      </c>
      <c r="DE101" s="4" t="s">
        <v>1297</v>
      </c>
      <c r="DM101" s="4" t="s">
        <v>212</v>
      </c>
      <c r="DN101" s="4" t="s">
        <v>441</v>
      </c>
      <c r="DO101" s="4" t="s">
        <v>695</v>
      </c>
      <c r="DR101" s="4" t="s">
        <v>228</v>
      </c>
      <c r="DS101" s="4" t="s">
        <v>341</v>
      </c>
      <c r="DT101" s="4" t="s">
        <v>1494</v>
      </c>
    </row>
    <row r="102" spans="2:124">
      <c r="B102" s="4" t="s">
        <v>208</v>
      </c>
      <c r="C102" s="4" t="s">
        <v>32</v>
      </c>
      <c r="D102" s="4" t="s">
        <v>209</v>
      </c>
      <c r="G102" s="4" t="s">
        <v>208</v>
      </c>
      <c r="H102" s="4" t="s">
        <v>289</v>
      </c>
      <c r="I102" s="4" t="s">
        <v>209</v>
      </c>
      <c r="L102" s="4" t="s">
        <v>192</v>
      </c>
      <c r="M102" s="4" t="s">
        <v>32</v>
      </c>
      <c r="N102" s="4" t="s">
        <v>330</v>
      </c>
      <c r="Q102" s="4" t="s">
        <v>192</v>
      </c>
      <c r="R102" s="4" t="s">
        <v>289</v>
      </c>
      <c r="S102" s="4" t="s">
        <v>193</v>
      </c>
      <c r="AA102" s="4" t="s">
        <v>192</v>
      </c>
      <c r="AB102" s="4" t="s">
        <v>345</v>
      </c>
      <c r="AC102" s="4" t="s">
        <v>193</v>
      </c>
      <c r="AF102" s="4" t="s">
        <v>232</v>
      </c>
      <c r="AG102" s="4" t="s">
        <v>346</v>
      </c>
      <c r="AH102" s="4" t="s">
        <v>590</v>
      </c>
      <c r="AK102" s="4" t="s">
        <v>208</v>
      </c>
      <c r="AL102" s="4" t="s">
        <v>441</v>
      </c>
      <c r="AM102" s="4" t="s">
        <v>209</v>
      </c>
      <c r="AP102" s="4" t="s">
        <v>196</v>
      </c>
      <c r="AQ102" s="4" t="s">
        <v>441</v>
      </c>
      <c r="AR102" s="4" t="s">
        <v>689</v>
      </c>
      <c r="AZ102" s="4" t="s">
        <v>192</v>
      </c>
      <c r="BA102" s="4" t="s">
        <v>345</v>
      </c>
      <c r="BB102" s="4" t="s">
        <v>687</v>
      </c>
      <c r="BE102" s="4" t="s">
        <v>206</v>
      </c>
      <c r="BF102" s="4" t="s">
        <v>441</v>
      </c>
      <c r="BG102" s="4" t="s">
        <v>693</v>
      </c>
      <c r="BJ102" s="4" t="s">
        <v>208</v>
      </c>
      <c r="BK102" s="4" t="s">
        <v>441</v>
      </c>
      <c r="BL102" s="4" t="s">
        <v>815</v>
      </c>
      <c r="BT102" s="4" t="s">
        <v>237</v>
      </c>
      <c r="BU102" s="4" t="s">
        <v>441</v>
      </c>
      <c r="BV102" s="4" t="s">
        <v>948</v>
      </c>
      <c r="BY102" s="4" t="s">
        <v>227</v>
      </c>
      <c r="BZ102" s="4" t="s">
        <v>441</v>
      </c>
      <c r="CA102" s="4" t="s">
        <v>701</v>
      </c>
      <c r="CD102" s="4" t="s">
        <v>208</v>
      </c>
      <c r="CE102" s="4" t="s">
        <v>434</v>
      </c>
      <c r="CF102" s="4" t="s">
        <v>1004</v>
      </c>
      <c r="CX102" s="4" t="s">
        <v>261</v>
      </c>
      <c r="CY102" s="4" t="s">
        <v>539</v>
      </c>
      <c r="CZ102" s="4" t="s">
        <v>1665</v>
      </c>
      <c r="DC102" s="4" t="s">
        <v>215</v>
      </c>
      <c r="DD102" s="4" t="s">
        <v>441</v>
      </c>
      <c r="DE102" s="4" t="s">
        <v>1298</v>
      </c>
      <c r="DM102" s="4" t="s">
        <v>213</v>
      </c>
      <c r="DN102" s="4" t="s">
        <v>441</v>
      </c>
      <c r="DO102" s="4" t="s">
        <v>696</v>
      </c>
      <c r="DR102" s="4" t="s">
        <v>232</v>
      </c>
      <c r="DS102" s="4" t="s">
        <v>346</v>
      </c>
      <c r="DT102" s="4" t="s">
        <v>1495</v>
      </c>
    </row>
    <row r="103" spans="2:124">
      <c r="B103" s="4" t="s">
        <v>210</v>
      </c>
      <c r="C103" s="4" t="s">
        <v>32</v>
      </c>
      <c r="D103" s="4" t="s">
        <v>211</v>
      </c>
      <c r="G103" s="4" t="s">
        <v>210</v>
      </c>
      <c r="H103" s="4" t="s">
        <v>289</v>
      </c>
      <c r="I103" s="4" t="s">
        <v>305</v>
      </c>
      <c r="L103" s="4" t="s">
        <v>194</v>
      </c>
      <c r="M103" s="4" t="s">
        <v>32</v>
      </c>
      <c r="N103" s="4" t="s">
        <v>195</v>
      </c>
      <c r="Q103" s="4" t="s">
        <v>194</v>
      </c>
      <c r="R103" s="4" t="s">
        <v>289</v>
      </c>
      <c r="S103" s="4" t="s">
        <v>195</v>
      </c>
      <c r="AA103" s="4" t="s">
        <v>194</v>
      </c>
      <c r="AB103" s="4" t="s">
        <v>345</v>
      </c>
      <c r="AC103" s="4" t="s">
        <v>195</v>
      </c>
      <c r="AF103" s="4" t="s">
        <v>235</v>
      </c>
      <c r="AG103" s="4" t="s">
        <v>555</v>
      </c>
      <c r="AH103" s="4" t="s">
        <v>591</v>
      </c>
      <c r="AK103" s="4" t="s">
        <v>210</v>
      </c>
      <c r="AL103" s="4" t="s">
        <v>441</v>
      </c>
      <c r="AM103" s="4" t="s">
        <v>211</v>
      </c>
      <c r="AP103" s="4" t="s">
        <v>198</v>
      </c>
      <c r="AQ103" s="4" t="s">
        <v>441</v>
      </c>
      <c r="AR103" s="4" t="s">
        <v>690</v>
      </c>
      <c r="AZ103" s="4" t="s">
        <v>194</v>
      </c>
      <c r="BA103" s="4" t="s">
        <v>345</v>
      </c>
      <c r="BB103" s="4" t="s">
        <v>688</v>
      </c>
      <c r="BE103" s="4" t="s">
        <v>208</v>
      </c>
      <c r="BF103" s="4" t="s">
        <v>441</v>
      </c>
      <c r="BG103" s="4" t="s">
        <v>694</v>
      </c>
      <c r="BJ103" s="4" t="s">
        <v>210</v>
      </c>
      <c r="BK103" s="4" t="s">
        <v>441</v>
      </c>
      <c r="BL103" s="4" t="s">
        <v>816</v>
      </c>
      <c r="BT103" s="4" t="s">
        <v>239</v>
      </c>
      <c r="BU103" s="4" t="s">
        <v>298</v>
      </c>
      <c r="BV103" s="4" t="s">
        <v>949</v>
      </c>
      <c r="BY103" s="4" t="s">
        <v>228</v>
      </c>
      <c r="BZ103" s="4" t="s">
        <v>441</v>
      </c>
      <c r="CA103" s="4" t="s">
        <v>701</v>
      </c>
      <c r="CD103" s="4" t="s">
        <v>210</v>
      </c>
      <c r="CE103" s="4" t="s">
        <v>360</v>
      </c>
      <c r="CF103" s="4" t="s">
        <v>305</v>
      </c>
      <c r="CX103" s="4" t="s">
        <v>263</v>
      </c>
      <c r="CY103" s="4" t="s">
        <v>32</v>
      </c>
      <c r="CZ103" s="4" t="s">
        <v>1276</v>
      </c>
      <c r="DC103" s="4" t="s">
        <v>217</v>
      </c>
      <c r="DD103" s="4" t="s">
        <v>441</v>
      </c>
      <c r="DE103" s="4" t="s">
        <v>1298</v>
      </c>
      <c r="DM103" s="4" t="s">
        <v>217</v>
      </c>
      <c r="DN103" s="4" t="s">
        <v>441</v>
      </c>
      <c r="DO103" s="4" t="s">
        <v>697</v>
      </c>
      <c r="DR103" s="4" t="s">
        <v>235</v>
      </c>
      <c r="DS103" s="4" t="s">
        <v>555</v>
      </c>
      <c r="DT103" s="4" t="s">
        <v>1496</v>
      </c>
    </row>
    <row r="104" spans="2:124">
      <c r="B104" s="4" t="s">
        <v>212</v>
      </c>
      <c r="C104" s="4" t="s">
        <v>32</v>
      </c>
      <c r="D104" s="4" t="s">
        <v>211</v>
      </c>
      <c r="G104" s="4" t="s">
        <v>212</v>
      </c>
      <c r="H104" s="4" t="s">
        <v>289</v>
      </c>
      <c r="I104" s="4" t="s">
        <v>305</v>
      </c>
      <c r="L104" s="4" t="s">
        <v>196</v>
      </c>
      <c r="M104" s="4" t="s">
        <v>32</v>
      </c>
      <c r="N104" s="4" t="s">
        <v>197</v>
      </c>
      <c r="Q104" s="4" t="s">
        <v>196</v>
      </c>
      <c r="R104" s="4" t="s">
        <v>289</v>
      </c>
      <c r="S104" s="4" t="s">
        <v>342</v>
      </c>
      <c r="AA104" s="4" t="s">
        <v>196</v>
      </c>
      <c r="AB104" s="4" t="s">
        <v>345</v>
      </c>
      <c r="AC104" s="4" t="s">
        <v>197</v>
      </c>
      <c r="AF104" s="4" t="s">
        <v>237</v>
      </c>
      <c r="AG104" s="4" t="s">
        <v>346</v>
      </c>
      <c r="AH104" s="4" t="s">
        <v>592</v>
      </c>
      <c r="AK104" s="4" t="s">
        <v>212</v>
      </c>
      <c r="AL104" s="4" t="s">
        <v>441</v>
      </c>
      <c r="AM104" s="4" t="s">
        <v>211</v>
      </c>
      <c r="AP104" s="4" t="s">
        <v>200</v>
      </c>
      <c r="AQ104" s="4" t="s">
        <v>441</v>
      </c>
      <c r="AR104" s="4" t="s">
        <v>690</v>
      </c>
      <c r="AZ104" s="4" t="s">
        <v>196</v>
      </c>
      <c r="BA104" s="4" t="s">
        <v>345</v>
      </c>
      <c r="BB104" s="4" t="s">
        <v>689</v>
      </c>
      <c r="BE104" s="4" t="s">
        <v>210</v>
      </c>
      <c r="BF104" s="4" t="s">
        <v>441</v>
      </c>
      <c r="BG104" s="4" t="s">
        <v>695</v>
      </c>
      <c r="BJ104" s="4" t="s">
        <v>212</v>
      </c>
      <c r="BK104" s="4" t="s">
        <v>441</v>
      </c>
      <c r="BL104" s="4" t="s">
        <v>816</v>
      </c>
      <c r="BT104" s="4" t="s">
        <v>241</v>
      </c>
      <c r="BU104" s="4" t="s">
        <v>445</v>
      </c>
      <c r="BV104" s="4" t="s">
        <v>950</v>
      </c>
      <c r="BY104" s="4" t="s">
        <v>231</v>
      </c>
      <c r="BZ104" s="4" t="s">
        <v>441</v>
      </c>
      <c r="CA104" s="4" t="s">
        <v>702</v>
      </c>
      <c r="CD104" s="4" t="s">
        <v>212</v>
      </c>
      <c r="CE104" s="4" t="s">
        <v>346</v>
      </c>
      <c r="CF104" s="4" t="s">
        <v>305</v>
      </c>
      <c r="CX104" s="4" t="s">
        <v>268</v>
      </c>
      <c r="CY104" s="4" t="s">
        <v>32</v>
      </c>
      <c r="CZ104" s="4" t="s">
        <v>1277</v>
      </c>
      <c r="DC104" s="4" t="s">
        <v>218</v>
      </c>
      <c r="DD104" s="4" t="s">
        <v>441</v>
      </c>
      <c r="DE104" s="4" t="s">
        <v>1299</v>
      </c>
      <c r="DM104" s="4" t="s">
        <v>218</v>
      </c>
      <c r="DN104" s="4" t="s">
        <v>345</v>
      </c>
      <c r="DO104" s="4" t="s">
        <v>698</v>
      </c>
      <c r="DR104" s="4" t="s">
        <v>237</v>
      </c>
      <c r="DS104" s="4" t="s">
        <v>346</v>
      </c>
      <c r="DT104" s="4" t="s">
        <v>1497</v>
      </c>
    </row>
    <row r="105" spans="2:124">
      <c r="B105" s="4" t="s">
        <v>213</v>
      </c>
      <c r="C105" s="4" t="s">
        <v>32</v>
      </c>
      <c r="D105" s="4" t="s">
        <v>214</v>
      </c>
      <c r="G105" s="4" t="s">
        <v>213</v>
      </c>
      <c r="H105" s="4" t="s">
        <v>289</v>
      </c>
      <c r="I105" s="4" t="s">
        <v>214</v>
      </c>
      <c r="L105" s="4" t="s">
        <v>198</v>
      </c>
      <c r="M105" s="4" t="s">
        <v>32</v>
      </c>
      <c r="N105" s="4" t="s">
        <v>199</v>
      </c>
      <c r="Q105" s="4" t="s">
        <v>198</v>
      </c>
      <c r="R105" s="4" t="s">
        <v>289</v>
      </c>
      <c r="S105" s="4" t="s">
        <v>199</v>
      </c>
      <c r="AA105" s="4" t="s">
        <v>198</v>
      </c>
      <c r="AB105" s="4" t="s">
        <v>345</v>
      </c>
      <c r="AC105" s="4" t="s">
        <v>199</v>
      </c>
      <c r="AF105" s="4" t="s">
        <v>239</v>
      </c>
      <c r="AG105" s="4" t="s">
        <v>593</v>
      </c>
      <c r="AH105" s="4" t="s">
        <v>594</v>
      </c>
      <c r="AK105" s="4" t="s">
        <v>213</v>
      </c>
      <c r="AL105" s="4" t="s">
        <v>441</v>
      </c>
      <c r="AM105" s="4" t="s">
        <v>214</v>
      </c>
      <c r="AP105" s="4" t="s">
        <v>201</v>
      </c>
      <c r="AQ105" s="4" t="s">
        <v>346</v>
      </c>
      <c r="AR105" s="4" t="s">
        <v>691</v>
      </c>
      <c r="AZ105" s="4" t="s">
        <v>198</v>
      </c>
      <c r="BA105" s="4" t="s">
        <v>345</v>
      </c>
      <c r="BB105" s="4" t="s">
        <v>690</v>
      </c>
      <c r="BE105" s="4" t="s">
        <v>212</v>
      </c>
      <c r="BF105" s="4" t="s">
        <v>441</v>
      </c>
      <c r="BG105" s="4" t="s">
        <v>695</v>
      </c>
      <c r="BJ105" s="4" t="s">
        <v>213</v>
      </c>
      <c r="BK105" s="4" t="s">
        <v>441</v>
      </c>
      <c r="BL105" s="4" t="s">
        <v>817</v>
      </c>
      <c r="BT105" s="4" t="s">
        <v>243</v>
      </c>
      <c r="BU105" s="4" t="s">
        <v>555</v>
      </c>
      <c r="BV105" s="4" t="s">
        <v>951</v>
      </c>
      <c r="BY105" s="4" t="s">
        <v>232</v>
      </c>
      <c r="BZ105" s="4" t="s">
        <v>441</v>
      </c>
      <c r="CA105" s="4" t="s">
        <v>703</v>
      </c>
      <c r="CD105" s="4" t="s">
        <v>213</v>
      </c>
      <c r="CE105" s="4" t="s">
        <v>345</v>
      </c>
      <c r="CF105" s="4" t="s">
        <v>1002</v>
      </c>
      <c r="CX105" s="4" t="s">
        <v>270</v>
      </c>
      <c r="CY105" s="4" t="s">
        <v>290</v>
      </c>
      <c r="CZ105" s="4" t="s">
        <v>1278</v>
      </c>
      <c r="DC105" s="4" t="s">
        <v>220</v>
      </c>
      <c r="DD105" s="4" t="s">
        <v>441</v>
      </c>
      <c r="DE105" s="4" t="s">
        <v>1300</v>
      </c>
      <c r="DM105" s="4" t="s">
        <v>220</v>
      </c>
      <c r="DN105" s="4" t="s">
        <v>441</v>
      </c>
      <c r="DO105" s="4" t="s">
        <v>699</v>
      </c>
      <c r="DR105" s="4" t="s">
        <v>239</v>
      </c>
      <c r="DS105" s="4" t="s">
        <v>593</v>
      </c>
      <c r="DT105" s="4" t="s">
        <v>1498</v>
      </c>
    </row>
    <row r="106" spans="2:124">
      <c r="B106" s="4" t="s">
        <v>215</v>
      </c>
      <c r="C106" s="4" t="s">
        <v>104</v>
      </c>
      <c r="D106" s="4" t="s">
        <v>216</v>
      </c>
      <c r="G106" s="4" t="s">
        <v>215</v>
      </c>
      <c r="H106" s="4" t="s">
        <v>298</v>
      </c>
      <c r="I106" s="4" t="s">
        <v>216</v>
      </c>
      <c r="L106" s="4" t="s">
        <v>200</v>
      </c>
      <c r="M106" s="4" t="s">
        <v>32</v>
      </c>
      <c r="N106" s="4" t="s">
        <v>199</v>
      </c>
      <c r="Q106" s="4" t="s">
        <v>200</v>
      </c>
      <c r="R106" s="4" t="s">
        <v>289</v>
      </c>
      <c r="S106" s="4" t="s">
        <v>199</v>
      </c>
      <c r="AA106" s="4" t="s">
        <v>200</v>
      </c>
      <c r="AB106" s="4" t="s">
        <v>345</v>
      </c>
      <c r="AC106" s="4" t="s">
        <v>199</v>
      </c>
      <c r="AF106" s="4" t="s">
        <v>241</v>
      </c>
      <c r="AG106" s="4" t="s">
        <v>361</v>
      </c>
      <c r="AH106" s="4" t="s">
        <v>595</v>
      </c>
      <c r="AK106" s="4" t="s">
        <v>215</v>
      </c>
      <c r="AL106" s="4" t="s">
        <v>441</v>
      </c>
      <c r="AM106" s="4" t="s">
        <v>216</v>
      </c>
      <c r="AP106" s="4" t="s">
        <v>203</v>
      </c>
      <c r="AQ106" s="4" t="s">
        <v>441</v>
      </c>
      <c r="AR106" s="4" t="s">
        <v>692</v>
      </c>
      <c r="AZ106" s="4" t="s">
        <v>200</v>
      </c>
      <c r="BA106" s="4" t="s">
        <v>345</v>
      </c>
      <c r="BB106" s="4" t="s">
        <v>690</v>
      </c>
      <c r="BE106" s="4" t="s">
        <v>213</v>
      </c>
      <c r="BF106" s="4" t="s">
        <v>441</v>
      </c>
      <c r="BG106" s="4" t="s">
        <v>696</v>
      </c>
      <c r="BJ106" s="4" t="s">
        <v>215</v>
      </c>
      <c r="BK106" s="4" t="s">
        <v>441</v>
      </c>
      <c r="BL106" s="4" t="s">
        <v>766</v>
      </c>
      <c r="BT106" s="4" t="s">
        <v>245</v>
      </c>
      <c r="BU106" s="4" t="s">
        <v>298</v>
      </c>
      <c r="BV106" s="4" t="s">
        <v>863</v>
      </c>
      <c r="BY106" s="4" t="s">
        <v>234</v>
      </c>
      <c r="BZ106" s="4" t="s">
        <v>441</v>
      </c>
      <c r="CA106" s="4" t="s">
        <v>703</v>
      </c>
      <c r="CD106" s="4" t="s">
        <v>215</v>
      </c>
      <c r="CE106" s="4" t="s">
        <v>441</v>
      </c>
      <c r="CF106" s="4" t="s">
        <v>1005</v>
      </c>
      <c r="CX106" s="4" t="s">
        <v>272</v>
      </c>
      <c r="CY106" s="4" t="s">
        <v>515</v>
      </c>
      <c r="CZ106" s="4" t="s">
        <v>1279</v>
      </c>
      <c r="DC106" s="4" t="s">
        <v>222</v>
      </c>
      <c r="DD106" s="4" t="s">
        <v>441</v>
      </c>
      <c r="DE106" s="4" t="s">
        <v>1301</v>
      </c>
      <c r="DM106" s="4" t="s">
        <v>222</v>
      </c>
      <c r="DN106" s="4" t="s">
        <v>441</v>
      </c>
      <c r="DO106" s="4" t="s">
        <v>700</v>
      </c>
      <c r="DR106" s="4" t="s">
        <v>241</v>
      </c>
      <c r="DS106" s="4" t="s">
        <v>361</v>
      </c>
      <c r="DT106" s="4" t="s">
        <v>1499</v>
      </c>
    </row>
    <row r="107" spans="2:124">
      <c r="B107" s="4" t="s">
        <v>217</v>
      </c>
      <c r="C107" s="4" t="s">
        <v>32</v>
      </c>
      <c r="D107" s="4" t="s">
        <v>216</v>
      </c>
      <c r="G107" s="4" t="s">
        <v>217</v>
      </c>
      <c r="H107" s="4" t="s">
        <v>289</v>
      </c>
      <c r="I107" s="4" t="s">
        <v>216</v>
      </c>
      <c r="L107" s="4" t="s">
        <v>201</v>
      </c>
      <c r="M107" s="4" t="s">
        <v>35</v>
      </c>
      <c r="N107" s="4" t="s">
        <v>331</v>
      </c>
      <c r="Q107" s="4" t="s">
        <v>201</v>
      </c>
      <c r="R107" s="4" t="s">
        <v>290</v>
      </c>
      <c r="S107" s="4" t="s">
        <v>331</v>
      </c>
      <c r="AA107" s="4" t="s">
        <v>201</v>
      </c>
      <c r="AB107" s="4" t="s">
        <v>346</v>
      </c>
      <c r="AC107" s="4" t="s">
        <v>202</v>
      </c>
      <c r="AF107" s="4" t="s">
        <v>243</v>
      </c>
      <c r="AG107" s="4" t="s">
        <v>478</v>
      </c>
      <c r="AH107" s="4" t="s">
        <v>596</v>
      </c>
      <c r="AK107" s="4" t="s">
        <v>217</v>
      </c>
      <c r="AL107" s="4" t="s">
        <v>441</v>
      </c>
      <c r="AM107" s="4" t="s">
        <v>216</v>
      </c>
      <c r="AP107" s="4" t="s">
        <v>205</v>
      </c>
      <c r="AQ107" s="4" t="s">
        <v>441</v>
      </c>
      <c r="AR107" s="4" t="s">
        <v>692</v>
      </c>
      <c r="AZ107" s="4" t="s">
        <v>201</v>
      </c>
      <c r="BA107" s="4" t="s">
        <v>346</v>
      </c>
      <c r="BB107" s="4" t="s">
        <v>702</v>
      </c>
      <c r="BE107" s="4" t="s">
        <v>217</v>
      </c>
      <c r="BF107" s="4" t="s">
        <v>441</v>
      </c>
      <c r="BG107" s="4" t="s">
        <v>697</v>
      </c>
      <c r="BJ107" s="4" t="s">
        <v>217</v>
      </c>
      <c r="BK107" s="4" t="s">
        <v>441</v>
      </c>
      <c r="BL107" s="4" t="s">
        <v>766</v>
      </c>
      <c r="BT107" s="4" t="s">
        <v>247</v>
      </c>
      <c r="BU107" s="4" t="s">
        <v>298</v>
      </c>
      <c r="BV107" s="4" t="s">
        <v>952</v>
      </c>
      <c r="BY107" s="4" t="s">
        <v>235</v>
      </c>
      <c r="BZ107" s="4" t="s">
        <v>441</v>
      </c>
      <c r="CA107" s="4" t="s">
        <v>704</v>
      </c>
      <c r="CD107" s="4" t="s">
        <v>217</v>
      </c>
      <c r="CE107" s="4" t="s">
        <v>346</v>
      </c>
      <c r="CF107" s="4" t="s">
        <v>1005</v>
      </c>
      <c r="DC107" s="4" t="s">
        <v>224</v>
      </c>
      <c r="DD107" s="4" t="s">
        <v>441</v>
      </c>
      <c r="DE107" s="4" t="s">
        <v>1302</v>
      </c>
      <c r="DM107" s="4" t="s">
        <v>224</v>
      </c>
      <c r="DN107" s="4" t="s">
        <v>441</v>
      </c>
      <c r="DO107" s="4" t="s">
        <v>701</v>
      </c>
      <c r="DR107" s="4" t="s">
        <v>243</v>
      </c>
      <c r="DS107" s="4" t="s">
        <v>478</v>
      </c>
      <c r="DT107" s="4" t="s">
        <v>1500</v>
      </c>
    </row>
    <row r="108" spans="2:124">
      <c r="B108" s="4" t="s">
        <v>218</v>
      </c>
      <c r="C108" s="4" t="s">
        <v>55</v>
      </c>
      <c r="D108" s="4" t="s">
        <v>219</v>
      </c>
      <c r="G108" s="4" t="s">
        <v>218</v>
      </c>
      <c r="H108" s="4" t="s">
        <v>293</v>
      </c>
      <c r="I108" s="4" t="s">
        <v>219</v>
      </c>
      <c r="L108" s="4" t="s">
        <v>203</v>
      </c>
      <c r="M108" s="4" t="s">
        <v>32</v>
      </c>
      <c r="N108" s="4" t="s">
        <v>204</v>
      </c>
      <c r="Q108" s="4" t="s">
        <v>203</v>
      </c>
      <c r="R108" s="4" t="s">
        <v>289</v>
      </c>
      <c r="S108" s="4" t="s">
        <v>204</v>
      </c>
      <c r="AA108" s="4" t="s">
        <v>203</v>
      </c>
      <c r="AB108" s="4" t="s">
        <v>345</v>
      </c>
      <c r="AC108" s="4" t="s">
        <v>204</v>
      </c>
      <c r="AF108" s="4" t="s">
        <v>245</v>
      </c>
      <c r="AG108" s="4" t="s">
        <v>298</v>
      </c>
      <c r="AH108" s="4" t="s">
        <v>597</v>
      </c>
      <c r="AK108" s="4" t="s">
        <v>218</v>
      </c>
      <c r="AL108" s="4" t="s">
        <v>441</v>
      </c>
      <c r="AM108" s="4" t="s">
        <v>627</v>
      </c>
      <c r="AP108" s="4" t="s">
        <v>206</v>
      </c>
      <c r="AQ108" s="4" t="s">
        <v>441</v>
      </c>
      <c r="AR108" s="4" t="s">
        <v>693</v>
      </c>
      <c r="AZ108" s="4" t="s">
        <v>203</v>
      </c>
      <c r="BA108" s="4" t="s">
        <v>345</v>
      </c>
      <c r="BB108" s="4" t="s">
        <v>692</v>
      </c>
      <c r="BE108" s="4" t="s">
        <v>218</v>
      </c>
      <c r="BF108" s="4" t="s">
        <v>345</v>
      </c>
      <c r="BG108" s="4" t="s">
        <v>698</v>
      </c>
      <c r="BJ108" s="4" t="s">
        <v>218</v>
      </c>
      <c r="BK108" s="4" t="s">
        <v>441</v>
      </c>
      <c r="BL108" s="4" t="s">
        <v>818</v>
      </c>
      <c r="BT108" s="4" t="s">
        <v>249</v>
      </c>
      <c r="BU108" s="4" t="s">
        <v>603</v>
      </c>
      <c r="BV108" s="4" t="s">
        <v>953</v>
      </c>
      <c r="BY108" s="4" t="s">
        <v>237</v>
      </c>
      <c r="BZ108" s="4" t="s">
        <v>441</v>
      </c>
      <c r="CA108" s="4" t="s">
        <v>768</v>
      </c>
      <c r="CD108" s="4" t="s">
        <v>218</v>
      </c>
      <c r="CE108" s="4" t="s">
        <v>446</v>
      </c>
      <c r="CF108" s="4" t="s">
        <v>1006</v>
      </c>
      <c r="DC108" s="4" t="s">
        <v>226</v>
      </c>
      <c r="DD108" s="4" t="s">
        <v>441</v>
      </c>
      <c r="DE108" s="4" t="s">
        <v>1302</v>
      </c>
      <c r="DM108" s="4" t="s">
        <v>226</v>
      </c>
      <c r="DN108" s="4" t="s">
        <v>441</v>
      </c>
      <c r="DO108" s="4" t="s">
        <v>701</v>
      </c>
      <c r="DR108" s="4" t="s">
        <v>245</v>
      </c>
      <c r="DS108" s="4" t="s">
        <v>298</v>
      </c>
      <c r="DT108" s="4" t="s">
        <v>1501</v>
      </c>
    </row>
    <row r="109" spans="2:124">
      <c r="B109" s="4" t="s">
        <v>220</v>
      </c>
      <c r="C109" s="4" t="s">
        <v>32</v>
      </c>
      <c r="D109" s="4" t="s">
        <v>221</v>
      </c>
      <c r="G109" s="4" t="s">
        <v>220</v>
      </c>
      <c r="H109" s="4" t="s">
        <v>289</v>
      </c>
      <c r="I109" s="4" t="s">
        <v>306</v>
      </c>
      <c r="L109" s="4" t="s">
        <v>205</v>
      </c>
      <c r="M109" s="4" t="s">
        <v>32</v>
      </c>
      <c r="N109" s="4" t="s">
        <v>204</v>
      </c>
      <c r="Q109" s="4" t="s">
        <v>205</v>
      </c>
      <c r="R109" s="4" t="s">
        <v>289</v>
      </c>
      <c r="S109" s="4" t="s">
        <v>204</v>
      </c>
      <c r="AA109" s="4" t="s">
        <v>205</v>
      </c>
      <c r="AB109" s="4" t="s">
        <v>345</v>
      </c>
      <c r="AC109" s="4" t="s">
        <v>204</v>
      </c>
      <c r="AF109" s="4" t="s">
        <v>247</v>
      </c>
      <c r="AG109" s="4" t="s">
        <v>402</v>
      </c>
      <c r="AH109" s="4" t="s">
        <v>598</v>
      </c>
      <c r="AK109" s="4" t="s">
        <v>220</v>
      </c>
      <c r="AL109" s="4" t="s">
        <v>441</v>
      </c>
      <c r="AM109" s="4" t="s">
        <v>221</v>
      </c>
      <c r="AP109" s="4" t="s">
        <v>208</v>
      </c>
      <c r="AQ109" s="4" t="s">
        <v>441</v>
      </c>
      <c r="AR109" s="4" t="s">
        <v>694</v>
      </c>
      <c r="AZ109" s="4" t="s">
        <v>205</v>
      </c>
      <c r="BA109" s="4" t="s">
        <v>345</v>
      </c>
      <c r="BB109" s="4" t="s">
        <v>692</v>
      </c>
      <c r="BE109" s="4" t="s">
        <v>220</v>
      </c>
      <c r="BF109" s="4" t="s">
        <v>441</v>
      </c>
      <c r="BG109" s="4" t="s">
        <v>699</v>
      </c>
      <c r="BJ109" s="4" t="s">
        <v>220</v>
      </c>
      <c r="BK109" s="4" t="s">
        <v>441</v>
      </c>
      <c r="BL109" s="4" t="s">
        <v>819</v>
      </c>
      <c r="BT109" s="4" t="s">
        <v>253</v>
      </c>
      <c r="BU109" s="4" t="s">
        <v>445</v>
      </c>
      <c r="BV109" s="4" t="s">
        <v>954</v>
      </c>
      <c r="BY109" s="4" t="s">
        <v>239</v>
      </c>
      <c r="BZ109" s="4" t="s">
        <v>441</v>
      </c>
      <c r="CA109" s="4" t="s">
        <v>706</v>
      </c>
      <c r="CD109" s="4" t="s">
        <v>220</v>
      </c>
      <c r="CE109" s="4" t="s">
        <v>346</v>
      </c>
      <c r="CF109" s="4" t="s">
        <v>306</v>
      </c>
      <c r="DC109" s="4" t="s">
        <v>227</v>
      </c>
      <c r="DD109" s="4" t="s">
        <v>441</v>
      </c>
      <c r="DE109" s="4" t="s">
        <v>1302</v>
      </c>
      <c r="DM109" s="4" t="s">
        <v>227</v>
      </c>
      <c r="DN109" s="4" t="s">
        <v>441</v>
      </c>
      <c r="DO109" s="4" t="s">
        <v>701</v>
      </c>
      <c r="DR109" s="4" t="s">
        <v>247</v>
      </c>
      <c r="DS109" s="4" t="s">
        <v>402</v>
      </c>
      <c r="DT109" s="4" t="s">
        <v>1502</v>
      </c>
    </row>
    <row r="110" spans="2:124">
      <c r="B110" s="4" t="s">
        <v>222</v>
      </c>
      <c r="C110" s="4" t="s">
        <v>32</v>
      </c>
      <c r="D110" s="4" t="s">
        <v>223</v>
      </c>
      <c r="G110" s="4" t="s">
        <v>222</v>
      </c>
      <c r="H110" s="4" t="s">
        <v>289</v>
      </c>
      <c r="I110" s="4" t="s">
        <v>223</v>
      </c>
      <c r="L110" s="4" t="s">
        <v>206</v>
      </c>
      <c r="M110" s="4" t="s">
        <v>32</v>
      </c>
      <c r="N110" s="4" t="s">
        <v>207</v>
      </c>
      <c r="Q110" s="4" t="s">
        <v>206</v>
      </c>
      <c r="R110" s="4" t="s">
        <v>289</v>
      </c>
      <c r="S110" s="4" t="s">
        <v>343</v>
      </c>
      <c r="AA110" s="4" t="s">
        <v>206</v>
      </c>
      <c r="AB110" s="4" t="s">
        <v>345</v>
      </c>
      <c r="AC110" s="4" t="s">
        <v>207</v>
      </c>
      <c r="AF110" s="4" t="s">
        <v>249</v>
      </c>
      <c r="AG110" s="4" t="s">
        <v>293</v>
      </c>
      <c r="AH110" s="4" t="s">
        <v>599</v>
      </c>
      <c r="AK110" s="4" t="s">
        <v>222</v>
      </c>
      <c r="AL110" s="4" t="s">
        <v>441</v>
      </c>
      <c r="AM110" s="4" t="s">
        <v>628</v>
      </c>
      <c r="AP110" s="4" t="s">
        <v>210</v>
      </c>
      <c r="AQ110" s="4" t="s">
        <v>441</v>
      </c>
      <c r="AR110" s="4" t="s">
        <v>695</v>
      </c>
      <c r="AZ110" s="4" t="s">
        <v>206</v>
      </c>
      <c r="BA110" s="4" t="s">
        <v>345</v>
      </c>
      <c r="BB110" s="4" t="s">
        <v>693</v>
      </c>
      <c r="BE110" s="4" t="s">
        <v>222</v>
      </c>
      <c r="BF110" s="4" t="s">
        <v>441</v>
      </c>
      <c r="BG110" s="4" t="s">
        <v>700</v>
      </c>
      <c r="BJ110" s="4" t="s">
        <v>222</v>
      </c>
      <c r="BK110" s="4" t="s">
        <v>441</v>
      </c>
      <c r="BL110" s="4" t="s">
        <v>820</v>
      </c>
      <c r="BT110" s="4" t="s">
        <v>255</v>
      </c>
      <c r="BU110" s="4" t="s">
        <v>436</v>
      </c>
      <c r="BV110" s="4" t="s">
        <v>955</v>
      </c>
      <c r="BY110" s="4" t="s">
        <v>241</v>
      </c>
      <c r="BZ110" s="4" t="s">
        <v>441</v>
      </c>
      <c r="CA110" s="4" t="s">
        <v>707</v>
      </c>
      <c r="CD110" s="4" t="s">
        <v>222</v>
      </c>
      <c r="CE110" s="4" t="s">
        <v>346</v>
      </c>
      <c r="CF110" s="4" t="s">
        <v>1007</v>
      </c>
      <c r="DC110" s="4" t="s">
        <v>228</v>
      </c>
      <c r="DD110" s="4" t="s">
        <v>441</v>
      </c>
      <c r="DE110" s="4" t="s">
        <v>1302</v>
      </c>
      <c r="DM110" s="4" t="s">
        <v>228</v>
      </c>
      <c r="DN110" s="4" t="s">
        <v>441</v>
      </c>
      <c r="DO110" s="4" t="s">
        <v>701</v>
      </c>
      <c r="DR110" s="4" t="s">
        <v>249</v>
      </c>
      <c r="DS110" s="4" t="s">
        <v>293</v>
      </c>
      <c r="DT110" s="4" t="s">
        <v>1503</v>
      </c>
    </row>
    <row r="111" spans="2:124">
      <c r="B111" s="4" t="s">
        <v>224</v>
      </c>
      <c r="C111" s="4" t="s">
        <v>32</v>
      </c>
      <c r="D111" s="4" t="s">
        <v>225</v>
      </c>
      <c r="G111" s="4" t="s">
        <v>224</v>
      </c>
      <c r="H111" s="4" t="s">
        <v>289</v>
      </c>
      <c r="I111" s="4" t="s">
        <v>225</v>
      </c>
      <c r="L111" s="4" t="s">
        <v>208</v>
      </c>
      <c r="M111" s="4" t="s">
        <v>32</v>
      </c>
      <c r="N111" s="4" t="s">
        <v>209</v>
      </c>
      <c r="Q111" s="4" t="s">
        <v>208</v>
      </c>
      <c r="R111" s="4" t="s">
        <v>289</v>
      </c>
      <c r="S111" s="4" t="s">
        <v>344</v>
      </c>
      <c r="AA111" s="4" t="s">
        <v>208</v>
      </c>
      <c r="AB111" s="4" t="s">
        <v>345</v>
      </c>
      <c r="AC111" s="4" t="s">
        <v>209</v>
      </c>
      <c r="AF111" s="4" t="s">
        <v>253</v>
      </c>
      <c r="AG111" s="4" t="s">
        <v>521</v>
      </c>
      <c r="AH111" s="4" t="s">
        <v>600</v>
      </c>
      <c r="AK111" s="4" t="s">
        <v>224</v>
      </c>
      <c r="AL111" s="4" t="s">
        <v>441</v>
      </c>
      <c r="AM111" s="4" t="s">
        <v>225</v>
      </c>
      <c r="AP111" s="4" t="s">
        <v>212</v>
      </c>
      <c r="AQ111" s="4" t="s">
        <v>441</v>
      </c>
      <c r="AR111" s="4" t="s">
        <v>695</v>
      </c>
      <c r="AZ111" s="4" t="s">
        <v>208</v>
      </c>
      <c r="BA111" s="4" t="s">
        <v>345</v>
      </c>
      <c r="BB111" s="4" t="s">
        <v>694</v>
      </c>
      <c r="BE111" s="4" t="s">
        <v>224</v>
      </c>
      <c r="BF111" s="4" t="s">
        <v>441</v>
      </c>
      <c r="BG111" s="4" t="s">
        <v>701</v>
      </c>
      <c r="BJ111" s="4" t="s">
        <v>224</v>
      </c>
      <c r="BK111" s="4" t="s">
        <v>441</v>
      </c>
      <c r="BL111" s="4" t="s">
        <v>821</v>
      </c>
      <c r="BT111" s="4" t="s">
        <v>257</v>
      </c>
      <c r="BU111" s="4" t="s">
        <v>603</v>
      </c>
      <c r="BV111" s="4" t="s">
        <v>956</v>
      </c>
      <c r="BY111" s="4" t="s">
        <v>243</v>
      </c>
      <c r="BZ111" s="4" t="s">
        <v>441</v>
      </c>
      <c r="CA111" s="4" t="s">
        <v>708</v>
      </c>
      <c r="CD111" s="4" t="s">
        <v>224</v>
      </c>
      <c r="CE111" s="4" t="s">
        <v>346</v>
      </c>
      <c r="CF111" s="4" t="s">
        <v>1008</v>
      </c>
      <c r="DC111" s="4" t="s">
        <v>229</v>
      </c>
      <c r="DD111" s="4" t="s">
        <v>441</v>
      </c>
      <c r="DE111" s="4" t="s">
        <v>1303</v>
      </c>
      <c r="DM111" s="4" t="s">
        <v>231</v>
      </c>
      <c r="DN111" s="4" t="s">
        <v>441</v>
      </c>
      <c r="DO111" s="4" t="s">
        <v>702</v>
      </c>
      <c r="DR111" s="4" t="s">
        <v>253</v>
      </c>
      <c r="DS111" s="4" t="s">
        <v>521</v>
      </c>
      <c r="DT111" s="4" t="s">
        <v>1504</v>
      </c>
    </row>
    <row r="112" spans="2:124">
      <c r="B112" s="4" t="s">
        <v>226</v>
      </c>
      <c r="C112" s="4" t="s">
        <v>32</v>
      </c>
      <c r="D112" s="4" t="s">
        <v>225</v>
      </c>
      <c r="G112" s="4" t="s">
        <v>226</v>
      </c>
      <c r="H112" s="4" t="s">
        <v>289</v>
      </c>
      <c r="I112" s="4" t="s">
        <v>225</v>
      </c>
      <c r="L112" s="4" t="s">
        <v>210</v>
      </c>
      <c r="M112" s="4" t="s">
        <v>32</v>
      </c>
      <c r="N112" s="4" t="s">
        <v>305</v>
      </c>
      <c r="Q112" s="4" t="s">
        <v>210</v>
      </c>
      <c r="R112" s="4" t="s">
        <v>289</v>
      </c>
      <c r="S112" s="4" t="s">
        <v>305</v>
      </c>
      <c r="AA112" s="4" t="s">
        <v>210</v>
      </c>
      <c r="AB112" s="4" t="s">
        <v>345</v>
      </c>
      <c r="AC112" s="4" t="s">
        <v>305</v>
      </c>
      <c r="AF112" s="4" t="s">
        <v>255</v>
      </c>
      <c r="AG112" s="4" t="s">
        <v>440</v>
      </c>
      <c r="AH112" s="4" t="s">
        <v>601</v>
      </c>
      <c r="AK112" s="4" t="s">
        <v>226</v>
      </c>
      <c r="AL112" s="4" t="s">
        <v>441</v>
      </c>
      <c r="AM112" s="4" t="s">
        <v>225</v>
      </c>
      <c r="AP112" s="4" t="s">
        <v>213</v>
      </c>
      <c r="AQ112" s="4" t="s">
        <v>441</v>
      </c>
      <c r="AR112" s="4" t="s">
        <v>696</v>
      </c>
      <c r="AZ112" s="4" t="s">
        <v>210</v>
      </c>
      <c r="BA112" s="4" t="s">
        <v>345</v>
      </c>
      <c r="BB112" s="4" t="s">
        <v>695</v>
      </c>
      <c r="BE112" s="4" t="s">
        <v>226</v>
      </c>
      <c r="BF112" s="4" t="s">
        <v>441</v>
      </c>
      <c r="BG112" s="4" t="s">
        <v>701</v>
      </c>
      <c r="BJ112" s="4" t="s">
        <v>226</v>
      </c>
      <c r="BK112" s="4" t="s">
        <v>441</v>
      </c>
      <c r="BL112" s="4" t="s">
        <v>821</v>
      </c>
      <c r="BT112" s="4" t="s">
        <v>259</v>
      </c>
      <c r="BU112" s="4" t="s">
        <v>444</v>
      </c>
      <c r="BV112" s="4" t="s">
        <v>871</v>
      </c>
      <c r="BY112" s="4" t="s">
        <v>245</v>
      </c>
      <c r="BZ112" s="4" t="s">
        <v>345</v>
      </c>
      <c r="CA112" s="4" t="s">
        <v>965</v>
      </c>
      <c r="CD112" s="4" t="s">
        <v>226</v>
      </c>
      <c r="CE112" s="4" t="s">
        <v>446</v>
      </c>
      <c r="CF112" s="4" t="s">
        <v>1008</v>
      </c>
      <c r="DC112" s="4" t="s">
        <v>231</v>
      </c>
      <c r="DD112" s="4" t="s">
        <v>441</v>
      </c>
      <c r="DE112" s="4" t="s">
        <v>1304</v>
      </c>
      <c r="DM112" s="4" t="s">
        <v>232</v>
      </c>
      <c r="DN112" s="4" t="s">
        <v>441</v>
      </c>
      <c r="DO112" s="4" t="s">
        <v>703</v>
      </c>
      <c r="DR112" s="4" t="s">
        <v>255</v>
      </c>
      <c r="DS112" s="4" t="s">
        <v>440</v>
      </c>
      <c r="DT112" s="4" t="s">
        <v>1505</v>
      </c>
    </row>
    <row r="113" spans="2:124">
      <c r="B113" s="4" t="s">
        <v>227</v>
      </c>
      <c r="C113" s="4" t="s">
        <v>32</v>
      </c>
      <c r="D113" s="4" t="s">
        <v>225</v>
      </c>
      <c r="G113" s="4" t="s">
        <v>227</v>
      </c>
      <c r="H113" s="4" t="s">
        <v>289</v>
      </c>
      <c r="I113" s="4" t="s">
        <v>225</v>
      </c>
      <c r="L113" s="4" t="s">
        <v>212</v>
      </c>
      <c r="M113" s="4" t="s">
        <v>32</v>
      </c>
      <c r="N113" s="4" t="s">
        <v>305</v>
      </c>
      <c r="Q113" s="4" t="s">
        <v>212</v>
      </c>
      <c r="R113" s="4" t="s">
        <v>289</v>
      </c>
      <c r="S113" s="4" t="s">
        <v>305</v>
      </c>
      <c r="AA113" s="4" t="s">
        <v>212</v>
      </c>
      <c r="AB113" s="4" t="s">
        <v>345</v>
      </c>
      <c r="AC113" s="4" t="s">
        <v>305</v>
      </c>
      <c r="AF113" s="4" t="s">
        <v>257</v>
      </c>
      <c r="AG113" s="4" t="s">
        <v>434</v>
      </c>
      <c r="AH113" s="4" t="s">
        <v>602</v>
      </c>
      <c r="AK113" s="4" t="s">
        <v>227</v>
      </c>
      <c r="AL113" s="4" t="s">
        <v>441</v>
      </c>
      <c r="AM113" s="4" t="s">
        <v>225</v>
      </c>
      <c r="AP113" s="4" t="s">
        <v>217</v>
      </c>
      <c r="AQ113" s="4" t="s">
        <v>441</v>
      </c>
      <c r="AR113" s="4" t="s">
        <v>697</v>
      </c>
      <c r="AZ113" s="4" t="s">
        <v>212</v>
      </c>
      <c r="BA113" s="4" t="s">
        <v>345</v>
      </c>
      <c r="BB113" s="4" t="s">
        <v>695</v>
      </c>
      <c r="BE113" s="4" t="s">
        <v>227</v>
      </c>
      <c r="BF113" s="4" t="s">
        <v>441</v>
      </c>
      <c r="BG113" s="4" t="s">
        <v>701</v>
      </c>
      <c r="BJ113" s="4" t="s">
        <v>227</v>
      </c>
      <c r="BK113" s="4" t="s">
        <v>441</v>
      </c>
      <c r="BL113" s="4" t="s">
        <v>821</v>
      </c>
      <c r="BT113" s="4" t="s">
        <v>261</v>
      </c>
      <c r="BU113" s="4" t="s">
        <v>289</v>
      </c>
      <c r="BV113" s="4" t="s">
        <v>957</v>
      </c>
      <c r="BY113" s="4" t="s">
        <v>247</v>
      </c>
      <c r="BZ113" s="4" t="s">
        <v>441</v>
      </c>
      <c r="CA113" s="4" t="s">
        <v>710</v>
      </c>
      <c r="CD113" s="4" t="s">
        <v>227</v>
      </c>
      <c r="CE113" s="4" t="s">
        <v>446</v>
      </c>
      <c r="CF113" s="4" t="s">
        <v>1008</v>
      </c>
      <c r="DC113" s="4" t="s">
        <v>232</v>
      </c>
      <c r="DD113" s="4" t="s">
        <v>441</v>
      </c>
      <c r="DE113" s="4" t="s">
        <v>1305</v>
      </c>
      <c r="DM113" s="4" t="s">
        <v>234</v>
      </c>
      <c r="DN113" s="4" t="s">
        <v>441</v>
      </c>
      <c r="DO113" s="4" t="s">
        <v>703</v>
      </c>
      <c r="DR113" s="4" t="s">
        <v>257</v>
      </c>
      <c r="DS113" s="4" t="s">
        <v>434</v>
      </c>
      <c r="DT113" s="4" t="s">
        <v>1506</v>
      </c>
    </row>
    <row r="114" spans="2:124">
      <c r="B114" s="4" t="s">
        <v>228</v>
      </c>
      <c r="C114" s="4" t="s">
        <v>32</v>
      </c>
      <c r="D114" s="4" t="s">
        <v>225</v>
      </c>
      <c r="G114" s="4" t="s">
        <v>228</v>
      </c>
      <c r="H114" s="4" t="s">
        <v>289</v>
      </c>
      <c r="I114" s="4" t="s">
        <v>225</v>
      </c>
      <c r="L114" s="4" t="s">
        <v>213</v>
      </c>
      <c r="M114" s="4" t="s">
        <v>32</v>
      </c>
      <c r="N114" s="4" t="s">
        <v>332</v>
      </c>
      <c r="Q114" s="4" t="s">
        <v>213</v>
      </c>
      <c r="R114" s="4" t="s">
        <v>289</v>
      </c>
      <c r="S114" s="4" t="s">
        <v>332</v>
      </c>
      <c r="AA114" s="4" t="s">
        <v>213</v>
      </c>
      <c r="AB114" s="4" t="s">
        <v>345</v>
      </c>
      <c r="AC114" s="4" t="s">
        <v>214</v>
      </c>
      <c r="AF114" s="4" t="s">
        <v>259</v>
      </c>
      <c r="AG114" s="4" t="s">
        <v>603</v>
      </c>
      <c r="AH114" s="4" t="s">
        <v>604</v>
      </c>
      <c r="AK114" s="4" t="s">
        <v>228</v>
      </c>
      <c r="AL114" s="4" t="s">
        <v>441</v>
      </c>
      <c r="AM114" s="4" t="s">
        <v>225</v>
      </c>
      <c r="AP114" s="4" t="s">
        <v>218</v>
      </c>
      <c r="AQ114" s="4" t="s">
        <v>345</v>
      </c>
      <c r="AR114" s="4" t="s">
        <v>698</v>
      </c>
      <c r="AZ114" s="4" t="s">
        <v>213</v>
      </c>
      <c r="BA114" s="4" t="s">
        <v>345</v>
      </c>
      <c r="BB114" s="4" t="s">
        <v>696</v>
      </c>
      <c r="BE114" s="4" t="s">
        <v>228</v>
      </c>
      <c r="BF114" s="4" t="s">
        <v>441</v>
      </c>
      <c r="BG114" s="4" t="s">
        <v>701</v>
      </c>
      <c r="BJ114" s="4" t="s">
        <v>228</v>
      </c>
      <c r="BK114" s="4" t="s">
        <v>441</v>
      </c>
      <c r="BL114" s="4" t="s">
        <v>821</v>
      </c>
      <c r="BT114" s="4" t="s">
        <v>263</v>
      </c>
      <c r="BU114" s="4" t="s">
        <v>444</v>
      </c>
      <c r="BV114" s="4" t="s">
        <v>958</v>
      </c>
      <c r="BY114" s="4" t="s">
        <v>249</v>
      </c>
      <c r="BZ114" s="4" t="s">
        <v>345</v>
      </c>
      <c r="CA114" s="4" t="s">
        <v>711</v>
      </c>
      <c r="CD114" s="4" t="s">
        <v>228</v>
      </c>
      <c r="CE114" s="4" t="s">
        <v>446</v>
      </c>
      <c r="CF114" s="4" t="s">
        <v>1008</v>
      </c>
      <c r="DC114" s="4" t="s">
        <v>234</v>
      </c>
      <c r="DD114" s="4" t="s">
        <v>441</v>
      </c>
      <c r="DE114" s="4" t="s">
        <v>1305</v>
      </c>
      <c r="DM114" s="4" t="s">
        <v>235</v>
      </c>
      <c r="DN114" s="4" t="s">
        <v>441</v>
      </c>
      <c r="DO114" s="4" t="s">
        <v>704</v>
      </c>
      <c r="DR114" s="4" t="s">
        <v>259</v>
      </c>
      <c r="DS114" s="4" t="s">
        <v>603</v>
      </c>
      <c r="DT114" s="4" t="s">
        <v>1507</v>
      </c>
    </row>
    <row r="115" spans="2:124">
      <c r="B115" s="4" t="s">
        <v>229</v>
      </c>
      <c r="C115" s="4" t="s">
        <v>104</v>
      </c>
      <c r="D115" s="4" t="s">
        <v>230</v>
      </c>
      <c r="G115" s="4" t="s">
        <v>229</v>
      </c>
      <c r="H115" s="4" t="s">
        <v>298</v>
      </c>
      <c r="I115" s="4" t="s">
        <v>230</v>
      </c>
      <c r="L115" s="4" t="s">
        <v>215</v>
      </c>
      <c r="M115" s="4" t="s">
        <v>104</v>
      </c>
      <c r="N115" s="4" t="s">
        <v>216</v>
      </c>
      <c r="Q115" s="4" t="s">
        <v>215</v>
      </c>
      <c r="R115" s="4" t="s">
        <v>298</v>
      </c>
      <c r="S115" s="4" t="s">
        <v>216</v>
      </c>
      <c r="AA115" s="4" t="s">
        <v>215</v>
      </c>
      <c r="AB115" s="4" t="s">
        <v>441</v>
      </c>
      <c r="AC115" s="4" t="s">
        <v>216</v>
      </c>
      <c r="AF115" s="4" t="s">
        <v>261</v>
      </c>
      <c r="AG115" s="4" t="s">
        <v>104</v>
      </c>
      <c r="AH115" s="4" t="s">
        <v>605</v>
      </c>
      <c r="AK115" s="4" t="s">
        <v>229</v>
      </c>
      <c r="AL115" s="4" t="s">
        <v>441</v>
      </c>
      <c r="AM115" s="4" t="s">
        <v>629</v>
      </c>
      <c r="AP115" s="4" t="s">
        <v>220</v>
      </c>
      <c r="AQ115" s="4" t="s">
        <v>441</v>
      </c>
      <c r="AR115" s="4" t="s">
        <v>699</v>
      </c>
      <c r="AZ115" s="4" t="s">
        <v>215</v>
      </c>
      <c r="BA115" s="4" t="s">
        <v>441</v>
      </c>
      <c r="BB115" s="4" t="s">
        <v>766</v>
      </c>
      <c r="BE115" s="4" t="s">
        <v>231</v>
      </c>
      <c r="BF115" s="4" t="s">
        <v>441</v>
      </c>
      <c r="BG115" s="4" t="s">
        <v>702</v>
      </c>
      <c r="BJ115" s="4" t="s">
        <v>229</v>
      </c>
      <c r="BK115" s="4" t="s">
        <v>441</v>
      </c>
      <c r="BL115" s="4" t="s">
        <v>767</v>
      </c>
      <c r="BT115" s="4" t="s">
        <v>268</v>
      </c>
      <c r="BU115" s="4" t="s">
        <v>441</v>
      </c>
      <c r="BV115" s="4" t="s">
        <v>959</v>
      </c>
      <c r="BY115" s="4" t="s">
        <v>251</v>
      </c>
      <c r="BZ115" s="4" t="s">
        <v>441</v>
      </c>
      <c r="CA115" s="4" t="s">
        <v>712</v>
      </c>
      <c r="CD115" s="4" t="s">
        <v>229</v>
      </c>
      <c r="CE115" s="4" t="s">
        <v>441</v>
      </c>
      <c r="CF115" s="4" t="s">
        <v>1009</v>
      </c>
      <c r="DC115" s="4" t="s">
        <v>235</v>
      </c>
      <c r="DD115" s="4" t="s">
        <v>441</v>
      </c>
      <c r="DE115" s="4" t="s">
        <v>1306</v>
      </c>
      <c r="DM115" s="4" t="s">
        <v>237</v>
      </c>
      <c r="DN115" s="4" t="s">
        <v>441</v>
      </c>
      <c r="DO115" s="4" t="s">
        <v>768</v>
      </c>
      <c r="DR115" s="4" t="s">
        <v>261</v>
      </c>
      <c r="DS115" s="4" t="s">
        <v>104</v>
      </c>
      <c r="DT115" s="4" t="s">
        <v>1508</v>
      </c>
    </row>
    <row r="116" spans="2:124">
      <c r="B116" s="4" t="s">
        <v>231</v>
      </c>
      <c r="C116" s="4" t="s">
        <v>32</v>
      </c>
      <c r="D116" s="4" t="s">
        <v>202</v>
      </c>
      <c r="G116" s="4" t="s">
        <v>231</v>
      </c>
      <c r="H116" s="4" t="s">
        <v>289</v>
      </c>
      <c r="I116" s="4" t="s">
        <v>202</v>
      </c>
      <c r="L116" s="4" t="s">
        <v>217</v>
      </c>
      <c r="M116" s="4" t="s">
        <v>32</v>
      </c>
      <c r="N116" s="4" t="s">
        <v>216</v>
      </c>
      <c r="Q116" s="4" t="s">
        <v>217</v>
      </c>
      <c r="R116" s="4" t="s">
        <v>289</v>
      </c>
      <c r="S116" s="4" t="s">
        <v>216</v>
      </c>
      <c r="AA116" s="4" t="s">
        <v>217</v>
      </c>
      <c r="AB116" s="4" t="s">
        <v>345</v>
      </c>
      <c r="AC116" s="4" t="s">
        <v>216</v>
      </c>
      <c r="AF116" s="4" t="s">
        <v>263</v>
      </c>
      <c r="AG116" s="4" t="s">
        <v>104</v>
      </c>
      <c r="AH116" s="4" t="s">
        <v>606</v>
      </c>
      <c r="AK116" s="4" t="s">
        <v>231</v>
      </c>
      <c r="AL116" s="4" t="s">
        <v>441</v>
      </c>
      <c r="AM116" s="4" t="s">
        <v>202</v>
      </c>
      <c r="AP116" s="4" t="s">
        <v>222</v>
      </c>
      <c r="AQ116" s="4" t="s">
        <v>441</v>
      </c>
      <c r="AR116" s="4" t="s">
        <v>700</v>
      </c>
      <c r="AZ116" s="4" t="s">
        <v>217</v>
      </c>
      <c r="BA116" s="4" t="s">
        <v>345</v>
      </c>
      <c r="BB116" s="4" t="s">
        <v>697</v>
      </c>
      <c r="BE116" s="4" t="s">
        <v>232</v>
      </c>
      <c r="BF116" s="4" t="s">
        <v>441</v>
      </c>
      <c r="BG116" s="4" t="s">
        <v>703</v>
      </c>
      <c r="BJ116" s="4" t="s">
        <v>231</v>
      </c>
      <c r="BK116" s="4" t="s">
        <v>441</v>
      </c>
      <c r="BL116" s="4" t="s">
        <v>822</v>
      </c>
      <c r="BT116" s="4" t="s">
        <v>270</v>
      </c>
      <c r="BU116" s="4" t="s">
        <v>446</v>
      </c>
      <c r="BV116" s="4" t="s">
        <v>960</v>
      </c>
      <c r="BY116" s="4" t="s">
        <v>253</v>
      </c>
      <c r="BZ116" s="4" t="s">
        <v>441</v>
      </c>
      <c r="CA116" s="4" t="s">
        <v>713</v>
      </c>
      <c r="CD116" s="4" t="s">
        <v>231</v>
      </c>
      <c r="CE116" s="4" t="s">
        <v>346</v>
      </c>
      <c r="CF116" s="4" t="s">
        <v>1010</v>
      </c>
      <c r="DC116" s="4" t="s">
        <v>237</v>
      </c>
      <c r="DD116" s="4" t="s">
        <v>441</v>
      </c>
      <c r="DE116" s="4" t="s">
        <v>1307</v>
      </c>
      <c r="DM116" s="4" t="s">
        <v>239</v>
      </c>
      <c r="DN116" s="4" t="s">
        <v>441</v>
      </c>
      <c r="DO116" s="4" t="s">
        <v>706</v>
      </c>
      <c r="DR116" s="4" t="s">
        <v>263</v>
      </c>
      <c r="DS116" s="4" t="s">
        <v>104</v>
      </c>
      <c r="DT116" s="4" t="s">
        <v>1509</v>
      </c>
    </row>
    <row r="117" spans="2:124">
      <c r="B117" s="4" t="s">
        <v>232</v>
      </c>
      <c r="C117" s="4" t="s">
        <v>32</v>
      </c>
      <c r="D117" s="4" t="s">
        <v>233</v>
      </c>
      <c r="G117" s="4" t="s">
        <v>232</v>
      </c>
      <c r="H117" s="4" t="s">
        <v>289</v>
      </c>
      <c r="I117" s="4" t="s">
        <v>233</v>
      </c>
      <c r="L117" s="4" t="s">
        <v>218</v>
      </c>
      <c r="M117" s="4" t="s">
        <v>55</v>
      </c>
      <c r="N117" s="4" t="s">
        <v>219</v>
      </c>
      <c r="Q117" s="4" t="s">
        <v>218</v>
      </c>
      <c r="R117" s="4" t="s">
        <v>293</v>
      </c>
      <c r="S117" s="4" t="s">
        <v>219</v>
      </c>
      <c r="AA117" s="4" t="s">
        <v>218</v>
      </c>
      <c r="AB117" s="4" t="s">
        <v>346</v>
      </c>
      <c r="AC117" s="4" t="s">
        <v>219</v>
      </c>
      <c r="AF117" s="4" t="s">
        <v>268</v>
      </c>
      <c r="AG117" s="4" t="s">
        <v>533</v>
      </c>
      <c r="AH117" s="4" t="s">
        <v>607</v>
      </c>
      <c r="AK117" s="4" t="s">
        <v>232</v>
      </c>
      <c r="AL117" s="4" t="s">
        <v>441</v>
      </c>
      <c r="AM117" s="4" t="s">
        <v>233</v>
      </c>
      <c r="AP117" s="4" t="s">
        <v>224</v>
      </c>
      <c r="AQ117" s="4" t="s">
        <v>441</v>
      </c>
      <c r="AR117" s="4" t="s">
        <v>701</v>
      </c>
      <c r="AZ117" s="4" t="s">
        <v>218</v>
      </c>
      <c r="BA117" s="4" t="s">
        <v>346</v>
      </c>
      <c r="BB117" s="4" t="s">
        <v>698</v>
      </c>
      <c r="BE117" s="4" t="s">
        <v>234</v>
      </c>
      <c r="BF117" s="4" t="s">
        <v>441</v>
      </c>
      <c r="BG117" s="4" t="s">
        <v>703</v>
      </c>
      <c r="BJ117" s="4" t="s">
        <v>232</v>
      </c>
      <c r="BK117" s="4" t="s">
        <v>441</v>
      </c>
      <c r="BL117" s="4" t="s">
        <v>823</v>
      </c>
      <c r="BT117" s="4" t="s">
        <v>272</v>
      </c>
      <c r="BU117" s="4" t="s">
        <v>438</v>
      </c>
      <c r="BV117" s="4" t="s">
        <v>961</v>
      </c>
      <c r="BY117" s="4" t="s">
        <v>255</v>
      </c>
      <c r="BZ117" s="4" t="s">
        <v>441</v>
      </c>
      <c r="CA117" s="4" t="s">
        <v>714</v>
      </c>
      <c r="CD117" s="4" t="s">
        <v>232</v>
      </c>
      <c r="CE117" s="4" t="s">
        <v>346</v>
      </c>
      <c r="CF117" s="4" t="s">
        <v>1011</v>
      </c>
      <c r="DC117" s="4" t="s">
        <v>239</v>
      </c>
      <c r="DD117" s="4" t="s">
        <v>441</v>
      </c>
      <c r="DE117" s="4" t="s">
        <v>1308</v>
      </c>
      <c r="DM117" s="4" t="s">
        <v>241</v>
      </c>
      <c r="DN117" s="4" t="s">
        <v>345</v>
      </c>
      <c r="DO117" s="4" t="s">
        <v>1390</v>
      </c>
      <c r="DR117" s="4" t="s">
        <v>268</v>
      </c>
      <c r="DS117" s="4" t="s">
        <v>533</v>
      </c>
      <c r="DT117" s="4" t="s">
        <v>1510</v>
      </c>
    </row>
    <row r="118" spans="2:124">
      <c r="B118" s="4" t="s">
        <v>234</v>
      </c>
      <c r="C118" s="4" t="s">
        <v>32</v>
      </c>
      <c r="D118" s="4" t="s">
        <v>233</v>
      </c>
      <c r="G118" s="4" t="s">
        <v>234</v>
      </c>
      <c r="H118" s="4" t="s">
        <v>289</v>
      </c>
      <c r="I118" s="4" t="s">
        <v>233</v>
      </c>
      <c r="L118" s="4" t="s">
        <v>220</v>
      </c>
      <c r="M118" s="4" t="s">
        <v>32</v>
      </c>
      <c r="N118" s="4" t="s">
        <v>306</v>
      </c>
      <c r="Q118" s="4" t="s">
        <v>220</v>
      </c>
      <c r="R118" s="4" t="s">
        <v>289</v>
      </c>
      <c r="S118" s="4" t="s">
        <v>306</v>
      </c>
      <c r="AA118" s="4" t="s">
        <v>220</v>
      </c>
      <c r="AB118" s="4" t="s">
        <v>345</v>
      </c>
      <c r="AC118" s="4" t="s">
        <v>306</v>
      </c>
      <c r="AF118" s="4" t="s">
        <v>270</v>
      </c>
      <c r="AG118" s="4" t="s">
        <v>450</v>
      </c>
      <c r="AH118" s="4" t="s">
        <v>608</v>
      </c>
      <c r="AK118" s="4" t="s">
        <v>234</v>
      </c>
      <c r="AL118" s="4" t="s">
        <v>441</v>
      </c>
      <c r="AM118" s="4" t="s">
        <v>233</v>
      </c>
      <c r="AP118" s="4" t="s">
        <v>226</v>
      </c>
      <c r="AQ118" s="4" t="s">
        <v>441</v>
      </c>
      <c r="AR118" s="4" t="s">
        <v>701</v>
      </c>
      <c r="AZ118" s="4" t="s">
        <v>220</v>
      </c>
      <c r="BA118" s="4" t="s">
        <v>345</v>
      </c>
      <c r="BB118" s="4" t="s">
        <v>699</v>
      </c>
      <c r="BE118" s="4" t="s">
        <v>235</v>
      </c>
      <c r="BF118" s="4" t="s">
        <v>441</v>
      </c>
      <c r="BG118" s="4" t="s">
        <v>704</v>
      </c>
      <c r="BJ118" s="4" t="s">
        <v>234</v>
      </c>
      <c r="BK118" s="4" t="s">
        <v>441</v>
      </c>
      <c r="BL118" s="4" t="s">
        <v>823</v>
      </c>
      <c r="BT118" s="4" t="s">
        <v>336</v>
      </c>
      <c r="BU118" s="4" t="s">
        <v>441</v>
      </c>
      <c r="BV118" s="4" t="s">
        <v>632</v>
      </c>
      <c r="BY118" s="4" t="s">
        <v>257</v>
      </c>
      <c r="BZ118" s="4" t="s">
        <v>441</v>
      </c>
      <c r="CA118" s="4" t="s">
        <v>715</v>
      </c>
      <c r="CD118" s="4" t="s">
        <v>234</v>
      </c>
      <c r="CE118" s="4" t="s">
        <v>345</v>
      </c>
      <c r="CF118" s="4" t="s">
        <v>1011</v>
      </c>
      <c r="DC118" s="4" t="s">
        <v>241</v>
      </c>
      <c r="DD118" s="4" t="s">
        <v>441</v>
      </c>
      <c r="DE118" s="4" t="s">
        <v>1309</v>
      </c>
      <c r="DM118" s="4" t="s">
        <v>243</v>
      </c>
      <c r="DN118" s="4" t="s">
        <v>360</v>
      </c>
      <c r="DO118" s="4" t="s">
        <v>1391</v>
      </c>
      <c r="DR118" s="4" t="s">
        <v>270</v>
      </c>
      <c r="DS118" s="4" t="s">
        <v>450</v>
      </c>
      <c r="DT118" s="4" t="s">
        <v>1511</v>
      </c>
    </row>
    <row r="119" spans="2:124">
      <c r="B119" s="4" t="s">
        <v>235</v>
      </c>
      <c r="C119" s="4" t="s">
        <v>32</v>
      </c>
      <c r="D119" s="4" t="s">
        <v>236</v>
      </c>
      <c r="G119" s="4" t="s">
        <v>235</v>
      </c>
      <c r="H119" s="4" t="s">
        <v>289</v>
      </c>
      <c r="I119" s="4" t="s">
        <v>236</v>
      </c>
      <c r="L119" s="4" t="s">
        <v>222</v>
      </c>
      <c r="M119" s="4" t="s">
        <v>32</v>
      </c>
      <c r="N119" s="4" t="s">
        <v>223</v>
      </c>
      <c r="Q119" s="4" t="s">
        <v>222</v>
      </c>
      <c r="R119" s="4" t="s">
        <v>289</v>
      </c>
      <c r="S119" s="4" t="s">
        <v>223</v>
      </c>
      <c r="AA119" s="4" t="s">
        <v>222</v>
      </c>
      <c r="AB119" s="4" t="s">
        <v>345</v>
      </c>
      <c r="AC119" s="4" t="s">
        <v>223</v>
      </c>
      <c r="AF119" s="4" t="s">
        <v>272</v>
      </c>
      <c r="AG119" s="4" t="s">
        <v>521</v>
      </c>
      <c r="AH119" s="4" t="s">
        <v>609</v>
      </c>
      <c r="AK119" s="4" t="s">
        <v>235</v>
      </c>
      <c r="AL119" s="4" t="s">
        <v>441</v>
      </c>
      <c r="AM119" s="4" t="s">
        <v>236</v>
      </c>
      <c r="AP119" s="4" t="s">
        <v>227</v>
      </c>
      <c r="AQ119" s="4" t="s">
        <v>441</v>
      </c>
      <c r="AR119" s="4" t="s">
        <v>701</v>
      </c>
      <c r="AZ119" s="4" t="s">
        <v>222</v>
      </c>
      <c r="BA119" s="4" t="s">
        <v>345</v>
      </c>
      <c r="BB119" s="4" t="s">
        <v>700</v>
      </c>
      <c r="BE119" s="4" t="s">
        <v>237</v>
      </c>
      <c r="BF119" s="4" t="s">
        <v>441</v>
      </c>
      <c r="BG119" s="4" t="s">
        <v>768</v>
      </c>
      <c r="BJ119" s="4" t="s">
        <v>235</v>
      </c>
      <c r="BK119" s="4" t="s">
        <v>441</v>
      </c>
      <c r="BL119" s="4" t="s">
        <v>824</v>
      </c>
      <c r="BT119" s="4" t="s">
        <v>337</v>
      </c>
      <c r="BU119" s="4" t="s">
        <v>441</v>
      </c>
      <c r="BV119" s="4" t="s">
        <v>632</v>
      </c>
      <c r="BY119" s="4" t="s">
        <v>259</v>
      </c>
      <c r="BZ119" s="4" t="s">
        <v>441</v>
      </c>
      <c r="CA119" s="4" t="s">
        <v>716</v>
      </c>
      <c r="CD119" s="4" t="s">
        <v>235</v>
      </c>
      <c r="CE119" s="4" t="s">
        <v>346</v>
      </c>
      <c r="CF119" s="4" t="s">
        <v>1012</v>
      </c>
      <c r="DC119" s="4" t="s">
        <v>243</v>
      </c>
      <c r="DD119" s="4" t="s">
        <v>441</v>
      </c>
      <c r="DE119" s="4" t="s">
        <v>1310</v>
      </c>
      <c r="DM119" s="4" t="s">
        <v>245</v>
      </c>
      <c r="DN119" s="4" t="s">
        <v>441</v>
      </c>
      <c r="DO119" s="4" t="s">
        <v>709</v>
      </c>
      <c r="DR119" s="4" t="s">
        <v>272</v>
      </c>
      <c r="DS119" s="4" t="s">
        <v>521</v>
      </c>
      <c r="DT119" s="4" t="s">
        <v>1512</v>
      </c>
    </row>
    <row r="120" spans="2:124">
      <c r="B120" s="4" t="s">
        <v>237</v>
      </c>
      <c r="C120" s="4" t="s">
        <v>32</v>
      </c>
      <c r="D120" s="4" t="s">
        <v>238</v>
      </c>
      <c r="G120" s="4" t="s">
        <v>237</v>
      </c>
      <c r="H120" s="4" t="s">
        <v>289</v>
      </c>
      <c r="I120" s="4" t="s">
        <v>238</v>
      </c>
      <c r="L120" s="4" t="s">
        <v>224</v>
      </c>
      <c r="M120" s="4" t="s">
        <v>32</v>
      </c>
      <c r="N120" s="4" t="s">
        <v>225</v>
      </c>
      <c r="Q120" s="4" t="s">
        <v>224</v>
      </c>
      <c r="R120" s="4" t="s">
        <v>289</v>
      </c>
      <c r="S120" s="4" t="s">
        <v>225</v>
      </c>
      <c r="AA120" s="4" t="s">
        <v>224</v>
      </c>
      <c r="AB120" s="4" t="s">
        <v>345</v>
      </c>
      <c r="AC120" s="4" t="s">
        <v>225</v>
      </c>
      <c r="AF120" s="4" t="s">
        <v>274</v>
      </c>
      <c r="AG120" s="4" t="s">
        <v>610</v>
      </c>
      <c r="AH120" s="4" t="s">
        <v>611</v>
      </c>
      <c r="AK120" s="4" t="s">
        <v>237</v>
      </c>
      <c r="AL120" s="4" t="s">
        <v>441</v>
      </c>
      <c r="AM120" s="4" t="s">
        <v>238</v>
      </c>
      <c r="AP120" s="4" t="s">
        <v>228</v>
      </c>
      <c r="AQ120" s="4" t="s">
        <v>441</v>
      </c>
      <c r="AR120" s="4" t="s">
        <v>701</v>
      </c>
      <c r="AZ120" s="4" t="s">
        <v>224</v>
      </c>
      <c r="BA120" s="4" t="s">
        <v>345</v>
      </c>
      <c r="BB120" s="4" t="s">
        <v>701</v>
      </c>
      <c r="BE120" s="4" t="s">
        <v>239</v>
      </c>
      <c r="BF120" s="4" t="s">
        <v>441</v>
      </c>
      <c r="BG120" s="4" t="s">
        <v>706</v>
      </c>
      <c r="BJ120" s="4" t="s">
        <v>237</v>
      </c>
      <c r="BK120" s="4" t="s">
        <v>441</v>
      </c>
      <c r="BL120" s="4" t="s">
        <v>825</v>
      </c>
      <c r="BT120" s="4" t="s">
        <v>338</v>
      </c>
      <c r="BU120" s="4" t="s">
        <v>441</v>
      </c>
      <c r="BV120" s="4" t="s">
        <v>632</v>
      </c>
      <c r="BY120" s="4" t="s">
        <v>261</v>
      </c>
      <c r="BZ120" s="4" t="s">
        <v>441</v>
      </c>
      <c r="CA120" s="4" t="s">
        <v>717</v>
      </c>
      <c r="CD120" s="4" t="s">
        <v>237</v>
      </c>
      <c r="CE120" s="4" t="s">
        <v>345</v>
      </c>
      <c r="CF120" s="4" t="s">
        <v>1013</v>
      </c>
      <c r="DC120" s="4" t="s">
        <v>245</v>
      </c>
      <c r="DD120" s="4" t="s">
        <v>441</v>
      </c>
      <c r="DE120" s="4" t="s">
        <v>1311</v>
      </c>
      <c r="DM120" s="4" t="s">
        <v>247</v>
      </c>
      <c r="DN120" s="4" t="s">
        <v>441</v>
      </c>
      <c r="DO120" s="4" t="s">
        <v>710</v>
      </c>
      <c r="DR120" s="4" t="s">
        <v>274</v>
      </c>
      <c r="DS120" s="4" t="s">
        <v>610</v>
      </c>
      <c r="DT120" s="4" t="s">
        <v>1513</v>
      </c>
    </row>
    <row r="121" spans="2:124">
      <c r="B121" s="4" t="s">
        <v>239</v>
      </c>
      <c r="C121" s="4" t="s">
        <v>32</v>
      </c>
      <c r="D121" s="4" t="s">
        <v>240</v>
      </c>
      <c r="G121" s="4" t="s">
        <v>239</v>
      </c>
      <c r="H121" s="4" t="s">
        <v>289</v>
      </c>
      <c r="I121" s="4" t="s">
        <v>240</v>
      </c>
      <c r="L121" s="4" t="s">
        <v>226</v>
      </c>
      <c r="M121" s="4" t="s">
        <v>32</v>
      </c>
      <c r="N121" s="4" t="s">
        <v>225</v>
      </c>
      <c r="Q121" s="4" t="s">
        <v>226</v>
      </c>
      <c r="R121" s="4" t="s">
        <v>289</v>
      </c>
      <c r="S121" s="4" t="s">
        <v>225</v>
      </c>
      <c r="AA121" s="4" t="s">
        <v>226</v>
      </c>
      <c r="AB121" s="4" t="s">
        <v>345</v>
      </c>
      <c r="AC121" s="4" t="s">
        <v>225</v>
      </c>
      <c r="AF121" s="4" t="s">
        <v>276</v>
      </c>
      <c r="AG121" s="4" t="s">
        <v>441</v>
      </c>
      <c r="AH121" s="4" t="s">
        <v>612</v>
      </c>
      <c r="AK121" s="4" t="s">
        <v>239</v>
      </c>
      <c r="AL121" s="4" t="s">
        <v>441</v>
      </c>
      <c r="AM121" s="4" t="s">
        <v>240</v>
      </c>
      <c r="AP121" s="4" t="s">
        <v>231</v>
      </c>
      <c r="AQ121" s="4" t="s">
        <v>441</v>
      </c>
      <c r="AR121" s="4" t="s">
        <v>702</v>
      </c>
      <c r="AZ121" s="4" t="s">
        <v>226</v>
      </c>
      <c r="BA121" s="4" t="s">
        <v>345</v>
      </c>
      <c r="BB121" s="4" t="s">
        <v>701</v>
      </c>
      <c r="BE121" s="4" t="s">
        <v>241</v>
      </c>
      <c r="BF121" s="4" t="s">
        <v>441</v>
      </c>
      <c r="BG121" s="4" t="s">
        <v>707</v>
      </c>
      <c r="BJ121" s="4" t="s">
        <v>239</v>
      </c>
      <c r="BK121" s="4" t="s">
        <v>441</v>
      </c>
      <c r="BL121" s="4" t="s">
        <v>826</v>
      </c>
      <c r="BY121" s="4" t="s">
        <v>263</v>
      </c>
      <c r="BZ121" s="4" t="s">
        <v>441</v>
      </c>
      <c r="CA121" s="4" t="s">
        <v>718</v>
      </c>
      <c r="CD121" s="4" t="s">
        <v>239</v>
      </c>
      <c r="CE121" s="4" t="s">
        <v>346</v>
      </c>
      <c r="CF121" s="4" t="s">
        <v>1014</v>
      </c>
      <c r="DC121" s="4" t="s">
        <v>247</v>
      </c>
      <c r="DD121" s="4" t="s">
        <v>441</v>
      </c>
      <c r="DE121" s="4" t="s">
        <v>1312</v>
      </c>
      <c r="DM121" s="4" t="s">
        <v>249</v>
      </c>
      <c r="DN121" s="4" t="s">
        <v>345</v>
      </c>
      <c r="DO121" s="4" t="s">
        <v>711</v>
      </c>
      <c r="DR121" s="4" t="s">
        <v>276</v>
      </c>
      <c r="DS121" s="4" t="s">
        <v>441</v>
      </c>
      <c r="DT121" s="4" t="s">
        <v>1514</v>
      </c>
    </row>
    <row r="122" spans="2:124">
      <c r="B122" s="4" t="s">
        <v>241</v>
      </c>
      <c r="C122" s="4" t="s">
        <v>32</v>
      </c>
      <c r="D122" s="4" t="s">
        <v>242</v>
      </c>
      <c r="G122" s="4" t="s">
        <v>241</v>
      </c>
      <c r="H122" s="4" t="s">
        <v>289</v>
      </c>
      <c r="I122" s="4" t="s">
        <v>242</v>
      </c>
      <c r="L122" s="4" t="s">
        <v>227</v>
      </c>
      <c r="M122" s="4" t="s">
        <v>32</v>
      </c>
      <c r="N122" s="4" t="s">
        <v>225</v>
      </c>
      <c r="Q122" s="4" t="s">
        <v>227</v>
      </c>
      <c r="R122" s="4" t="s">
        <v>289</v>
      </c>
      <c r="S122" s="4" t="s">
        <v>225</v>
      </c>
      <c r="AA122" s="4" t="s">
        <v>227</v>
      </c>
      <c r="AB122" s="4" t="s">
        <v>345</v>
      </c>
      <c r="AC122" s="4" t="s">
        <v>225</v>
      </c>
      <c r="AF122" s="4" t="s">
        <v>336</v>
      </c>
      <c r="AG122" s="4" t="s">
        <v>104</v>
      </c>
      <c r="AH122" s="4" t="s">
        <v>30</v>
      </c>
      <c r="AK122" s="4" t="s">
        <v>241</v>
      </c>
      <c r="AL122" s="4" t="s">
        <v>441</v>
      </c>
      <c r="AM122" s="4" t="s">
        <v>242</v>
      </c>
      <c r="AP122" s="4" t="s">
        <v>232</v>
      </c>
      <c r="AQ122" s="4" t="s">
        <v>441</v>
      </c>
      <c r="AR122" s="4" t="s">
        <v>703</v>
      </c>
      <c r="AZ122" s="4" t="s">
        <v>227</v>
      </c>
      <c r="BA122" s="4" t="s">
        <v>345</v>
      </c>
      <c r="BB122" s="4" t="s">
        <v>701</v>
      </c>
      <c r="BE122" s="4" t="s">
        <v>243</v>
      </c>
      <c r="BF122" s="4" t="s">
        <v>441</v>
      </c>
      <c r="BG122" s="4" t="s">
        <v>708</v>
      </c>
      <c r="BJ122" s="4" t="s">
        <v>241</v>
      </c>
      <c r="BK122" s="4" t="s">
        <v>441</v>
      </c>
      <c r="BL122" s="4" t="s">
        <v>827</v>
      </c>
      <c r="BY122" s="4" t="s">
        <v>265</v>
      </c>
      <c r="BZ122" s="4" t="s">
        <v>441</v>
      </c>
      <c r="CA122" s="4" t="s">
        <v>719</v>
      </c>
      <c r="CD122" s="4" t="s">
        <v>241</v>
      </c>
      <c r="CE122" s="4" t="s">
        <v>446</v>
      </c>
      <c r="CF122" s="4" t="s">
        <v>1015</v>
      </c>
      <c r="DC122" s="4" t="s">
        <v>249</v>
      </c>
      <c r="DD122" s="4" t="s">
        <v>346</v>
      </c>
      <c r="DE122" s="4" t="s">
        <v>1313</v>
      </c>
      <c r="DM122" s="4" t="s">
        <v>251</v>
      </c>
      <c r="DN122" s="4" t="s">
        <v>441</v>
      </c>
      <c r="DO122" s="4" t="s">
        <v>712</v>
      </c>
      <c r="DR122" s="4" t="s">
        <v>336</v>
      </c>
      <c r="DS122" s="4" t="s">
        <v>104</v>
      </c>
      <c r="DT122" s="4" t="s">
        <v>632</v>
      </c>
    </row>
    <row r="123" spans="2:124">
      <c r="B123" s="4" t="s">
        <v>243</v>
      </c>
      <c r="C123" s="4" t="s">
        <v>32</v>
      </c>
      <c r="D123" s="4" t="s">
        <v>244</v>
      </c>
      <c r="G123" s="4" t="s">
        <v>243</v>
      </c>
      <c r="H123" s="4" t="s">
        <v>289</v>
      </c>
      <c r="I123" s="4" t="s">
        <v>244</v>
      </c>
      <c r="L123" s="4" t="s">
        <v>228</v>
      </c>
      <c r="M123" s="4" t="s">
        <v>32</v>
      </c>
      <c r="N123" s="4" t="s">
        <v>225</v>
      </c>
      <c r="Q123" s="4" t="s">
        <v>228</v>
      </c>
      <c r="R123" s="4" t="s">
        <v>289</v>
      </c>
      <c r="S123" s="4" t="s">
        <v>225</v>
      </c>
      <c r="AA123" s="4" t="s">
        <v>228</v>
      </c>
      <c r="AB123" s="4" t="s">
        <v>345</v>
      </c>
      <c r="AC123" s="4" t="s">
        <v>225</v>
      </c>
      <c r="AF123" s="4" t="s">
        <v>337</v>
      </c>
      <c r="AG123" s="4" t="s">
        <v>440</v>
      </c>
      <c r="AH123" s="4" t="s">
        <v>30</v>
      </c>
      <c r="AK123" s="4" t="s">
        <v>243</v>
      </c>
      <c r="AL123" s="4" t="s">
        <v>441</v>
      </c>
      <c r="AM123" s="4" t="s">
        <v>244</v>
      </c>
      <c r="AP123" s="4" t="s">
        <v>234</v>
      </c>
      <c r="AQ123" s="4" t="s">
        <v>441</v>
      </c>
      <c r="AR123" s="4" t="s">
        <v>703</v>
      </c>
      <c r="AZ123" s="4" t="s">
        <v>228</v>
      </c>
      <c r="BA123" s="4" t="s">
        <v>345</v>
      </c>
      <c r="BB123" s="4" t="s">
        <v>701</v>
      </c>
      <c r="BE123" s="4" t="s">
        <v>245</v>
      </c>
      <c r="BF123" s="4" t="s">
        <v>441</v>
      </c>
      <c r="BG123" s="4" t="s">
        <v>709</v>
      </c>
      <c r="BJ123" s="4" t="s">
        <v>243</v>
      </c>
      <c r="BK123" s="4" t="s">
        <v>441</v>
      </c>
      <c r="BL123" s="4" t="s">
        <v>828</v>
      </c>
      <c r="BY123" s="4" t="s">
        <v>267</v>
      </c>
      <c r="BZ123" s="4" t="s">
        <v>441</v>
      </c>
      <c r="CA123" s="4" t="s">
        <v>719</v>
      </c>
      <c r="CD123" s="4" t="s">
        <v>243</v>
      </c>
      <c r="CE123" s="4" t="s">
        <v>346</v>
      </c>
      <c r="CF123" s="4" t="s">
        <v>1016</v>
      </c>
      <c r="DC123" s="4" t="s">
        <v>251</v>
      </c>
      <c r="DD123" s="4" t="s">
        <v>441</v>
      </c>
      <c r="DE123" s="4" t="s">
        <v>1314</v>
      </c>
      <c r="DM123" s="4" t="s">
        <v>253</v>
      </c>
      <c r="DN123" s="4" t="s">
        <v>441</v>
      </c>
      <c r="DO123" s="4" t="s">
        <v>713</v>
      </c>
      <c r="DR123" s="4" t="s">
        <v>337</v>
      </c>
      <c r="DS123" s="4" t="s">
        <v>440</v>
      </c>
      <c r="DT123" s="4" t="s">
        <v>632</v>
      </c>
    </row>
    <row r="124" spans="2:124">
      <c r="B124" s="4" t="s">
        <v>245</v>
      </c>
      <c r="C124" s="4" t="s">
        <v>32</v>
      </c>
      <c r="D124" s="4" t="s">
        <v>246</v>
      </c>
      <c r="G124" s="4" t="s">
        <v>245</v>
      </c>
      <c r="H124" s="4" t="s">
        <v>289</v>
      </c>
      <c r="I124" s="4" t="s">
        <v>246</v>
      </c>
      <c r="L124" s="4" t="s">
        <v>229</v>
      </c>
      <c r="M124" s="4" t="s">
        <v>104</v>
      </c>
      <c r="N124" s="4" t="s">
        <v>230</v>
      </c>
      <c r="Q124" s="4" t="s">
        <v>229</v>
      </c>
      <c r="R124" s="4" t="s">
        <v>298</v>
      </c>
      <c r="S124" s="4" t="s">
        <v>230</v>
      </c>
      <c r="AA124" s="4" t="s">
        <v>229</v>
      </c>
      <c r="AB124" s="4" t="s">
        <v>441</v>
      </c>
      <c r="AC124" s="4" t="s">
        <v>230</v>
      </c>
      <c r="AF124" s="4" t="s">
        <v>338</v>
      </c>
      <c r="AG124" s="4" t="s">
        <v>345</v>
      </c>
      <c r="AH124" s="4" t="s">
        <v>30</v>
      </c>
      <c r="AK124" s="4" t="s">
        <v>245</v>
      </c>
      <c r="AL124" s="4" t="s">
        <v>441</v>
      </c>
      <c r="AM124" s="4" t="s">
        <v>246</v>
      </c>
      <c r="AP124" s="4" t="s">
        <v>235</v>
      </c>
      <c r="AQ124" s="4" t="s">
        <v>441</v>
      </c>
      <c r="AR124" s="4" t="s">
        <v>704</v>
      </c>
      <c r="AZ124" s="4" t="s">
        <v>229</v>
      </c>
      <c r="BA124" s="4" t="s">
        <v>441</v>
      </c>
      <c r="BB124" s="4" t="s">
        <v>767</v>
      </c>
      <c r="BE124" s="4" t="s">
        <v>247</v>
      </c>
      <c r="BF124" s="4" t="s">
        <v>441</v>
      </c>
      <c r="BG124" s="4" t="s">
        <v>710</v>
      </c>
      <c r="BJ124" s="4" t="s">
        <v>245</v>
      </c>
      <c r="BK124" s="4" t="s">
        <v>441</v>
      </c>
      <c r="BL124" s="4" t="s">
        <v>829</v>
      </c>
      <c r="BY124" s="4" t="s">
        <v>268</v>
      </c>
      <c r="BZ124" s="4" t="s">
        <v>345</v>
      </c>
      <c r="CA124" s="4" t="s">
        <v>720</v>
      </c>
      <c r="CD124" s="4" t="s">
        <v>245</v>
      </c>
      <c r="CE124" s="4" t="s">
        <v>446</v>
      </c>
      <c r="CF124" s="4" t="s">
        <v>1017</v>
      </c>
      <c r="DC124" s="4" t="s">
        <v>253</v>
      </c>
      <c r="DD124" s="4" t="s">
        <v>441</v>
      </c>
      <c r="DE124" s="4" t="s">
        <v>1315</v>
      </c>
      <c r="DM124" s="4" t="s">
        <v>255</v>
      </c>
      <c r="DN124" s="4" t="s">
        <v>345</v>
      </c>
      <c r="DO124" s="4" t="s">
        <v>1392</v>
      </c>
      <c r="DR124" s="4" t="s">
        <v>338</v>
      </c>
      <c r="DS124" s="4" t="s">
        <v>345</v>
      </c>
      <c r="DT124" s="4" t="s">
        <v>632</v>
      </c>
    </row>
    <row r="125" spans="2:124">
      <c r="B125" s="4" t="s">
        <v>247</v>
      </c>
      <c r="C125" s="4" t="s">
        <v>32</v>
      </c>
      <c r="D125" s="4" t="s">
        <v>248</v>
      </c>
      <c r="G125" s="4" t="s">
        <v>247</v>
      </c>
      <c r="H125" s="4" t="s">
        <v>289</v>
      </c>
      <c r="I125" s="4" t="s">
        <v>248</v>
      </c>
      <c r="L125" s="4" t="s">
        <v>231</v>
      </c>
      <c r="M125" s="4" t="s">
        <v>32</v>
      </c>
      <c r="N125" s="4" t="s">
        <v>202</v>
      </c>
      <c r="Q125" s="4" t="s">
        <v>231</v>
      </c>
      <c r="R125" s="4" t="s">
        <v>289</v>
      </c>
      <c r="S125" s="4" t="s">
        <v>202</v>
      </c>
      <c r="AA125" s="4" t="s">
        <v>231</v>
      </c>
      <c r="AB125" s="4" t="s">
        <v>345</v>
      </c>
      <c r="AC125" s="4" t="s">
        <v>202</v>
      </c>
      <c r="AK125" s="4" t="s">
        <v>247</v>
      </c>
      <c r="AL125" s="4" t="s">
        <v>441</v>
      </c>
      <c r="AM125" s="4" t="s">
        <v>248</v>
      </c>
      <c r="AP125" s="4" t="s">
        <v>237</v>
      </c>
      <c r="AQ125" s="4" t="s">
        <v>345</v>
      </c>
      <c r="AR125" s="4" t="s">
        <v>705</v>
      </c>
      <c r="AZ125" s="4" t="s">
        <v>231</v>
      </c>
      <c r="BA125" s="4" t="s">
        <v>345</v>
      </c>
      <c r="BB125" s="4" t="s">
        <v>702</v>
      </c>
      <c r="BE125" s="4" t="s">
        <v>249</v>
      </c>
      <c r="BF125" s="4" t="s">
        <v>345</v>
      </c>
      <c r="BG125" s="4" t="s">
        <v>711</v>
      </c>
      <c r="BJ125" s="4" t="s">
        <v>247</v>
      </c>
      <c r="BK125" s="4" t="s">
        <v>441</v>
      </c>
      <c r="BL125" s="4" t="s">
        <v>830</v>
      </c>
      <c r="BY125" s="4" t="s">
        <v>270</v>
      </c>
      <c r="BZ125" s="4" t="s">
        <v>441</v>
      </c>
      <c r="CA125" s="4" t="s">
        <v>721</v>
      </c>
      <c r="CD125" s="4" t="s">
        <v>247</v>
      </c>
      <c r="CE125" s="4" t="s">
        <v>346</v>
      </c>
      <c r="CF125" s="4" t="s">
        <v>1018</v>
      </c>
      <c r="DC125" s="4" t="s">
        <v>255</v>
      </c>
      <c r="DD125" s="4" t="s">
        <v>441</v>
      </c>
      <c r="DE125" s="4" t="s">
        <v>1316</v>
      </c>
      <c r="DM125" s="4" t="s">
        <v>257</v>
      </c>
      <c r="DN125" s="4" t="s">
        <v>441</v>
      </c>
      <c r="DO125" s="4" t="s">
        <v>715</v>
      </c>
    </row>
    <row r="126" spans="2:124">
      <c r="B126" s="4" t="s">
        <v>249</v>
      </c>
      <c r="C126" s="4" t="s">
        <v>55</v>
      </c>
      <c r="D126" s="4" t="s">
        <v>250</v>
      </c>
      <c r="G126" s="4" t="s">
        <v>249</v>
      </c>
      <c r="H126" s="4" t="s">
        <v>293</v>
      </c>
      <c r="I126" s="4" t="s">
        <v>250</v>
      </c>
      <c r="L126" s="4" t="s">
        <v>232</v>
      </c>
      <c r="M126" s="4" t="s">
        <v>32</v>
      </c>
      <c r="N126" s="4" t="s">
        <v>233</v>
      </c>
      <c r="Q126" s="4" t="s">
        <v>232</v>
      </c>
      <c r="R126" s="4" t="s">
        <v>289</v>
      </c>
      <c r="S126" s="4" t="s">
        <v>233</v>
      </c>
      <c r="AA126" s="4" t="s">
        <v>232</v>
      </c>
      <c r="AB126" s="4" t="s">
        <v>345</v>
      </c>
      <c r="AC126" s="4" t="s">
        <v>233</v>
      </c>
      <c r="AK126" s="4" t="s">
        <v>249</v>
      </c>
      <c r="AL126" s="4" t="s">
        <v>441</v>
      </c>
      <c r="AM126" s="4" t="s">
        <v>250</v>
      </c>
      <c r="AP126" s="4" t="s">
        <v>239</v>
      </c>
      <c r="AQ126" s="4" t="s">
        <v>441</v>
      </c>
      <c r="AR126" s="4" t="s">
        <v>706</v>
      </c>
      <c r="AZ126" s="4" t="s">
        <v>232</v>
      </c>
      <c r="BA126" s="4" t="s">
        <v>345</v>
      </c>
      <c r="BB126" s="4" t="s">
        <v>703</v>
      </c>
      <c r="BE126" s="4" t="s">
        <v>251</v>
      </c>
      <c r="BF126" s="4" t="s">
        <v>441</v>
      </c>
      <c r="BG126" s="4" t="s">
        <v>712</v>
      </c>
      <c r="BJ126" s="4" t="s">
        <v>249</v>
      </c>
      <c r="BK126" s="4" t="s">
        <v>441</v>
      </c>
      <c r="BL126" s="4" t="s">
        <v>831</v>
      </c>
      <c r="BY126" s="4" t="s">
        <v>272</v>
      </c>
      <c r="BZ126" s="4" t="s">
        <v>441</v>
      </c>
      <c r="CA126" s="4" t="s">
        <v>722</v>
      </c>
      <c r="CD126" s="4" t="s">
        <v>249</v>
      </c>
      <c r="CE126" s="4" t="s">
        <v>434</v>
      </c>
      <c r="CF126" s="4" t="s">
        <v>1019</v>
      </c>
      <c r="DC126" s="4" t="s">
        <v>257</v>
      </c>
      <c r="DD126" s="4" t="s">
        <v>441</v>
      </c>
      <c r="DE126" s="4" t="s">
        <v>1317</v>
      </c>
      <c r="DM126" s="4" t="s">
        <v>259</v>
      </c>
      <c r="DN126" s="4" t="s">
        <v>441</v>
      </c>
      <c r="DO126" s="4" t="s">
        <v>716</v>
      </c>
    </row>
    <row r="127" spans="2:124">
      <c r="B127" s="4" t="s">
        <v>251</v>
      </c>
      <c r="C127" s="4" t="s">
        <v>32</v>
      </c>
      <c r="D127" s="4" t="s">
        <v>252</v>
      </c>
      <c r="G127" s="4" t="s">
        <v>251</v>
      </c>
      <c r="H127" s="4" t="s">
        <v>289</v>
      </c>
      <c r="I127" s="4" t="s">
        <v>252</v>
      </c>
      <c r="L127" s="4" t="s">
        <v>234</v>
      </c>
      <c r="M127" s="4" t="s">
        <v>32</v>
      </c>
      <c r="N127" s="4" t="s">
        <v>233</v>
      </c>
      <c r="Q127" s="4" t="s">
        <v>234</v>
      </c>
      <c r="R127" s="4" t="s">
        <v>289</v>
      </c>
      <c r="S127" s="4" t="s">
        <v>233</v>
      </c>
      <c r="AA127" s="4" t="s">
        <v>234</v>
      </c>
      <c r="AB127" s="4" t="s">
        <v>345</v>
      </c>
      <c r="AC127" s="4" t="s">
        <v>233</v>
      </c>
      <c r="AK127" s="4" t="s">
        <v>251</v>
      </c>
      <c r="AL127" s="4" t="s">
        <v>441</v>
      </c>
      <c r="AM127" s="4" t="s">
        <v>252</v>
      </c>
      <c r="AP127" s="4" t="s">
        <v>241</v>
      </c>
      <c r="AQ127" s="4" t="s">
        <v>441</v>
      </c>
      <c r="AR127" s="4" t="s">
        <v>707</v>
      </c>
      <c r="AZ127" s="4" t="s">
        <v>234</v>
      </c>
      <c r="BA127" s="4" t="s">
        <v>345</v>
      </c>
      <c r="BB127" s="4" t="s">
        <v>703</v>
      </c>
      <c r="BE127" s="4" t="s">
        <v>253</v>
      </c>
      <c r="BF127" s="4" t="s">
        <v>441</v>
      </c>
      <c r="BG127" s="4" t="s">
        <v>713</v>
      </c>
      <c r="BJ127" s="4" t="s">
        <v>251</v>
      </c>
      <c r="BK127" s="4" t="s">
        <v>441</v>
      </c>
      <c r="BL127" s="4" t="s">
        <v>832</v>
      </c>
      <c r="BY127" s="4" t="s">
        <v>274</v>
      </c>
      <c r="BZ127" s="4" t="s">
        <v>441</v>
      </c>
      <c r="CA127" s="4" t="s">
        <v>723</v>
      </c>
      <c r="CD127" s="4" t="s">
        <v>251</v>
      </c>
      <c r="CE127" s="4" t="s">
        <v>446</v>
      </c>
      <c r="CF127" s="4" t="s">
        <v>1020</v>
      </c>
      <c r="DC127" s="4" t="s">
        <v>259</v>
      </c>
      <c r="DD127" s="4" t="s">
        <v>441</v>
      </c>
      <c r="DE127" s="4" t="s">
        <v>1318</v>
      </c>
      <c r="DM127" s="4" t="s">
        <v>261</v>
      </c>
      <c r="DN127" s="4" t="s">
        <v>441</v>
      </c>
      <c r="DO127" s="4" t="s">
        <v>717</v>
      </c>
    </row>
    <row r="128" spans="2:124">
      <c r="B128" s="4" t="s">
        <v>253</v>
      </c>
      <c r="C128" s="4" t="s">
        <v>32</v>
      </c>
      <c r="D128" s="4" t="s">
        <v>254</v>
      </c>
      <c r="G128" s="4" t="s">
        <v>253</v>
      </c>
      <c r="H128" s="4" t="s">
        <v>289</v>
      </c>
      <c r="I128" s="4" t="s">
        <v>254</v>
      </c>
      <c r="L128" s="4" t="s">
        <v>235</v>
      </c>
      <c r="M128" s="4" t="s">
        <v>32</v>
      </c>
      <c r="N128" s="4" t="s">
        <v>236</v>
      </c>
      <c r="Q128" s="4" t="s">
        <v>235</v>
      </c>
      <c r="R128" s="4" t="s">
        <v>289</v>
      </c>
      <c r="S128" s="4" t="s">
        <v>236</v>
      </c>
      <c r="AA128" s="4" t="s">
        <v>235</v>
      </c>
      <c r="AB128" s="4" t="s">
        <v>345</v>
      </c>
      <c r="AC128" s="4" t="s">
        <v>236</v>
      </c>
      <c r="AK128" s="4" t="s">
        <v>253</v>
      </c>
      <c r="AL128" s="4" t="s">
        <v>441</v>
      </c>
      <c r="AM128" s="4" t="s">
        <v>254</v>
      </c>
      <c r="AP128" s="4" t="s">
        <v>243</v>
      </c>
      <c r="AQ128" s="4" t="s">
        <v>441</v>
      </c>
      <c r="AR128" s="4" t="s">
        <v>708</v>
      </c>
      <c r="AZ128" s="4" t="s">
        <v>235</v>
      </c>
      <c r="BA128" s="4" t="s">
        <v>345</v>
      </c>
      <c r="BB128" s="4" t="s">
        <v>704</v>
      </c>
      <c r="BE128" s="4" t="s">
        <v>255</v>
      </c>
      <c r="BF128" s="4" t="s">
        <v>441</v>
      </c>
      <c r="BG128" s="4" t="s">
        <v>714</v>
      </c>
      <c r="BJ128" s="4" t="s">
        <v>253</v>
      </c>
      <c r="BK128" s="4" t="s">
        <v>441</v>
      </c>
      <c r="BL128" s="4" t="s">
        <v>833</v>
      </c>
      <c r="BY128" s="4" t="s">
        <v>276</v>
      </c>
      <c r="BZ128" s="4" t="s">
        <v>441</v>
      </c>
      <c r="CA128" s="4" t="s">
        <v>724</v>
      </c>
      <c r="CD128" s="4" t="s">
        <v>253</v>
      </c>
      <c r="CE128" s="4" t="s">
        <v>346</v>
      </c>
      <c r="CF128" s="4" t="s">
        <v>1021</v>
      </c>
      <c r="DC128" s="4" t="s">
        <v>261</v>
      </c>
      <c r="DD128" s="4" t="s">
        <v>441</v>
      </c>
      <c r="DE128" s="4" t="s">
        <v>1319</v>
      </c>
      <c r="DM128" s="4" t="s">
        <v>263</v>
      </c>
      <c r="DN128" s="4" t="s">
        <v>441</v>
      </c>
      <c r="DO128" s="4" t="s">
        <v>718</v>
      </c>
    </row>
    <row r="129" spans="2:119">
      <c r="B129" s="4" t="s">
        <v>255</v>
      </c>
      <c r="C129" s="4" t="s">
        <v>32</v>
      </c>
      <c r="D129" s="4" t="s">
        <v>256</v>
      </c>
      <c r="G129" s="4" t="s">
        <v>255</v>
      </c>
      <c r="H129" s="4" t="s">
        <v>289</v>
      </c>
      <c r="I129" s="4" t="s">
        <v>256</v>
      </c>
      <c r="L129" s="4" t="s">
        <v>237</v>
      </c>
      <c r="M129" s="4" t="s">
        <v>32</v>
      </c>
      <c r="N129" s="4" t="s">
        <v>238</v>
      </c>
      <c r="Q129" s="4" t="s">
        <v>237</v>
      </c>
      <c r="R129" s="4" t="s">
        <v>289</v>
      </c>
      <c r="S129" s="4" t="s">
        <v>238</v>
      </c>
      <c r="AA129" s="4" t="s">
        <v>237</v>
      </c>
      <c r="AB129" s="4" t="s">
        <v>345</v>
      </c>
      <c r="AC129" s="4" t="s">
        <v>238</v>
      </c>
      <c r="AK129" s="4" t="s">
        <v>255</v>
      </c>
      <c r="AL129" s="4" t="s">
        <v>441</v>
      </c>
      <c r="AM129" s="4" t="s">
        <v>335</v>
      </c>
      <c r="AP129" s="4" t="s">
        <v>245</v>
      </c>
      <c r="AQ129" s="4" t="s">
        <v>441</v>
      </c>
      <c r="AR129" s="4" t="s">
        <v>709</v>
      </c>
      <c r="AZ129" s="4" t="s">
        <v>237</v>
      </c>
      <c r="BA129" s="4" t="s">
        <v>345</v>
      </c>
      <c r="BB129" s="4" t="s">
        <v>768</v>
      </c>
      <c r="BE129" s="4" t="s">
        <v>257</v>
      </c>
      <c r="BF129" s="4" t="s">
        <v>441</v>
      </c>
      <c r="BG129" s="4" t="s">
        <v>715</v>
      </c>
      <c r="BJ129" s="4" t="s">
        <v>255</v>
      </c>
      <c r="BK129" s="4" t="s">
        <v>441</v>
      </c>
      <c r="BL129" s="4" t="s">
        <v>834</v>
      </c>
      <c r="BY129" s="4" t="s">
        <v>280</v>
      </c>
      <c r="BZ129" s="4" t="s">
        <v>441</v>
      </c>
      <c r="CA129" s="4" t="s">
        <v>725</v>
      </c>
      <c r="CD129" s="4" t="s">
        <v>255</v>
      </c>
      <c r="CE129" s="4" t="s">
        <v>360</v>
      </c>
      <c r="CF129" s="4" t="s">
        <v>256</v>
      </c>
      <c r="DC129" s="4" t="s">
        <v>263</v>
      </c>
      <c r="DD129" s="4" t="s">
        <v>441</v>
      </c>
      <c r="DE129" s="4" t="s">
        <v>1320</v>
      </c>
      <c r="DM129" s="4" t="s">
        <v>265</v>
      </c>
      <c r="DN129" s="4" t="s">
        <v>441</v>
      </c>
      <c r="DO129" s="4" t="s">
        <v>719</v>
      </c>
    </row>
    <row r="130" spans="2:119">
      <c r="B130" s="4" t="s">
        <v>257</v>
      </c>
      <c r="C130" s="4" t="s">
        <v>32</v>
      </c>
      <c r="D130" s="4" t="s">
        <v>258</v>
      </c>
      <c r="G130" s="4" t="s">
        <v>257</v>
      </c>
      <c r="H130" s="4" t="s">
        <v>289</v>
      </c>
      <c r="I130" s="4" t="s">
        <v>258</v>
      </c>
      <c r="L130" s="4" t="s">
        <v>239</v>
      </c>
      <c r="M130" s="4" t="s">
        <v>55</v>
      </c>
      <c r="N130" s="4" t="s">
        <v>333</v>
      </c>
      <c r="Q130" s="4" t="s">
        <v>239</v>
      </c>
      <c r="R130" s="4" t="s">
        <v>293</v>
      </c>
      <c r="S130" s="4" t="s">
        <v>333</v>
      </c>
      <c r="AA130" s="4" t="s">
        <v>239</v>
      </c>
      <c r="AB130" s="4" t="s">
        <v>345</v>
      </c>
      <c r="AC130" s="4" t="s">
        <v>240</v>
      </c>
      <c r="AK130" s="4" t="s">
        <v>257</v>
      </c>
      <c r="AL130" s="4" t="s">
        <v>441</v>
      </c>
      <c r="AM130" s="4" t="s">
        <v>630</v>
      </c>
      <c r="AP130" s="4" t="s">
        <v>247</v>
      </c>
      <c r="AQ130" s="4" t="s">
        <v>441</v>
      </c>
      <c r="AR130" s="4" t="s">
        <v>710</v>
      </c>
      <c r="AZ130" s="4" t="s">
        <v>239</v>
      </c>
      <c r="BA130" s="4" t="s">
        <v>345</v>
      </c>
      <c r="BB130" s="4" t="s">
        <v>706</v>
      </c>
      <c r="BE130" s="4" t="s">
        <v>259</v>
      </c>
      <c r="BF130" s="4" t="s">
        <v>441</v>
      </c>
      <c r="BG130" s="4" t="s">
        <v>716</v>
      </c>
      <c r="BJ130" s="4" t="s">
        <v>257</v>
      </c>
      <c r="BK130" s="4" t="s">
        <v>441</v>
      </c>
      <c r="BL130" s="4" t="s">
        <v>835</v>
      </c>
      <c r="BY130" s="4" t="s">
        <v>282</v>
      </c>
      <c r="BZ130" s="4" t="s">
        <v>441</v>
      </c>
      <c r="CA130" s="4" t="s">
        <v>726</v>
      </c>
      <c r="CD130" s="4" t="s">
        <v>257</v>
      </c>
      <c r="CE130" s="4" t="s">
        <v>446</v>
      </c>
      <c r="CF130" s="4" t="s">
        <v>258</v>
      </c>
      <c r="DC130" s="4" t="s">
        <v>265</v>
      </c>
      <c r="DD130" s="4" t="s">
        <v>441</v>
      </c>
      <c r="DE130" s="4" t="s">
        <v>1321</v>
      </c>
      <c r="DM130" s="4" t="s">
        <v>267</v>
      </c>
      <c r="DN130" s="4" t="s">
        <v>441</v>
      </c>
      <c r="DO130" s="4" t="s">
        <v>719</v>
      </c>
    </row>
    <row r="131" spans="2:119">
      <c r="B131" s="4" t="s">
        <v>259</v>
      </c>
      <c r="C131" s="4" t="s">
        <v>32</v>
      </c>
      <c r="D131" s="4" t="s">
        <v>260</v>
      </c>
      <c r="G131" s="4" t="s">
        <v>259</v>
      </c>
      <c r="H131" s="4" t="s">
        <v>289</v>
      </c>
      <c r="I131" s="4" t="s">
        <v>260</v>
      </c>
      <c r="L131" s="4" t="s">
        <v>241</v>
      </c>
      <c r="M131" s="4" t="s">
        <v>32</v>
      </c>
      <c r="N131" s="4" t="s">
        <v>242</v>
      </c>
      <c r="Q131" s="4" t="s">
        <v>241</v>
      </c>
      <c r="R131" s="4" t="s">
        <v>289</v>
      </c>
      <c r="S131" s="4" t="s">
        <v>242</v>
      </c>
      <c r="AA131" s="4" t="s">
        <v>241</v>
      </c>
      <c r="AB131" s="4" t="s">
        <v>345</v>
      </c>
      <c r="AC131" s="4" t="s">
        <v>242</v>
      </c>
      <c r="AK131" s="4" t="s">
        <v>259</v>
      </c>
      <c r="AL131" s="4" t="s">
        <v>441</v>
      </c>
      <c r="AM131" s="4" t="s">
        <v>260</v>
      </c>
      <c r="AP131" s="4" t="s">
        <v>249</v>
      </c>
      <c r="AQ131" s="4" t="s">
        <v>345</v>
      </c>
      <c r="AR131" s="4" t="s">
        <v>711</v>
      </c>
      <c r="AZ131" s="4" t="s">
        <v>241</v>
      </c>
      <c r="BA131" s="4" t="s">
        <v>345</v>
      </c>
      <c r="BB131" s="4" t="s">
        <v>707</v>
      </c>
      <c r="BE131" s="4" t="s">
        <v>261</v>
      </c>
      <c r="BF131" s="4" t="s">
        <v>441</v>
      </c>
      <c r="BG131" s="4" t="s">
        <v>717</v>
      </c>
      <c r="BJ131" s="4" t="s">
        <v>259</v>
      </c>
      <c r="BK131" s="4" t="s">
        <v>441</v>
      </c>
      <c r="BL131" s="4" t="s">
        <v>836</v>
      </c>
      <c r="BY131" s="4" t="s">
        <v>336</v>
      </c>
      <c r="BZ131" s="4" t="s">
        <v>104</v>
      </c>
      <c r="CA131" s="4" t="s">
        <v>632</v>
      </c>
      <c r="CD131" s="4" t="s">
        <v>259</v>
      </c>
      <c r="CE131" s="4" t="s">
        <v>360</v>
      </c>
      <c r="CF131" s="4" t="s">
        <v>1022</v>
      </c>
      <c r="DC131" s="4" t="s">
        <v>267</v>
      </c>
      <c r="DD131" s="4" t="s">
        <v>441</v>
      </c>
      <c r="DE131" s="4" t="s">
        <v>1321</v>
      </c>
      <c r="DM131" s="4" t="s">
        <v>268</v>
      </c>
      <c r="DN131" s="4" t="s">
        <v>446</v>
      </c>
      <c r="DO131" s="4" t="s">
        <v>1393</v>
      </c>
    </row>
    <row r="132" spans="2:119">
      <c r="B132" s="4" t="s">
        <v>261</v>
      </c>
      <c r="C132" s="4" t="s">
        <v>32</v>
      </c>
      <c r="D132" s="4" t="s">
        <v>262</v>
      </c>
      <c r="G132" s="4" t="s">
        <v>261</v>
      </c>
      <c r="H132" s="4" t="s">
        <v>289</v>
      </c>
      <c r="I132" s="4" t="s">
        <v>262</v>
      </c>
      <c r="L132" s="4" t="s">
        <v>243</v>
      </c>
      <c r="M132" s="4" t="s">
        <v>29</v>
      </c>
      <c r="N132" s="4" t="s">
        <v>334</v>
      </c>
      <c r="Q132" s="4" t="s">
        <v>243</v>
      </c>
      <c r="R132" s="4" t="s">
        <v>288</v>
      </c>
      <c r="S132" s="4" t="s">
        <v>334</v>
      </c>
      <c r="AA132" s="4" t="s">
        <v>243</v>
      </c>
      <c r="AB132" s="4" t="s">
        <v>345</v>
      </c>
      <c r="AC132" s="4" t="s">
        <v>244</v>
      </c>
      <c r="AK132" s="4" t="s">
        <v>261</v>
      </c>
      <c r="AL132" s="4" t="s">
        <v>441</v>
      </c>
      <c r="AM132" s="4" t="s">
        <v>262</v>
      </c>
      <c r="AP132" s="4" t="s">
        <v>251</v>
      </c>
      <c r="AQ132" s="4" t="s">
        <v>441</v>
      </c>
      <c r="AR132" s="4" t="s">
        <v>712</v>
      </c>
      <c r="AZ132" s="4" t="s">
        <v>243</v>
      </c>
      <c r="BA132" s="4" t="s">
        <v>345</v>
      </c>
      <c r="BB132" s="4" t="s">
        <v>708</v>
      </c>
      <c r="BE132" s="4" t="s">
        <v>263</v>
      </c>
      <c r="BF132" s="4" t="s">
        <v>441</v>
      </c>
      <c r="BG132" s="4" t="s">
        <v>718</v>
      </c>
      <c r="BJ132" s="4" t="s">
        <v>261</v>
      </c>
      <c r="BK132" s="4" t="s">
        <v>441</v>
      </c>
      <c r="BL132" s="4" t="s">
        <v>769</v>
      </c>
      <c r="BY132" s="4" t="s">
        <v>337</v>
      </c>
      <c r="BZ132" s="4" t="s">
        <v>345</v>
      </c>
      <c r="CA132" s="4" t="s">
        <v>632</v>
      </c>
      <c r="CD132" s="4" t="s">
        <v>261</v>
      </c>
      <c r="CE132" s="4" t="s">
        <v>346</v>
      </c>
      <c r="CF132" s="4" t="s">
        <v>1023</v>
      </c>
      <c r="DC132" s="4" t="s">
        <v>268</v>
      </c>
      <c r="DD132" s="4" t="s">
        <v>441</v>
      </c>
      <c r="DE132" s="4" t="s">
        <v>1322</v>
      </c>
      <c r="DM132" s="4" t="s">
        <v>270</v>
      </c>
      <c r="DN132" s="4" t="s">
        <v>441</v>
      </c>
      <c r="DO132" s="4" t="s">
        <v>721</v>
      </c>
    </row>
    <row r="133" spans="2:119">
      <c r="B133" s="4" t="s">
        <v>263</v>
      </c>
      <c r="C133" s="4" t="s">
        <v>32</v>
      </c>
      <c r="D133" s="4" t="s">
        <v>264</v>
      </c>
      <c r="G133" s="4" t="s">
        <v>263</v>
      </c>
      <c r="H133" s="4" t="s">
        <v>289</v>
      </c>
      <c r="I133" s="4" t="s">
        <v>264</v>
      </c>
      <c r="L133" s="4" t="s">
        <v>245</v>
      </c>
      <c r="M133" s="4" t="s">
        <v>32</v>
      </c>
      <c r="N133" s="4" t="s">
        <v>246</v>
      </c>
      <c r="Q133" s="4" t="s">
        <v>245</v>
      </c>
      <c r="R133" s="4" t="s">
        <v>289</v>
      </c>
      <c r="S133" s="4" t="s">
        <v>246</v>
      </c>
      <c r="AA133" s="4" t="s">
        <v>245</v>
      </c>
      <c r="AB133" s="4" t="s">
        <v>345</v>
      </c>
      <c r="AC133" s="4" t="s">
        <v>246</v>
      </c>
      <c r="AK133" s="4" t="s">
        <v>263</v>
      </c>
      <c r="AL133" s="4" t="s">
        <v>441</v>
      </c>
      <c r="AM133" s="4" t="s">
        <v>264</v>
      </c>
      <c r="AP133" s="4" t="s">
        <v>253</v>
      </c>
      <c r="AQ133" s="4" t="s">
        <v>441</v>
      </c>
      <c r="AR133" s="4" t="s">
        <v>713</v>
      </c>
      <c r="AZ133" s="4" t="s">
        <v>245</v>
      </c>
      <c r="BA133" s="4" t="s">
        <v>345</v>
      </c>
      <c r="BB133" s="4" t="s">
        <v>709</v>
      </c>
      <c r="BE133" s="4" t="s">
        <v>265</v>
      </c>
      <c r="BF133" s="4" t="s">
        <v>441</v>
      </c>
      <c r="BG133" s="4" t="s">
        <v>719</v>
      </c>
      <c r="BJ133" s="4" t="s">
        <v>263</v>
      </c>
      <c r="BK133" s="4" t="s">
        <v>441</v>
      </c>
      <c r="BL133" s="4" t="s">
        <v>770</v>
      </c>
      <c r="BY133" s="4" t="s">
        <v>338</v>
      </c>
      <c r="BZ133" s="4" t="s">
        <v>298</v>
      </c>
      <c r="CA133" s="4" t="s">
        <v>632</v>
      </c>
      <c r="CD133" s="4" t="s">
        <v>263</v>
      </c>
      <c r="CE133" s="4" t="s">
        <v>346</v>
      </c>
      <c r="CF133" s="4" t="s">
        <v>1024</v>
      </c>
      <c r="DC133" s="4" t="s">
        <v>270</v>
      </c>
      <c r="DD133" s="4" t="s">
        <v>441</v>
      </c>
      <c r="DE133" s="4" t="s">
        <v>1283</v>
      </c>
      <c r="DM133" s="4" t="s">
        <v>272</v>
      </c>
      <c r="DN133" s="4" t="s">
        <v>441</v>
      </c>
      <c r="DO133" s="4" t="s">
        <v>722</v>
      </c>
    </row>
    <row r="134" spans="2:119">
      <c r="B134" s="4" t="s">
        <v>265</v>
      </c>
      <c r="C134" s="4" t="s">
        <v>32</v>
      </c>
      <c r="D134" s="4" t="s">
        <v>266</v>
      </c>
      <c r="G134" s="4" t="s">
        <v>265</v>
      </c>
      <c r="H134" s="4" t="s">
        <v>289</v>
      </c>
      <c r="I134" s="4" t="s">
        <v>266</v>
      </c>
      <c r="L134" s="4" t="s">
        <v>247</v>
      </c>
      <c r="M134" s="4" t="s">
        <v>32</v>
      </c>
      <c r="N134" s="4" t="s">
        <v>248</v>
      </c>
      <c r="Q134" s="4" t="s">
        <v>247</v>
      </c>
      <c r="R134" s="4" t="s">
        <v>289</v>
      </c>
      <c r="S134" s="4" t="s">
        <v>248</v>
      </c>
      <c r="AA134" s="4" t="s">
        <v>247</v>
      </c>
      <c r="AB134" s="4" t="s">
        <v>345</v>
      </c>
      <c r="AC134" s="4" t="s">
        <v>248</v>
      </c>
      <c r="AK134" s="4" t="s">
        <v>265</v>
      </c>
      <c r="AL134" s="4" t="s">
        <v>441</v>
      </c>
      <c r="AM134" s="4" t="s">
        <v>266</v>
      </c>
      <c r="AP134" s="4" t="s">
        <v>255</v>
      </c>
      <c r="AQ134" s="4" t="s">
        <v>441</v>
      </c>
      <c r="AR134" s="4" t="s">
        <v>714</v>
      </c>
      <c r="AZ134" s="4" t="s">
        <v>247</v>
      </c>
      <c r="BA134" s="4" t="s">
        <v>345</v>
      </c>
      <c r="BB134" s="4" t="s">
        <v>710</v>
      </c>
      <c r="BE134" s="4" t="s">
        <v>267</v>
      </c>
      <c r="BF134" s="4" t="s">
        <v>441</v>
      </c>
      <c r="BG134" s="4" t="s">
        <v>719</v>
      </c>
      <c r="BJ134" s="4" t="s">
        <v>265</v>
      </c>
      <c r="BK134" s="4" t="s">
        <v>441</v>
      </c>
      <c r="BL134" s="4" t="s">
        <v>771</v>
      </c>
      <c r="CD134" s="4" t="s">
        <v>265</v>
      </c>
      <c r="CE134" s="4" t="s">
        <v>441</v>
      </c>
      <c r="CF134" s="4" t="s">
        <v>457</v>
      </c>
      <c r="DC134" s="4" t="s">
        <v>272</v>
      </c>
      <c r="DD134" s="4" t="s">
        <v>345</v>
      </c>
      <c r="DE134" s="4" t="s">
        <v>1323</v>
      </c>
      <c r="DM134" s="4" t="s">
        <v>274</v>
      </c>
      <c r="DN134" s="4" t="s">
        <v>346</v>
      </c>
      <c r="DO134" s="4" t="s">
        <v>1394</v>
      </c>
    </row>
    <row r="135" spans="2:119">
      <c r="B135" s="4" t="s">
        <v>267</v>
      </c>
      <c r="C135" s="4" t="s">
        <v>32</v>
      </c>
      <c r="D135" s="4" t="s">
        <v>266</v>
      </c>
      <c r="G135" s="4" t="s">
        <v>267</v>
      </c>
      <c r="H135" s="4" t="s">
        <v>289</v>
      </c>
      <c r="I135" s="4" t="s">
        <v>266</v>
      </c>
      <c r="L135" s="4" t="s">
        <v>249</v>
      </c>
      <c r="M135" s="4" t="s">
        <v>55</v>
      </c>
      <c r="N135" s="4" t="s">
        <v>250</v>
      </c>
      <c r="Q135" s="4" t="s">
        <v>249</v>
      </c>
      <c r="R135" s="4" t="s">
        <v>293</v>
      </c>
      <c r="S135" s="4" t="s">
        <v>250</v>
      </c>
      <c r="AA135" s="4" t="s">
        <v>249</v>
      </c>
      <c r="AB135" s="4" t="s">
        <v>346</v>
      </c>
      <c r="AC135" s="4" t="s">
        <v>250</v>
      </c>
      <c r="AK135" s="4" t="s">
        <v>267</v>
      </c>
      <c r="AL135" s="4" t="s">
        <v>441</v>
      </c>
      <c r="AM135" s="4" t="s">
        <v>266</v>
      </c>
      <c r="AP135" s="4" t="s">
        <v>257</v>
      </c>
      <c r="AQ135" s="4" t="s">
        <v>441</v>
      </c>
      <c r="AR135" s="4" t="s">
        <v>715</v>
      </c>
      <c r="AZ135" s="4" t="s">
        <v>249</v>
      </c>
      <c r="BA135" s="4" t="s">
        <v>346</v>
      </c>
      <c r="BB135" s="4" t="s">
        <v>711</v>
      </c>
      <c r="BE135" s="4" t="s">
        <v>268</v>
      </c>
      <c r="BF135" s="4" t="s">
        <v>345</v>
      </c>
      <c r="BG135" s="4" t="s">
        <v>720</v>
      </c>
      <c r="BJ135" s="4" t="s">
        <v>267</v>
      </c>
      <c r="BK135" s="4" t="s">
        <v>441</v>
      </c>
      <c r="BL135" s="4" t="s">
        <v>771</v>
      </c>
      <c r="CD135" s="4" t="s">
        <v>267</v>
      </c>
      <c r="CE135" s="4" t="s">
        <v>441</v>
      </c>
      <c r="CF135" s="4" t="s">
        <v>457</v>
      </c>
      <c r="DC135" s="4" t="s">
        <v>274</v>
      </c>
      <c r="DD135" s="4" t="s">
        <v>441</v>
      </c>
      <c r="DE135" s="4" t="s">
        <v>1324</v>
      </c>
      <c r="DM135" s="4" t="s">
        <v>276</v>
      </c>
      <c r="DN135" s="4" t="s">
        <v>345</v>
      </c>
      <c r="DO135" s="4" t="s">
        <v>1395</v>
      </c>
    </row>
    <row r="136" spans="2:119">
      <c r="B136" s="4" t="s">
        <v>268</v>
      </c>
      <c r="C136" s="4" t="s">
        <v>55</v>
      </c>
      <c r="D136" s="4" t="s">
        <v>269</v>
      </c>
      <c r="G136" s="4" t="s">
        <v>268</v>
      </c>
      <c r="H136" s="4" t="s">
        <v>293</v>
      </c>
      <c r="I136" s="4" t="s">
        <v>307</v>
      </c>
      <c r="L136" s="4" t="s">
        <v>251</v>
      </c>
      <c r="M136" s="4" t="s">
        <v>32</v>
      </c>
      <c r="N136" s="4" t="s">
        <v>252</v>
      </c>
      <c r="Q136" s="4" t="s">
        <v>251</v>
      </c>
      <c r="R136" s="4" t="s">
        <v>289</v>
      </c>
      <c r="S136" s="4" t="s">
        <v>252</v>
      </c>
      <c r="AA136" s="4" t="s">
        <v>251</v>
      </c>
      <c r="AB136" s="4" t="s">
        <v>345</v>
      </c>
      <c r="AC136" s="4" t="s">
        <v>252</v>
      </c>
      <c r="AK136" s="4" t="s">
        <v>268</v>
      </c>
      <c r="AL136" s="4" t="s">
        <v>441</v>
      </c>
      <c r="AM136" s="4" t="s">
        <v>307</v>
      </c>
      <c r="AP136" s="4" t="s">
        <v>259</v>
      </c>
      <c r="AQ136" s="4" t="s">
        <v>441</v>
      </c>
      <c r="AR136" s="4" t="s">
        <v>716</v>
      </c>
      <c r="AZ136" s="4" t="s">
        <v>251</v>
      </c>
      <c r="BA136" s="4" t="s">
        <v>345</v>
      </c>
      <c r="BB136" s="4" t="s">
        <v>712</v>
      </c>
      <c r="BE136" s="4" t="s">
        <v>270</v>
      </c>
      <c r="BF136" s="4" t="s">
        <v>441</v>
      </c>
      <c r="BG136" s="4" t="s">
        <v>721</v>
      </c>
      <c r="BJ136" s="4" t="s">
        <v>268</v>
      </c>
      <c r="BK136" s="4" t="s">
        <v>441</v>
      </c>
      <c r="BL136" s="4" t="s">
        <v>772</v>
      </c>
      <c r="CD136" s="4" t="s">
        <v>268</v>
      </c>
      <c r="CE136" s="4" t="s">
        <v>446</v>
      </c>
      <c r="CF136" s="4" t="s">
        <v>269</v>
      </c>
      <c r="DC136" s="4" t="s">
        <v>276</v>
      </c>
      <c r="DD136" s="4" t="s">
        <v>441</v>
      </c>
      <c r="DE136" s="4" t="s">
        <v>1325</v>
      </c>
      <c r="DM136" s="4" t="s">
        <v>280</v>
      </c>
      <c r="DN136" s="4" t="s">
        <v>441</v>
      </c>
      <c r="DO136" s="4" t="s">
        <v>725</v>
      </c>
    </row>
    <row r="137" spans="2:119">
      <c r="B137" s="4" t="s">
        <v>270</v>
      </c>
      <c r="C137" s="4" t="s">
        <v>32</v>
      </c>
      <c r="D137" s="4" t="s">
        <v>271</v>
      </c>
      <c r="G137" s="4" t="s">
        <v>270</v>
      </c>
      <c r="H137" s="4" t="s">
        <v>289</v>
      </c>
      <c r="I137" s="4" t="s">
        <v>271</v>
      </c>
      <c r="L137" s="4" t="s">
        <v>253</v>
      </c>
      <c r="M137" s="4" t="s">
        <v>32</v>
      </c>
      <c r="N137" s="4" t="s">
        <v>254</v>
      </c>
      <c r="Q137" s="4" t="s">
        <v>253</v>
      </c>
      <c r="R137" s="4" t="s">
        <v>289</v>
      </c>
      <c r="S137" s="4" t="s">
        <v>254</v>
      </c>
      <c r="AA137" s="4" t="s">
        <v>253</v>
      </c>
      <c r="AB137" s="4" t="s">
        <v>345</v>
      </c>
      <c r="AC137" s="4" t="s">
        <v>254</v>
      </c>
      <c r="AK137" s="4" t="s">
        <v>270</v>
      </c>
      <c r="AL137" s="4" t="s">
        <v>441</v>
      </c>
      <c r="AM137" s="4" t="s">
        <v>271</v>
      </c>
      <c r="AP137" s="4" t="s">
        <v>261</v>
      </c>
      <c r="AQ137" s="4" t="s">
        <v>441</v>
      </c>
      <c r="AR137" s="4" t="s">
        <v>717</v>
      </c>
      <c r="AZ137" s="4" t="s">
        <v>253</v>
      </c>
      <c r="BA137" s="4" t="s">
        <v>345</v>
      </c>
      <c r="BB137" s="4" t="s">
        <v>713</v>
      </c>
      <c r="BE137" s="4" t="s">
        <v>272</v>
      </c>
      <c r="BF137" s="4" t="s">
        <v>441</v>
      </c>
      <c r="BG137" s="4" t="s">
        <v>722</v>
      </c>
      <c r="BJ137" s="4" t="s">
        <v>270</v>
      </c>
      <c r="BK137" s="4" t="s">
        <v>441</v>
      </c>
      <c r="BL137" s="4" t="s">
        <v>773</v>
      </c>
      <c r="CD137" s="4" t="s">
        <v>270</v>
      </c>
      <c r="CE137" s="4" t="s">
        <v>360</v>
      </c>
      <c r="CF137" s="4" t="s">
        <v>1025</v>
      </c>
      <c r="DC137" s="4" t="s">
        <v>278</v>
      </c>
      <c r="DD137" s="4" t="s">
        <v>345</v>
      </c>
      <c r="DE137" s="4" t="s">
        <v>1326</v>
      </c>
      <c r="DM137" s="4" t="s">
        <v>282</v>
      </c>
      <c r="DN137" s="4" t="s">
        <v>441</v>
      </c>
      <c r="DO137" s="4" t="s">
        <v>726</v>
      </c>
    </row>
    <row r="138" spans="2:119">
      <c r="B138" s="4" t="s">
        <v>272</v>
      </c>
      <c r="C138" s="4" t="s">
        <v>32</v>
      </c>
      <c r="D138" s="4" t="s">
        <v>273</v>
      </c>
      <c r="G138" s="4" t="s">
        <v>272</v>
      </c>
      <c r="H138" s="4" t="s">
        <v>289</v>
      </c>
      <c r="I138" s="4" t="s">
        <v>273</v>
      </c>
      <c r="L138" s="4" t="s">
        <v>255</v>
      </c>
      <c r="M138" s="4" t="s">
        <v>32</v>
      </c>
      <c r="N138" s="4" t="s">
        <v>335</v>
      </c>
      <c r="Q138" s="4" t="s">
        <v>255</v>
      </c>
      <c r="R138" s="4" t="s">
        <v>289</v>
      </c>
      <c r="S138" s="4" t="s">
        <v>256</v>
      </c>
      <c r="AA138" s="4" t="s">
        <v>255</v>
      </c>
      <c r="AB138" s="4" t="s">
        <v>345</v>
      </c>
      <c r="AC138" s="4" t="s">
        <v>256</v>
      </c>
      <c r="AK138" s="4" t="s">
        <v>272</v>
      </c>
      <c r="AL138" s="4" t="s">
        <v>441</v>
      </c>
      <c r="AM138" s="4" t="s">
        <v>273</v>
      </c>
      <c r="AP138" s="4" t="s">
        <v>263</v>
      </c>
      <c r="AQ138" s="4" t="s">
        <v>441</v>
      </c>
      <c r="AR138" s="4" t="s">
        <v>718</v>
      </c>
      <c r="AZ138" s="4" t="s">
        <v>255</v>
      </c>
      <c r="BA138" s="4" t="s">
        <v>345</v>
      </c>
      <c r="BB138" s="4" t="s">
        <v>714</v>
      </c>
      <c r="BE138" s="4" t="s">
        <v>274</v>
      </c>
      <c r="BF138" s="4" t="s">
        <v>441</v>
      </c>
      <c r="BG138" s="4" t="s">
        <v>723</v>
      </c>
      <c r="BJ138" s="4" t="s">
        <v>272</v>
      </c>
      <c r="BK138" s="4" t="s">
        <v>441</v>
      </c>
      <c r="BL138" s="4" t="s">
        <v>774</v>
      </c>
      <c r="CD138" s="4" t="s">
        <v>272</v>
      </c>
      <c r="CE138" s="4" t="s">
        <v>346</v>
      </c>
      <c r="CF138" s="4" t="s">
        <v>1026</v>
      </c>
      <c r="DC138" s="4" t="s">
        <v>280</v>
      </c>
      <c r="DD138" s="4" t="s">
        <v>441</v>
      </c>
      <c r="DE138" s="4" t="s">
        <v>1327</v>
      </c>
      <c r="DM138" s="4" t="s">
        <v>336</v>
      </c>
      <c r="DN138" s="4" t="s">
        <v>450</v>
      </c>
      <c r="DO138" s="4" t="s">
        <v>632</v>
      </c>
    </row>
    <row r="139" spans="2:119">
      <c r="B139" s="4" t="s">
        <v>274</v>
      </c>
      <c r="C139" s="4" t="s">
        <v>32</v>
      </c>
      <c r="D139" s="4" t="s">
        <v>275</v>
      </c>
      <c r="G139" s="4" t="s">
        <v>274</v>
      </c>
      <c r="H139" s="4" t="s">
        <v>289</v>
      </c>
      <c r="I139" s="4" t="s">
        <v>275</v>
      </c>
      <c r="L139" s="4" t="s">
        <v>257</v>
      </c>
      <c r="M139" s="4" t="s">
        <v>32</v>
      </c>
      <c r="N139" s="4" t="s">
        <v>258</v>
      </c>
      <c r="Q139" s="4" t="s">
        <v>257</v>
      </c>
      <c r="R139" s="4" t="s">
        <v>289</v>
      </c>
      <c r="S139" s="4" t="s">
        <v>258</v>
      </c>
      <c r="AA139" s="4" t="s">
        <v>257</v>
      </c>
      <c r="AB139" s="4" t="s">
        <v>345</v>
      </c>
      <c r="AC139" s="4" t="s">
        <v>258</v>
      </c>
      <c r="AK139" s="4" t="s">
        <v>274</v>
      </c>
      <c r="AL139" s="4" t="s">
        <v>441</v>
      </c>
      <c r="AM139" s="4" t="s">
        <v>275</v>
      </c>
      <c r="AP139" s="4" t="s">
        <v>265</v>
      </c>
      <c r="AQ139" s="4" t="s">
        <v>441</v>
      </c>
      <c r="AR139" s="4" t="s">
        <v>719</v>
      </c>
      <c r="AZ139" s="4" t="s">
        <v>257</v>
      </c>
      <c r="BA139" s="4" t="s">
        <v>345</v>
      </c>
      <c r="BB139" s="4" t="s">
        <v>715</v>
      </c>
      <c r="BE139" s="4" t="s">
        <v>276</v>
      </c>
      <c r="BF139" s="4" t="s">
        <v>441</v>
      </c>
      <c r="BG139" s="4" t="s">
        <v>724</v>
      </c>
      <c r="BJ139" s="4" t="s">
        <v>274</v>
      </c>
      <c r="BK139" s="4" t="s">
        <v>441</v>
      </c>
      <c r="BL139" s="4" t="s">
        <v>775</v>
      </c>
      <c r="CD139" s="4" t="s">
        <v>274</v>
      </c>
      <c r="CE139" s="4" t="s">
        <v>446</v>
      </c>
      <c r="CF139" s="4" t="s">
        <v>1027</v>
      </c>
      <c r="DC139" s="4" t="s">
        <v>282</v>
      </c>
      <c r="DD139" s="4" t="s">
        <v>345</v>
      </c>
      <c r="DE139" s="4" t="s">
        <v>1328</v>
      </c>
      <c r="DM139" s="4" t="s">
        <v>337</v>
      </c>
      <c r="DN139" s="4" t="s">
        <v>360</v>
      </c>
      <c r="DO139" s="4" t="s">
        <v>632</v>
      </c>
    </row>
    <row r="140" spans="2:119">
      <c r="B140" s="4" t="s">
        <v>276</v>
      </c>
      <c r="C140" s="4" t="s">
        <v>32</v>
      </c>
      <c r="D140" s="4" t="s">
        <v>277</v>
      </c>
      <c r="G140" s="4" t="s">
        <v>276</v>
      </c>
      <c r="H140" s="4" t="s">
        <v>289</v>
      </c>
      <c r="I140" s="4" t="s">
        <v>277</v>
      </c>
      <c r="L140" s="4" t="s">
        <v>259</v>
      </c>
      <c r="M140" s="4" t="s">
        <v>32</v>
      </c>
      <c r="N140" s="4" t="s">
        <v>260</v>
      </c>
      <c r="Q140" s="4" t="s">
        <v>259</v>
      </c>
      <c r="R140" s="4" t="s">
        <v>289</v>
      </c>
      <c r="S140" s="4" t="s">
        <v>260</v>
      </c>
      <c r="AA140" s="4" t="s">
        <v>259</v>
      </c>
      <c r="AB140" s="4" t="s">
        <v>345</v>
      </c>
      <c r="AC140" s="4" t="s">
        <v>260</v>
      </c>
      <c r="AK140" s="4" t="s">
        <v>276</v>
      </c>
      <c r="AL140" s="4" t="s">
        <v>441</v>
      </c>
      <c r="AM140" s="4" t="s">
        <v>277</v>
      </c>
      <c r="AP140" s="4" t="s">
        <v>267</v>
      </c>
      <c r="AQ140" s="4" t="s">
        <v>441</v>
      </c>
      <c r="AR140" s="4" t="s">
        <v>719</v>
      </c>
      <c r="AZ140" s="4" t="s">
        <v>259</v>
      </c>
      <c r="BA140" s="4" t="s">
        <v>345</v>
      </c>
      <c r="BB140" s="4" t="s">
        <v>716</v>
      </c>
      <c r="BE140" s="4" t="s">
        <v>280</v>
      </c>
      <c r="BF140" s="4" t="s">
        <v>441</v>
      </c>
      <c r="BG140" s="4" t="s">
        <v>725</v>
      </c>
      <c r="BJ140" s="4" t="s">
        <v>276</v>
      </c>
      <c r="BK140" s="4" t="s">
        <v>441</v>
      </c>
      <c r="BL140" s="4" t="s">
        <v>776</v>
      </c>
      <c r="CD140" s="4" t="s">
        <v>276</v>
      </c>
      <c r="CE140" s="4" t="s">
        <v>446</v>
      </c>
      <c r="CF140" s="4" t="s">
        <v>458</v>
      </c>
      <c r="DM140" s="4" t="s">
        <v>338</v>
      </c>
      <c r="DN140" s="4" t="s">
        <v>346</v>
      </c>
      <c r="DO140" s="4" t="s">
        <v>632</v>
      </c>
    </row>
    <row r="141" spans="2:119">
      <c r="B141" s="4" t="s">
        <v>278</v>
      </c>
      <c r="C141" s="4" t="s">
        <v>104</v>
      </c>
      <c r="D141" s="4" t="s">
        <v>279</v>
      </c>
      <c r="G141" s="4" t="s">
        <v>278</v>
      </c>
      <c r="H141" s="4" t="s">
        <v>298</v>
      </c>
      <c r="I141" s="4" t="s">
        <v>308</v>
      </c>
      <c r="L141" s="4" t="s">
        <v>261</v>
      </c>
      <c r="M141" s="4" t="s">
        <v>32</v>
      </c>
      <c r="N141" s="4" t="s">
        <v>262</v>
      </c>
      <c r="Q141" s="4" t="s">
        <v>261</v>
      </c>
      <c r="R141" s="4" t="s">
        <v>289</v>
      </c>
      <c r="S141" s="4" t="s">
        <v>262</v>
      </c>
      <c r="AA141" s="4" t="s">
        <v>261</v>
      </c>
      <c r="AB141" s="4" t="s">
        <v>345</v>
      </c>
      <c r="AC141" s="4" t="s">
        <v>262</v>
      </c>
      <c r="AK141" s="4" t="s">
        <v>278</v>
      </c>
      <c r="AL141" s="4" t="s">
        <v>441</v>
      </c>
      <c r="AM141" s="4" t="s">
        <v>308</v>
      </c>
      <c r="AP141" s="4" t="s">
        <v>268</v>
      </c>
      <c r="AQ141" s="4" t="s">
        <v>345</v>
      </c>
      <c r="AR141" s="4" t="s">
        <v>720</v>
      </c>
      <c r="AZ141" s="4" t="s">
        <v>261</v>
      </c>
      <c r="BA141" s="4" t="s">
        <v>345</v>
      </c>
      <c r="BB141" s="4" t="s">
        <v>769</v>
      </c>
      <c r="BE141" s="4" t="s">
        <v>282</v>
      </c>
      <c r="BF141" s="4" t="s">
        <v>441</v>
      </c>
      <c r="BG141" s="4" t="s">
        <v>726</v>
      </c>
      <c r="BJ141" s="4" t="s">
        <v>278</v>
      </c>
      <c r="BK141" s="4" t="s">
        <v>441</v>
      </c>
      <c r="BL141" s="4" t="s">
        <v>777</v>
      </c>
      <c r="CD141" s="4" t="s">
        <v>278</v>
      </c>
      <c r="CE141" s="4" t="s">
        <v>441</v>
      </c>
      <c r="CF141" s="4" t="s">
        <v>279</v>
      </c>
    </row>
    <row r="142" spans="2:119">
      <c r="B142" s="4" t="s">
        <v>280</v>
      </c>
      <c r="C142" s="4" t="s">
        <v>32</v>
      </c>
      <c r="D142" s="4" t="s">
        <v>281</v>
      </c>
      <c r="G142" s="4" t="s">
        <v>280</v>
      </c>
      <c r="H142" s="4" t="s">
        <v>289</v>
      </c>
      <c r="I142" s="4" t="s">
        <v>281</v>
      </c>
      <c r="L142" s="4" t="s">
        <v>263</v>
      </c>
      <c r="M142" s="4" t="s">
        <v>32</v>
      </c>
      <c r="N142" s="4" t="s">
        <v>264</v>
      </c>
      <c r="Q142" s="4" t="s">
        <v>263</v>
      </c>
      <c r="R142" s="4" t="s">
        <v>289</v>
      </c>
      <c r="S142" s="4" t="s">
        <v>264</v>
      </c>
      <c r="AA142" s="4" t="s">
        <v>263</v>
      </c>
      <c r="AB142" s="4" t="s">
        <v>345</v>
      </c>
      <c r="AC142" s="4" t="s">
        <v>264</v>
      </c>
      <c r="AK142" s="4" t="s">
        <v>280</v>
      </c>
      <c r="AL142" s="4" t="s">
        <v>441</v>
      </c>
      <c r="AM142" s="4" t="s">
        <v>281</v>
      </c>
      <c r="AP142" s="4" t="s">
        <v>270</v>
      </c>
      <c r="AQ142" s="4" t="s">
        <v>441</v>
      </c>
      <c r="AR142" s="4" t="s">
        <v>721</v>
      </c>
      <c r="AZ142" s="4" t="s">
        <v>263</v>
      </c>
      <c r="BA142" s="4" t="s">
        <v>345</v>
      </c>
      <c r="BB142" s="4" t="s">
        <v>770</v>
      </c>
      <c r="BE142" s="4" t="s">
        <v>336</v>
      </c>
      <c r="BF142" s="4" t="s">
        <v>438</v>
      </c>
      <c r="BG142" s="4" t="s">
        <v>632</v>
      </c>
      <c r="BJ142" s="4" t="s">
        <v>280</v>
      </c>
      <c r="BK142" s="4" t="s">
        <v>441</v>
      </c>
      <c r="BL142" s="4" t="s">
        <v>778</v>
      </c>
      <c r="CD142" s="4" t="s">
        <v>280</v>
      </c>
      <c r="CE142" s="4" t="s">
        <v>441</v>
      </c>
      <c r="CF142" s="4" t="s">
        <v>1028</v>
      </c>
    </row>
    <row r="143" spans="2:119">
      <c r="B143" s="4" t="s">
        <v>282</v>
      </c>
      <c r="C143" s="4" t="s">
        <v>32</v>
      </c>
      <c r="D143" s="4" t="s">
        <v>283</v>
      </c>
      <c r="G143" s="4" t="s">
        <v>282</v>
      </c>
      <c r="H143" s="4" t="s">
        <v>289</v>
      </c>
      <c r="I143" s="4" t="s">
        <v>283</v>
      </c>
      <c r="L143" s="4" t="s">
        <v>265</v>
      </c>
      <c r="M143" s="4" t="s">
        <v>32</v>
      </c>
      <c r="N143" s="4" t="s">
        <v>266</v>
      </c>
      <c r="Q143" s="4" t="s">
        <v>265</v>
      </c>
      <c r="R143" s="4" t="s">
        <v>289</v>
      </c>
      <c r="S143" s="4" t="s">
        <v>266</v>
      </c>
      <c r="AA143" s="4" t="s">
        <v>265</v>
      </c>
      <c r="AB143" s="4" t="s">
        <v>345</v>
      </c>
      <c r="AC143" s="4" t="s">
        <v>457</v>
      </c>
      <c r="AK143" s="4" t="s">
        <v>282</v>
      </c>
      <c r="AL143" s="4" t="s">
        <v>441</v>
      </c>
      <c r="AM143" s="4" t="s">
        <v>283</v>
      </c>
      <c r="AP143" s="4" t="s">
        <v>272</v>
      </c>
      <c r="AQ143" s="4" t="s">
        <v>441</v>
      </c>
      <c r="AR143" s="4" t="s">
        <v>722</v>
      </c>
      <c r="AZ143" s="4" t="s">
        <v>265</v>
      </c>
      <c r="BA143" s="4" t="s">
        <v>345</v>
      </c>
      <c r="BB143" s="4" t="s">
        <v>771</v>
      </c>
      <c r="BE143" s="4" t="s">
        <v>337</v>
      </c>
      <c r="BF143" s="4" t="s">
        <v>345</v>
      </c>
      <c r="BG143" s="4" t="s">
        <v>632</v>
      </c>
      <c r="BJ143" s="4" t="s">
        <v>282</v>
      </c>
      <c r="BK143" s="4" t="s">
        <v>441</v>
      </c>
      <c r="BL143" s="4" t="s">
        <v>779</v>
      </c>
      <c r="CD143" s="4" t="s">
        <v>282</v>
      </c>
      <c r="CE143" s="4" t="s">
        <v>360</v>
      </c>
      <c r="CF143" s="4" t="s">
        <v>1029</v>
      </c>
    </row>
    <row r="144" spans="2:119">
      <c r="B144" s="4" t="s">
        <v>284</v>
      </c>
      <c r="C144" s="4" t="s">
        <v>104</v>
      </c>
      <c r="D144" s="4" t="s">
        <v>30</v>
      </c>
      <c r="G144" s="4" t="s">
        <v>284</v>
      </c>
      <c r="H144" s="4" t="s">
        <v>298</v>
      </c>
      <c r="I144" s="4" t="s">
        <v>30</v>
      </c>
      <c r="L144" s="4" t="s">
        <v>267</v>
      </c>
      <c r="M144" s="4" t="s">
        <v>32</v>
      </c>
      <c r="N144" s="4" t="s">
        <v>266</v>
      </c>
      <c r="Q144" s="4" t="s">
        <v>267</v>
      </c>
      <c r="R144" s="4" t="s">
        <v>289</v>
      </c>
      <c r="S144" s="4" t="s">
        <v>266</v>
      </c>
      <c r="AA144" s="4" t="s">
        <v>267</v>
      </c>
      <c r="AB144" s="4" t="s">
        <v>345</v>
      </c>
      <c r="AC144" s="4" t="s">
        <v>457</v>
      </c>
      <c r="AK144" s="4" t="s">
        <v>284</v>
      </c>
      <c r="AL144" s="4" t="s">
        <v>441</v>
      </c>
      <c r="AM144" s="4" t="s">
        <v>30</v>
      </c>
      <c r="AP144" s="4" t="s">
        <v>274</v>
      </c>
      <c r="AQ144" s="4" t="s">
        <v>441</v>
      </c>
      <c r="AR144" s="4" t="s">
        <v>723</v>
      </c>
      <c r="AZ144" s="4" t="s">
        <v>267</v>
      </c>
      <c r="BA144" s="4" t="s">
        <v>345</v>
      </c>
      <c r="BB144" s="4" t="s">
        <v>771</v>
      </c>
      <c r="BE144" s="4" t="s">
        <v>338</v>
      </c>
      <c r="BF144" s="4" t="s">
        <v>345</v>
      </c>
      <c r="BG144" s="4" t="s">
        <v>632</v>
      </c>
      <c r="BJ144" s="4" t="s">
        <v>284</v>
      </c>
      <c r="BK144" s="4" t="s">
        <v>441</v>
      </c>
      <c r="BL144" s="4" t="s">
        <v>732</v>
      </c>
      <c r="CD144" s="4" t="s">
        <v>336</v>
      </c>
      <c r="CE144" s="4" t="s">
        <v>346</v>
      </c>
      <c r="CF144" s="4" t="s">
        <v>1030</v>
      </c>
    </row>
    <row r="145" spans="12:84">
      <c r="L145" s="4" t="s">
        <v>268</v>
      </c>
      <c r="M145" s="4" t="s">
        <v>55</v>
      </c>
      <c r="N145" s="4" t="s">
        <v>269</v>
      </c>
      <c r="Q145" s="4" t="s">
        <v>268</v>
      </c>
      <c r="R145" s="4" t="s">
        <v>293</v>
      </c>
      <c r="S145" s="4" t="s">
        <v>307</v>
      </c>
      <c r="AA145" s="4" t="s">
        <v>268</v>
      </c>
      <c r="AB145" s="4" t="s">
        <v>346</v>
      </c>
      <c r="AC145" s="4" t="s">
        <v>307</v>
      </c>
      <c r="AK145" s="4" t="s">
        <v>631</v>
      </c>
      <c r="AL145" s="4" t="s">
        <v>441</v>
      </c>
      <c r="AM145" s="4" t="s">
        <v>30</v>
      </c>
      <c r="AP145" s="4" t="s">
        <v>276</v>
      </c>
      <c r="AQ145" s="4" t="s">
        <v>441</v>
      </c>
      <c r="AR145" s="4" t="s">
        <v>724</v>
      </c>
      <c r="AZ145" s="4" t="s">
        <v>268</v>
      </c>
      <c r="BA145" s="4" t="s">
        <v>346</v>
      </c>
      <c r="BB145" s="4" t="s">
        <v>772</v>
      </c>
      <c r="CD145" s="4" t="s">
        <v>337</v>
      </c>
      <c r="CE145" s="4" t="s">
        <v>345</v>
      </c>
      <c r="CF145" s="4" t="s">
        <v>1030</v>
      </c>
    </row>
    <row r="146" spans="12:84">
      <c r="L146" s="4" t="s">
        <v>270</v>
      </c>
      <c r="M146" s="4" t="s">
        <v>32</v>
      </c>
      <c r="N146" s="4" t="s">
        <v>271</v>
      </c>
      <c r="Q146" s="4" t="s">
        <v>270</v>
      </c>
      <c r="R146" s="4" t="s">
        <v>289</v>
      </c>
      <c r="S146" s="4" t="s">
        <v>271</v>
      </c>
      <c r="AA146" s="4" t="s">
        <v>270</v>
      </c>
      <c r="AB146" s="4" t="s">
        <v>345</v>
      </c>
      <c r="AC146" s="4" t="s">
        <v>271</v>
      </c>
      <c r="AP146" s="4" t="s">
        <v>280</v>
      </c>
      <c r="AQ146" s="4" t="s">
        <v>441</v>
      </c>
      <c r="AR146" s="4" t="s">
        <v>725</v>
      </c>
      <c r="AZ146" s="4" t="s">
        <v>270</v>
      </c>
      <c r="BA146" s="4" t="s">
        <v>345</v>
      </c>
      <c r="BB146" s="4" t="s">
        <v>773</v>
      </c>
      <c r="CD146" s="4" t="s">
        <v>338</v>
      </c>
      <c r="CE146" s="4" t="s">
        <v>346</v>
      </c>
      <c r="CF146" s="4" t="s">
        <v>1030</v>
      </c>
    </row>
    <row r="147" spans="12:84">
      <c r="L147" s="4" t="s">
        <v>272</v>
      </c>
      <c r="M147" s="4" t="s">
        <v>32</v>
      </c>
      <c r="N147" s="4" t="s">
        <v>273</v>
      </c>
      <c r="Q147" s="4" t="s">
        <v>272</v>
      </c>
      <c r="R147" s="4" t="s">
        <v>289</v>
      </c>
      <c r="S147" s="4" t="s">
        <v>273</v>
      </c>
      <c r="AA147" s="4" t="s">
        <v>272</v>
      </c>
      <c r="AB147" s="4" t="s">
        <v>345</v>
      </c>
      <c r="AC147" s="4" t="s">
        <v>273</v>
      </c>
      <c r="AP147" s="4" t="s">
        <v>282</v>
      </c>
      <c r="AQ147" s="4" t="s">
        <v>441</v>
      </c>
      <c r="AR147" s="4" t="s">
        <v>726</v>
      </c>
      <c r="AZ147" s="4" t="s">
        <v>272</v>
      </c>
      <c r="BA147" s="4" t="s">
        <v>345</v>
      </c>
      <c r="BB147" s="4" t="s">
        <v>774</v>
      </c>
      <c r="CD147" s="4" t="s">
        <v>284</v>
      </c>
      <c r="CE147" s="4" t="s">
        <v>1031</v>
      </c>
      <c r="CF147" s="4" t="s">
        <v>1032</v>
      </c>
    </row>
    <row r="148" spans="12:84">
      <c r="L148" s="4" t="s">
        <v>274</v>
      </c>
      <c r="M148" s="4" t="s">
        <v>32</v>
      </c>
      <c r="N148" s="4" t="s">
        <v>275</v>
      </c>
      <c r="Q148" s="4" t="s">
        <v>274</v>
      </c>
      <c r="R148" s="4" t="s">
        <v>289</v>
      </c>
      <c r="S148" s="4" t="s">
        <v>275</v>
      </c>
      <c r="AA148" s="4" t="s">
        <v>274</v>
      </c>
      <c r="AB148" s="4" t="s">
        <v>345</v>
      </c>
      <c r="AC148" s="4" t="s">
        <v>275</v>
      </c>
      <c r="AP148" s="4" t="s">
        <v>336</v>
      </c>
      <c r="AQ148" s="4" t="s">
        <v>104</v>
      </c>
      <c r="AR148" s="4" t="s">
        <v>632</v>
      </c>
      <c r="AZ148" s="4" t="s">
        <v>274</v>
      </c>
      <c r="BA148" s="4" t="s">
        <v>345</v>
      </c>
      <c r="BB148" s="4" t="s">
        <v>775</v>
      </c>
    </row>
    <row r="149" spans="12:84">
      <c r="L149" s="4" t="s">
        <v>276</v>
      </c>
      <c r="M149" s="4" t="s">
        <v>32</v>
      </c>
      <c r="N149" s="4" t="s">
        <v>277</v>
      </c>
      <c r="Q149" s="4" t="s">
        <v>276</v>
      </c>
      <c r="R149" s="4" t="s">
        <v>289</v>
      </c>
      <c r="S149" s="4" t="s">
        <v>277</v>
      </c>
      <c r="AA149" s="4" t="s">
        <v>276</v>
      </c>
      <c r="AB149" s="4" t="s">
        <v>345</v>
      </c>
      <c r="AC149" s="4" t="s">
        <v>458</v>
      </c>
      <c r="AP149" s="4" t="s">
        <v>337</v>
      </c>
      <c r="AQ149" s="4" t="s">
        <v>446</v>
      </c>
      <c r="AR149" s="4" t="s">
        <v>632</v>
      </c>
      <c r="AZ149" s="4" t="s">
        <v>276</v>
      </c>
      <c r="BA149" s="4" t="s">
        <v>345</v>
      </c>
      <c r="BB149" s="4" t="s">
        <v>776</v>
      </c>
    </row>
    <row r="150" spans="12:84">
      <c r="L150" s="4" t="s">
        <v>278</v>
      </c>
      <c r="M150" s="4" t="s">
        <v>104</v>
      </c>
      <c r="N150" s="4" t="s">
        <v>308</v>
      </c>
      <c r="Q150" s="4" t="s">
        <v>278</v>
      </c>
      <c r="R150" s="4" t="s">
        <v>298</v>
      </c>
      <c r="S150" s="4" t="s">
        <v>308</v>
      </c>
      <c r="AA150" s="4" t="s">
        <v>278</v>
      </c>
      <c r="AB150" s="4" t="s">
        <v>441</v>
      </c>
      <c r="AC150" s="4" t="s">
        <v>308</v>
      </c>
      <c r="AP150" s="4" t="s">
        <v>338</v>
      </c>
      <c r="AQ150" s="4" t="s">
        <v>360</v>
      </c>
      <c r="AR150" s="4" t="s">
        <v>632</v>
      </c>
      <c r="AZ150" s="4" t="s">
        <v>278</v>
      </c>
      <c r="BA150" s="4" t="s">
        <v>441</v>
      </c>
      <c r="BB150" s="4" t="s">
        <v>777</v>
      </c>
    </row>
    <row r="151" spans="12:84">
      <c r="L151" s="4" t="s">
        <v>280</v>
      </c>
      <c r="M151" s="4" t="s">
        <v>32</v>
      </c>
      <c r="N151" s="4" t="s">
        <v>281</v>
      </c>
      <c r="Q151" s="4" t="s">
        <v>280</v>
      </c>
      <c r="R151" s="4" t="s">
        <v>289</v>
      </c>
      <c r="S151" s="4" t="s">
        <v>281</v>
      </c>
      <c r="AA151" s="4" t="s">
        <v>280</v>
      </c>
      <c r="AB151" s="4" t="s">
        <v>345</v>
      </c>
      <c r="AC151" s="4" t="s">
        <v>281</v>
      </c>
      <c r="AP151" s="4" t="s">
        <v>284</v>
      </c>
      <c r="AQ151" s="4" t="s">
        <v>441</v>
      </c>
      <c r="AR151" s="4" t="s">
        <v>632</v>
      </c>
      <c r="AZ151" s="4" t="s">
        <v>280</v>
      </c>
      <c r="BA151" s="4" t="s">
        <v>345</v>
      </c>
      <c r="BB151" s="4" t="s">
        <v>778</v>
      </c>
    </row>
    <row r="152" spans="12:84">
      <c r="L152" s="4" t="s">
        <v>282</v>
      </c>
      <c r="M152" s="4" t="s">
        <v>32</v>
      </c>
      <c r="N152" s="4" t="s">
        <v>283</v>
      </c>
      <c r="Q152" s="4" t="s">
        <v>282</v>
      </c>
      <c r="R152" s="4" t="s">
        <v>289</v>
      </c>
      <c r="S152" s="4" t="s">
        <v>283</v>
      </c>
      <c r="AA152" s="4" t="s">
        <v>336</v>
      </c>
      <c r="AB152" s="4" t="s">
        <v>345</v>
      </c>
      <c r="AC152" s="4" t="s">
        <v>442</v>
      </c>
      <c r="AZ152" s="4" t="s">
        <v>282</v>
      </c>
      <c r="BA152" s="4" t="s">
        <v>345</v>
      </c>
      <c r="BB152" s="4" t="s">
        <v>779</v>
      </c>
    </row>
    <row r="153" spans="12:84">
      <c r="L153" s="4" t="s">
        <v>336</v>
      </c>
      <c r="M153" s="4" t="s">
        <v>32</v>
      </c>
      <c r="N153" s="4" t="s">
        <v>311</v>
      </c>
      <c r="Q153" s="4" t="s">
        <v>336</v>
      </c>
      <c r="R153" s="4" t="s">
        <v>289</v>
      </c>
      <c r="S153" s="4" t="s">
        <v>311</v>
      </c>
      <c r="AA153" s="4" t="s">
        <v>337</v>
      </c>
      <c r="AB153" s="4" t="s">
        <v>441</v>
      </c>
      <c r="AC153" s="4" t="s">
        <v>442</v>
      </c>
      <c r="AZ153" s="4" t="s">
        <v>336</v>
      </c>
      <c r="BA153" s="4" t="s">
        <v>345</v>
      </c>
      <c r="BB153" s="4" t="s">
        <v>632</v>
      </c>
    </row>
    <row r="154" spans="12:84">
      <c r="L154" s="4" t="s">
        <v>337</v>
      </c>
      <c r="M154" s="4" t="s">
        <v>104</v>
      </c>
      <c r="N154" s="4" t="s">
        <v>311</v>
      </c>
      <c r="Q154" s="4" t="s">
        <v>337</v>
      </c>
      <c r="R154" s="4" t="s">
        <v>298</v>
      </c>
      <c r="S154" s="4" t="s">
        <v>311</v>
      </c>
      <c r="AA154" s="4" t="s">
        <v>338</v>
      </c>
      <c r="AB154" s="4" t="s">
        <v>345</v>
      </c>
      <c r="AC154" s="4" t="s">
        <v>442</v>
      </c>
      <c r="AZ154" s="4" t="s">
        <v>337</v>
      </c>
      <c r="BA154" s="4" t="s">
        <v>441</v>
      </c>
      <c r="BB154" s="4" t="s">
        <v>632</v>
      </c>
    </row>
    <row r="155" spans="12:84">
      <c r="L155" s="4" t="s">
        <v>338</v>
      </c>
      <c r="M155" s="4" t="s">
        <v>32</v>
      </c>
      <c r="N155" s="4" t="s">
        <v>311</v>
      </c>
      <c r="Q155" s="4" t="s">
        <v>338</v>
      </c>
      <c r="R155" s="4" t="s">
        <v>289</v>
      </c>
      <c r="S155" s="4" t="s">
        <v>311</v>
      </c>
      <c r="AA155" s="4" t="s">
        <v>284</v>
      </c>
      <c r="AB155" s="4" t="s">
        <v>441</v>
      </c>
      <c r="AC155" s="4" t="s">
        <v>30</v>
      </c>
      <c r="AZ155" s="4" t="s">
        <v>338</v>
      </c>
      <c r="BA155" s="4" t="s">
        <v>345</v>
      </c>
      <c r="BB155" s="4" t="s">
        <v>632</v>
      </c>
    </row>
    <row r="156" spans="12:84">
      <c r="L156" s="4" t="s">
        <v>284</v>
      </c>
      <c r="M156" s="4" t="s">
        <v>104</v>
      </c>
      <c r="N156" s="4" t="s">
        <v>30</v>
      </c>
      <c r="Q156" s="4" t="s">
        <v>284</v>
      </c>
      <c r="R156" s="4" t="s">
        <v>298</v>
      </c>
      <c r="S156" s="4" t="s">
        <v>30</v>
      </c>
      <c r="AZ156" s="4" t="s">
        <v>284</v>
      </c>
      <c r="BA156" s="4" t="s">
        <v>441</v>
      </c>
      <c r="BB156" s="4" t="s">
        <v>732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SQL</vt:lpstr>
      <vt:lpstr>Sheet5</vt:lpstr>
      <vt:lpstr>比較</vt:lpstr>
      <vt:lpstr>aegis</vt:lpstr>
      <vt:lpstr>duel</vt:lpstr>
      <vt:lpstr>blitz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2015-06-05T18:19:34Z</dcterms:created>
  <dcterms:modified xsi:type="dcterms:W3CDTF">2026-04-01T09:20:10Z</dcterms:modified>
</cp:coreProperties>
</file>