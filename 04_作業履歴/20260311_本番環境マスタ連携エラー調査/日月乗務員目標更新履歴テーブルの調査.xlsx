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60311_本番環境マスタ連携エラー調査\"/>
    </mc:Choice>
  </mc:AlternateContent>
  <xr:revisionPtr revIDLastSave="0" documentId="13_ncr:1_{816883D1-E619-41C7-B268-446EA16BE280}" xr6:coauthVersionLast="47" xr6:coauthVersionMax="47" xr10:uidLastSave="{00000000-0000-0000-0000-000000000000}"/>
  <bookViews>
    <workbookView xWindow="-120" yWindow="-120" windowWidth="29040" windowHeight="15720" xr2:uid="{D325A39B-EA2A-4F5B-8130-AAE47AD33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<sst xmlns="http://schemas.openxmlformats.org/spreadsheetml/2006/main" count="34" uniqueCount="25">
  <si>
    <t>No</t>
    <phoneticPr fontId="1"/>
  </si>
  <si>
    <t>ファイル名</t>
    <rPh sb="4" eb="5">
      <t>メイ</t>
    </rPh>
    <phoneticPr fontId="1"/>
  </si>
  <si>
    <t>種別</t>
    <rPh sb="0" eb="2">
      <t>シュベツ</t>
    </rPh>
    <phoneticPr fontId="1"/>
  </si>
  <si>
    <t>daily</t>
    <phoneticPr fontId="1"/>
  </si>
  <si>
    <t>daily
monthly</t>
    <phoneticPr fontId="1"/>
  </si>
  <si>
    <t>monthly</t>
    <phoneticPr fontId="1"/>
  </si>
  <si>
    <t>UPDATE_CURRENT_ID = """
    UPDATE
        jomuin_daily_sales_target_history
    SET
        effective_month = %(new_effective_month)s,
        expiration_month = %(new_expiration_month)s,
        update_datetime = %(update_datetime)s,
        update_user_id = %(user_id)s,
        update_business_id = %(business_id)s,
        update_count = update_count + 1
    WHERE
        jomuin_cd = %(jomuin_cd)s
        AND cstm_cd = %(cstm_cd)s
        AND eigyosyo_cd = %(eigyosyo_cd)s
        AND effective_month = %(effective_month)s
        AND target_weekday = %(target_weekday)s
"""
SELECT_JOMUIN_DAILY_SALES_TARGET_HISTORY = """
    SELECT
        jomuin_cd,
        eigyosyo_cd,
        effective_month,
        expiration_month,
        target_weekday
    FROM
        jomuin_daily_sales_target_history
    WHERE
        cstm_cd = %(cstm_cd)s
    ORDER BY
        jomuin_cd ASC,
        target_weekday ASC,
        effective_month ASC
"""</t>
    <phoneticPr fontId="1"/>
  </si>
  <si>
    <t>ywm_daily_jomuin_target_history_set_by_disposalday.py</t>
    <phoneticPr fontId="1"/>
  </si>
  <si>
    <t>ywm_attending_table_judge_by_jomuin.py</t>
    <phoneticPr fontId="1"/>
  </si>
  <si>
    <t xml:space="preserve">
SELECT_JOMUIN_DAILY_SALES_TARGET_HISTORY = """
    SELECT
        jomuin_sales_target_id
    FROM
        jomuin_daily_sales_target_history
    WHERE
        cstm_cd = %(cstm_cd)s
        AND eigyosyo_cd = %(eigyosyo_cd)s
        AND jomuin_cd = %(jomuin_cd)s
        AND current_flg = 1
        AND delete_flg = 0
"""</t>
    <phoneticPr fontId="1"/>
  </si>
  <si>
    <t>SELECT_CURRENT_EFFECTIVE_MONTH = """
    SELECT
        target_weekday,
        effective_month
    FROM
        jomuin_daily_sales_target_history
    WHERE
        cstm_cd = %(cstm_cd)s
        AND eigyosyo_cd = %(eigyosyo_cd)s
        AND jomuin_cd = %(jomuin_cd)s
        AND current_flg = 1
        AND delete_flg = 0
"""</t>
    <phoneticPr fontId="1"/>
  </si>
  <si>
    <t>ywm_daily_sales_target_history_set_by_jomuin.py</t>
    <phoneticPr fontId="1"/>
  </si>
  <si>
    <t>SELECT_JOMUIN_DAILY_SALES_TARGET_HISTORY = """
    SELECT
        jomuin_cd,
        effective_month,
        target_weekday,
        target_amount,
        update_count
    FROM
        jomuin_daily_sales_target_history
    WHERE
        jomuin_sales_target_id = %(jomuin_sales_target_id)s
        AND current_flg = 1
        AND delete_flg = 0
SELECT_JOMUIN_MONTHLY_SALES_TARGET_HISTORY = """
    SELECT
        jomuin_cd,
        effective_month,
        target_month,
        target_amount,
        update_count
    FROM
        jomuin_monthly_sales_target_history
    WHERE
        jomuin_sales_target_id = %(jomuin_sales_target_id)s
        AND current_flg = 1
        AND delete_flg = 0
"""</t>
    <phoneticPr fontId="1"/>
  </si>
  <si>
    <t>UPDATE_CURRENT_ID = """
    UPDATE
        jomuin_monthly_sales_target_history
    SET
        effective_month = %(new_effective_month)s,
        expiration_month = %(new_expiration_month)s,
        update_datetime = %(update_datetime)s,
        update_user_id = %(user_id)s,
        update_business_id = %(business_id)s,
        update_count = update_count + 1
    WHERE
        jomuin_cd = %(jomuin_cd)s
        AND cstm_cd = %(cstm_cd)s
        AND eigyosyo_cd = %(eigyosyo_cd)s
        AND effective_month = %(effective_month)s
        AND target_month = %(target_month)s
"""
SELECT_JOMUIN_MONTHLY_SALES_TARGET_HISTORY = """
    SELECT
        jomuin_cd,
        eigyosyo_cd,
        effective_month,
        expiration_month,
        target_month
    FROM
        jomuin_monthly_sales_target_history
    WHERE
        cstm_cd = %(cstm_cd)s
    ORDER BY
        jomuin_cd ASC,
        target_month ASC,
        effective_month ASC
"""</t>
    <phoneticPr fontId="1"/>
  </si>
  <si>
    <t>ywm_monthly_jomuin_target_history_set_by_disposalday.py</t>
    <phoneticPr fontId="1"/>
  </si>
  <si>
    <t xml:space="preserve">
SELECT_JOMUIN_MONTHLY_SALES_TARGET_HISTORY = """
    SELECT
        jomuin_sales_target_id
    FROM
        jomuin_monthly_sales_target_history
    WHERE
        cstm_cd = %(cstm_cd)s
        AND eigyosyo_cd = %(eigyosyo_cd)s
        AND jomuin_cd = %(jomuin_cd)s
        AND current_flg = 1
        AND delete_flg = 0
"""</t>
    <phoneticPr fontId="1"/>
  </si>
  <si>
    <t xml:space="preserve">
SELECT_CURRENT_EFFECTIVE_MONTH = """
    SELECT
        effective_month,
        target_month
    FROM
        jomuin_monthly_sales_target_history
    WHERE
        cstm_cd = %(cstm_cd)s
        AND eigyosyo_cd = %(eigyosyo_cd)s
        AND jomuin_cd = %(jomuin_cd)s
        AND current_flg = 1
        AND delete_flg = 0
"""
INSERT_MONTHLY_SALES_TARGET_HISTORY = """
    INSERT INTO
        jomuin_monthly_sales_target_history (
            jomuin_cd,
            cstm_cd,
            eigyosyo_cd,
            effective_month,
            expiration_month,
            jomuin_sales_target_id,
            target_month,
            target_amount,
            current_flg,
            reserve1,
            reserve2,
            reserve3,
            reserve4,
            reserve5,
            delete_flg,
            insert_datetime,
            insert_user_id,
            insert_business_id,
            update_count
        )
    VALUES (
        %(jomuin_cd)s,
        %(cstm_cd)s,
        %(eigyosyo_cd)s,
        %(effective_month)s,
        %(expiration_month)s,
        %(jomuin_sales_target_id)s,
        %(target_month)s,
        %(target_amount)s,
        %(current_flg)s,
        %(reserve1)s,
        %(reserve2)s,
        %(reserve3)s,
        %(reserve4)s,
        %(reserve5)s,
        %(delete_flg)s,
        %(insert_datetime)s,
        %(insert_user_id)s,
        %(insert_business_id)s,
        %(update_count)s
    )
"""
UPDATE_CURRENT_DATA = """
    UPDATE
        jomuin_monthly_sales_target_history
    SET
        jomuin_sales_target_id = %(jomuin_sales_target_id)s,
        target_amount = %(target_amount)s,
        update_datetime = %(update_datetime)s,
        update_user_id = %(update_user_id)s,
        update_business_id = %(update_business_id)s,
        update_count = update_count + 1
    WHERE
        jomuin_cd = %(jomuin_cd)s
        AND cstm_cd = %(cstm_cd)s
        AND eigyosyo_cd = %(eigyosyo_cd)s
        AND target_month = %(target_month)s
        AND current_flg = 1
        AND delete_flg = 0
"""
UPDATE_CURRENT_TO_DISABLE = """
    UPDATE
        jomuin_monthly_sales_target_history
    SET
        current_flg = 0,
        expiration_month = %(expiration_month)s,
        update_datetime = %(update_datetime)s,
        update_user_id = %(update_user_id)s,
        update_business_id = %(update_business_id)s,
        update_count = update_count + 1
    WHERE
        jomuin_cd = %(jomuin_cd)s
        AND cstm_cd = %(cstm_cd)s
        AND eigyosyo_cd = %(eigyosyo_cd)s
        AND effective_month = %(effective_month)s
        AND target_month = %(target_month)s
"""</t>
    <phoneticPr fontId="1"/>
  </si>
  <si>
    <t>ywm_monthly_sales_target_history_set_by_jomuin.py</t>
    <phoneticPr fontId="1"/>
  </si>
  <si>
    <t>ywm_jomuin_mst_get.py</t>
    <phoneticPr fontId="1"/>
  </si>
  <si>
    <t>※長すぎるので省略
  乗務員マスタに紐づく情報取得</t>
    <rPh sb="1" eb="2">
      <t>ナガ</t>
    </rPh>
    <rPh sb="7" eb="9">
      <t>ショウリャク</t>
    </rPh>
    <rPh sb="12" eb="15">
      <t>ジョウムイン</t>
    </rPh>
    <rPh sb="19" eb="20">
      <t>ヒモ</t>
    </rPh>
    <rPh sb="22" eb="24">
      <t>ジョウホウ</t>
    </rPh>
    <rPh sb="24" eb="26">
      <t>シュトク</t>
    </rPh>
    <phoneticPr fontId="1"/>
  </si>
  <si>
    <t>SELECT_JOMUIN_MONTHLY_SALES_TARGET_HISTORY = """
    SELECT
        jomuin_cd,
        effective_month,
        target_month,
        target_amount,
        update_count
    FROM
        jomuin_monthly_sales_target_history
    WHERE
        jomuin_sales_target_id = %(jomuin_sales_target_id)s
        AND current_flg = 1
        AND delete_flg = 0
"""</t>
    <phoneticPr fontId="1"/>
  </si>
  <si>
    <t>ywm_attending_table_judge_by_jomuin_target.py</t>
    <phoneticPr fontId="1"/>
  </si>
  <si>
    <t>INSERT_MONTHLY_SALES_TARGET_HISTORY = """
    INSERT INTO
        jomuin_monthly_sales_target_history (
            jomuin_cd,
            cstm_cd,
            eigyosyo_cd,
            effective_month,
            expiration_month,
            jomuin_sales_target_id,
            target_month,
            target_amount,
            current_flg,
            reserve1,
            reserve2,
            reserve3,
            reserve4,
            reserve5,
            delete_flg,
            insert_datetime,
            insert_user_id,
            insert_business_id,
            update_count
        )
    VALUES (
        %(jomuin_cd)s,
        %(cstm_cd)s,
        %(eigyosyo_cd)s,
        %(effective_month)s,
        %(expiration_month)s,
        %(jomuin_sales_target_id)s,
        %(target_month)s,
        %(target_amount)s,
        %(current_flg)s,
        %(reserve1)s,
        %(reserve2)s,
        %(reserve3)s,
        %(reserve4)s,
        %(reserve5)s,
        %(delete_flg)s,
        %(insert_datetime)s,
        %(insert_user_id)s,
        %(insert_business_id)s,
        %(update_count)s
    )
"""
UPDATE_CURRENT_ID = """
    UPDATE
        jomuin_monthly_sales_target_history
    SET
        target_amount = %(target_amount)s,
        update_datetime = %(update_datetime)s,
        update_user_id = %(update_user_id)s,
        update_business_id = %(update_business_id)s,
        update_count = %(update_count)s
    WHERE
        jomuin_cd = %(jomuin_cd)s
        AND cstm_cd = %(cstm_cd)s
        AND eigyosyo_cd = %(eigyosyo_cd)s
        AND effective_month = %(effective_month)s
        AND jomuin_sales_target_id = %(jomuin_sales_target_id)s
        AND target_month = %(target_month)s
        AND current_flg = 1
        AND delete_flg = 0
"""
UPDATE_CURRENT_TO_DISABLE = """
    UPDATE
        jomuin_monthly_sales_target_history
    SET
        current_flg = 0,
        expiration_month = %(expiration_month)s,
        update_datetime = %(update_datetime)s,
        update_user_id = %(update_user_id)s,
        update_business_id = %(update_business_id)s,
        update_count = %(update_count)s
    WHERE
        jomuin_cd = %(jomuin_cd)s
        AND cstm_cd = %(cstm_cd)s
        AND eigyosyo_cd = %(eigyosyo_cd)s
        AND jomuin_sales_target_id = %(jomuin_sales_target_id)s
        AND effective_month = %(current_effective_month)s
        AND target_month = %(target_month)s
        AND current_flg = 1
"""</t>
    <phoneticPr fontId="1"/>
  </si>
  <si>
    <t>ywm_monthly_sales_target_history_set_by_jomuin_target.py</t>
    <phoneticPr fontId="1"/>
  </si>
  <si>
    <t>SQL抜粋</t>
    <rPh sb="3" eb="5">
      <t>バッスイ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</si>
</sst>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F805-90E5-494A-917D-3AB842351447}">
  <dimension ref="B2:E12"/>
  <sheetViews>
    <sheetView tabSelected="1" topLeftCell="A2" zoomScaleNormal="100" workbookViewId="0">
      <selection activeCell="B2" sqref="B2"/>
    </sheetView>
  </sheetViews>
  <sheetFormatPr defaultRowHeight="12" x14ac:dyDescent="0.4"/>
  <cols>
    <col min="1" max="1" width="3.5" style="1" customWidth="1"/>
    <col min="2" max="3" width="7.125" style="1" customWidth="1"/>
    <col min="4" max="4" width="83.125" style="1" customWidth="1"/>
    <col min="5" max="5" width="78.5" style="1" customWidth="1"/>
    <col min="6" max="16384" width="9" style="1"/>
  </cols>
  <sheetData>
    <row r="2" spans="2:5" x14ac:dyDescent="0.4">
      <c r="B2" s="3" t="s">
        <v>0</v>
      </c>
      <c r="C2" s="3" t="s">
        <v>2</v>
      </c>
      <c r="D2" s="3" t="s">
        <v>1</v>
      </c>
      <c r="E2" s="3" t="s">
        <v>24</v>
      </c>
    </row>
    <row r="3" spans="2:5" ht="408" x14ac:dyDescent="0.4">
      <c r="B3" s="1">
        <f>ROW()-2</f>
        <v>1</v>
      </c>
      <c r="C3" s="1" t="s">
        <v>3</v>
      </c>
      <c r="D3" s="1" t="s">
        <v>7</v>
      </c>
      <c r="E3" s="2" t="s">
        <v>6</v>
      </c>
    </row>
    <row r="4" spans="2:5" ht="156" x14ac:dyDescent="0.4">
      <c r="B4" s="1">
        <f t="shared" ref="B4:B12" si="0">ROW()-2</f>
        <v>2</v>
      </c>
      <c r="C4" s="1" t="s">
        <v>3</v>
      </c>
      <c r="D4" s="1" t="s">
        <v>8</v>
      </c>
      <c r="E4" s="2" t="s">
        <v>9</v>
      </c>
    </row>
    <row r="5" spans="2:5" ht="156" x14ac:dyDescent="0.4">
      <c r="B5" s="1">
        <f t="shared" si="0"/>
        <v>3</v>
      </c>
      <c r="C5" s="1" t="s">
        <v>3</v>
      </c>
      <c r="D5" s="1" t="s">
        <v>11</v>
      </c>
      <c r="E5" s="2" t="s">
        <v>10</v>
      </c>
    </row>
    <row r="6" spans="2:5" ht="336" x14ac:dyDescent="0.4">
      <c r="B6" s="1">
        <f t="shared" si="0"/>
        <v>4</v>
      </c>
      <c r="C6" s="2" t="s">
        <v>4</v>
      </c>
      <c r="D6" s="1" t="s">
        <v>21</v>
      </c>
      <c r="E6" s="2" t="s">
        <v>12</v>
      </c>
    </row>
    <row r="7" spans="2:5" ht="408" x14ac:dyDescent="0.4">
      <c r="B7" s="1">
        <f t="shared" si="0"/>
        <v>5</v>
      </c>
      <c r="C7" s="1" t="s">
        <v>5</v>
      </c>
      <c r="D7" s="1" t="s">
        <v>14</v>
      </c>
      <c r="E7" s="2" t="s">
        <v>13</v>
      </c>
    </row>
    <row r="8" spans="2:5" ht="156" x14ac:dyDescent="0.4">
      <c r="B8" s="1">
        <f t="shared" si="0"/>
        <v>6</v>
      </c>
      <c r="C8" s="1" t="s">
        <v>5</v>
      </c>
      <c r="D8" s="1" t="s">
        <v>8</v>
      </c>
      <c r="E8" s="2" t="s">
        <v>15</v>
      </c>
    </row>
    <row r="9" spans="2:5" ht="409.5" x14ac:dyDescent="0.4">
      <c r="B9" s="1">
        <f t="shared" si="0"/>
        <v>7</v>
      </c>
      <c r="C9" s="1" t="s">
        <v>5</v>
      </c>
      <c r="D9" s="1" t="s">
        <v>17</v>
      </c>
      <c r="E9" s="2" t="s">
        <v>16</v>
      </c>
    </row>
    <row r="10" spans="2:5" ht="24" x14ac:dyDescent="0.4">
      <c r="B10" s="1">
        <f t="shared" si="0"/>
        <v>8</v>
      </c>
      <c r="C10" s="1" t="s">
        <v>5</v>
      </c>
      <c r="D10" s="1" t="s">
        <v>18</v>
      </c>
      <c r="E10" s="2" t="s">
        <v>19</v>
      </c>
    </row>
    <row r="11" spans="2:5" ht="168" x14ac:dyDescent="0.4">
      <c r="B11" s="1">
        <f t="shared" si="0"/>
        <v>9</v>
      </c>
      <c r="C11" s="1" t="s">
        <v>5</v>
      </c>
      <c r="D11" s="1" t="s">
        <v>21</v>
      </c>
      <c r="E11" s="2" t="s">
        <v>20</v>
      </c>
    </row>
    <row r="12" spans="2:5" ht="409.5" x14ac:dyDescent="0.4">
      <c r="B12" s="1">
        <f t="shared" si="0"/>
        <v>10</v>
      </c>
      <c r="C12" s="1" t="s">
        <v>5</v>
      </c>
      <c r="D12" s="1" t="s">
        <v>23</v>
      </c>
      <c r="E12" s="2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2026-03-11T10:04:55Z</dcterms:created>
  <dcterms:modified xsi:type="dcterms:W3CDTF">2026-03-11T10:39:47Z</dcterms:modified>
</cp:coreProperties>
</file>