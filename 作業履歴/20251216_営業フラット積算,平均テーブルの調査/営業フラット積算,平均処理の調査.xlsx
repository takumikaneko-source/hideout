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04_作業履歴\20251216_営業フラット積算,平均テーブルの調査\"/>
    </mc:Choice>
  </mc:AlternateContent>
  <xr:revisionPtr revIDLastSave="0" documentId="13_ncr:1_{89299EB1-A8E6-4191-A9F9-C4C83D27454B}" xr6:coauthVersionLast="47" xr6:coauthVersionMax="47" xr10:uidLastSave="{00000000-0000-0000-0000-000000000000}"/>
  <bookViews>
    <workbookView xWindow="-120" yWindow="-120" windowWidth="29040" windowHeight="15720" xr2:uid="{9E8DB3AB-7D03-42B4-A3EB-475499E07D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12" i="1"/>
  <c r="B20" i="1"/>
  <c r="B19" i="1"/>
  <c r="B18" i="1"/>
  <c r="B17" i="1"/>
  <c r="B16" i="1"/>
  <c r="B15" i="1"/>
  <c r="B14" i="1"/>
  <c r="B13" i="1"/>
  <c r="B11" i="1"/>
  <c r="B10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<sst xmlns="http://schemas.openxmlformats.org/spreadsheetml/2006/main" count="114" uniqueCount="58">
  <si>
    <t>No</t>
    <phoneticPr fontId="2"/>
  </si>
  <si>
    <t>Lambda</t>
    <phoneticPr fontId="2"/>
  </si>
  <si>
    <t>対象画面</t>
    <rPh sb="0" eb="4">
      <t>タイショウガメン</t>
    </rPh>
    <phoneticPr fontId="2"/>
  </si>
  <si>
    <t>積算</t>
    <rPh sb="0" eb="2">
      <t>セキサン</t>
    </rPh>
    <phoneticPr fontId="2"/>
  </si>
  <si>
    <t>bi_registration.py</t>
    <phoneticPr fontId="2"/>
  </si>
  <si>
    <t>営業フラット積算,平均を再作成。一度テーブルを削除し,対象マートからデータを作成する</t>
    <rPh sb="0" eb="2">
      <t>エイギョウ</t>
    </rPh>
    <rPh sb="6" eb="8">
      <t>セキサン</t>
    </rPh>
    <rPh sb="9" eb="11">
      <t>ヘイキン</t>
    </rPh>
    <rPh sb="12" eb="15">
      <t>サイサクセイ</t>
    </rPh>
    <rPh sb="16" eb="18">
      <t>イチド</t>
    </rPh>
    <rPh sb="23" eb="25">
      <t>サクジョ</t>
    </rPh>
    <rPh sb="27" eb="29">
      <t>タイショウ</t>
    </rPh>
    <rPh sb="38" eb="40">
      <t>サクセイ</t>
    </rPh>
    <phoneticPr fontId="2"/>
  </si>
  <si>
    <t>creation_eigyo_flat_ave.py</t>
    <phoneticPr fontId="2"/>
  </si>
  <si>
    <t>バッチ</t>
    <phoneticPr fontId="2"/>
  </si>
  <si>
    <t>画面</t>
    <rPh sb="0" eb="2">
      <t>ガメン</t>
    </rPh>
    <phoneticPr fontId="2"/>
  </si>
  <si>
    <t>-</t>
    <phoneticPr fontId="2"/>
  </si>
  <si>
    <t>共通データ設定</t>
    <rPh sb="0" eb="2">
      <t>キョウツウ</t>
    </rPh>
    <rPh sb="5" eb="7">
      <t>セッテイ</t>
    </rPh>
    <phoneticPr fontId="2"/>
  </si>
  <si>
    <t>creation_eigyo_flat_sum.py</t>
    <phoneticPr fontId="2"/>
  </si>
  <si>
    <t>営業フラット積算テーブルの登録・更新実装クラス</t>
    <phoneticPr fontId="2"/>
  </si>
  <si>
    <t>eigyo_flat_sum_dao.py</t>
    <phoneticPr fontId="2"/>
  </si>
  <si>
    <t>区分</t>
    <rPh sb="0" eb="2">
      <t>クブン</t>
    </rPh>
    <phoneticPr fontId="2"/>
  </si>
  <si>
    <t>bi_report_analysis_diff.py</t>
    <phoneticPr fontId="2"/>
  </si>
  <si>
    <t>分析レポート取得(差分) 乗務員比較レポート出力文章の作成</t>
    <rPh sb="13" eb="16">
      <t>ジョウムイン</t>
    </rPh>
    <rPh sb="16" eb="18">
      <t>ヒカク</t>
    </rPh>
    <rPh sb="22" eb="24">
      <t>シュツリョク</t>
    </rPh>
    <rPh sb="24" eb="26">
      <t>ブンショウ</t>
    </rPh>
    <rPh sb="27" eb="29">
      <t>サクセイ</t>
    </rPh>
    <phoneticPr fontId="2"/>
  </si>
  <si>
    <t>売上レポート_乗務員比較レポート</t>
    <rPh sb="7" eb="10">
      <t>ジョウムイン</t>
    </rPh>
    <rPh sb="10" eb="12">
      <t>ヒカク</t>
    </rPh>
    <phoneticPr fontId="2"/>
  </si>
  <si>
    <t>分析レポート取得(時間帯)</t>
    <phoneticPr fontId="2"/>
  </si>
  <si>
    <t>bi_report_analysis_hour.py</t>
    <phoneticPr fontId="2"/>
  </si>
  <si>
    <t>比較レポート取得(営業回数エリア上位)(売上レポート_乗務員比較)</t>
    <phoneticPr fontId="2"/>
  </si>
  <si>
    <t>比較レポート取得(総評・詳細)(売上レポート_乗務員比較)</t>
    <phoneticPr fontId="2"/>
  </si>
  <si>
    <t>bi_report_comparison_sohyo.py</t>
    <phoneticPr fontId="2"/>
  </si>
  <si>
    <t>bi_report_comparison_top.py</t>
    <phoneticPr fontId="2"/>
  </si>
  <si>
    <t>処理</t>
    <rPh sb="0" eb="2">
      <t>ショリ</t>
    </rPh>
    <phoneticPr fontId="2"/>
  </si>
  <si>
    <t>コードリンク</t>
    <phoneticPr fontId="2"/>
  </si>
  <si>
    <t>初期設定マスタ更新</t>
    <rPh sb="0" eb="4">
      <t>ショキセッテイ</t>
    </rPh>
    <rPh sb="7" eb="9">
      <t>コウシン</t>
    </rPh>
    <phoneticPr fontId="2"/>
  </si>
  <si>
    <t>https://vscode.dev/github/team-agile-div/taxi-cloud/blob/develop/backend/duel/api/functions/update_flat_disposalday/set_eigyo_flat_sum_by_disposalday/set_eigyo_flat_sum_by_disposalday.py#L46</t>
  </si>
  <si>
    <t>set_eigyo_flat_sum_by_disposalday.py</t>
    <phoneticPr fontId="2"/>
  </si>
  <si>
    <t>積算/平均</t>
    <rPh sb="0" eb="2">
      <t>セキサン</t>
    </rPh>
    <rPh sb="3" eb="5">
      <t>ヘイキン</t>
    </rPh>
    <phoneticPr fontId="2"/>
  </si>
  <si>
    <t>平均</t>
    <rPh sb="0" eb="2">
      <t>ヘイキン</t>
    </rPh>
    <phoneticPr fontId="2"/>
  </si>
  <si>
    <t>https://vscode.dev/github/team-agile-div/taxi-cloud/blob/develop/backend/duel/api/fargate/bi_registration/app/bi_registration.py#L88</t>
    <phoneticPr fontId="2"/>
  </si>
  <si>
    <t>https://vscode.dev/github/team-agile-div/taxi-cloud/blob/develop/backend/duel/api/functions/bi_mart_workflows/creation_eigyo_flat_ave/creation_eigyo_flat_ave.py#L396</t>
    <phoneticPr fontId="2"/>
  </si>
  <si>
    <t>https://vscode.dev/github/team-agile-div/taxi-cloud/blob/develop/backend/duel/api/functions/bi_mart_workflows/creation_eigyo_flat_sum/creation_eigyo_flat_sum.py#L55</t>
    <phoneticPr fontId="2"/>
  </si>
  <si>
    <t>https://vscode.dev/github/team-agile-div/taxi-cloud/blob/develop/backend/duel/api/functions/bi_mart_workflows/creation_eigyo_flat_sum/eigyo_flat_sum_dao.py#L12</t>
    <phoneticPr fontId="2"/>
  </si>
  <si>
    <t>https://vscode.dev/github/team-agile-div/taxi-cloud/blob/develop/backend/duel/api/functions/bi_report_analysis_diff/bi_report_analysis_diff.py#L195</t>
    <phoneticPr fontId="2"/>
  </si>
  <si>
    <t>https://vscode.dev/github/team-agile-div/taxi-cloud/blob/develop/backend/duel/api/functions/bi_report_analysis_hour/bi_report_analysis_hour.py#L169</t>
    <phoneticPr fontId="2"/>
  </si>
  <si>
    <t>https://vscode.dev/github/team-agile-div/taxi-cloud/blob/develop/backend/duel/api/functions/bi_report_comparison_sohyo/bi_report_comparison_sohyo.py#L260</t>
    <phoneticPr fontId="2"/>
  </si>
  <si>
    <t>https://vscode.dev/github/team-agile-div/taxi-cloud/blob/develop/backend/duel/api/functions/bi_mart_workflows/creation_eigyo_flat_ave/creation_eigyo_flat_ave.py#L44</t>
    <phoneticPr fontId="2"/>
  </si>
  <si>
    <t>営業フラット平均テーブルの登録・更新実行</t>
    <phoneticPr fontId="2"/>
  </si>
  <si>
    <t>eigyo_flat_ave_dao.py</t>
    <phoneticPr fontId="2"/>
  </si>
  <si>
    <t>https://vscode.dev/github/team-agile-div/taxi-cloud/blob/develop/backend/duel/api/functions/bi_mart_workflows/creation_eigyo_flat_ave/eigyo_flat_ave_dao.py#L12</t>
    <phoneticPr fontId="2"/>
  </si>
  <si>
    <t>bi_report_analysis_detail.py</t>
    <phoneticPr fontId="2"/>
  </si>
  <si>
    <t>分析レポート取得(詳細)</t>
  </si>
  <si>
    <t>https://vscode.dev/github/team-agile-div/taxi-cloud/blob/develop/backend/duel/api/functions/bi_report_analysis_detail/bi_report_analysis_detail.py#L30</t>
    <phoneticPr fontId="2"/>
  </si>
  <si>
    <t>https://vscode.dev/github/team-agile-div/taxi-cloud/blob/develop/backend/duel/api/functions/update_flat_disposalday/delete_eigyo_flat_ave/delete_eigyo_flat_ave.py#L12</t>
    <phoneticPr fontId="2"/>
  </si>
  <si>
    <t>delete_eigyo_flat_ave.py</t>
    <phoneticPr fontId="2"/>
  </si>
  <si>
    <t>set_eigyo_flat_ave_by_disposalday.py</t>
    <phoneticPr fontId="2"/>
  </si>
  <si>
    <t>https://vscode.dev/github/team-agile-div/taxi-cloud/blob/develop/backend/duel/api/functions/update_flat_disposalday/set_eigyo_flat_ave_by_disposalday/set_eigyo_flat_ave_by_disposalday.py#L47</t>
    <phoneticPr fontId="2"/>
  </si>
  <si>
    <t>https://vscode.dev/github/team-agile-div/taxi-cloud/blob/develop/backend/duel/api/functions/update_flat_disposalday/delete_eigyo_flat_sum/delete_eigyo_flat_sum.py#L12</t>
    <phoneticPr fontId="2"/>
  </si>
  <si>
    <t>delete_eigyo_flat_sum.py</t>
    <phoneticPr fontId="2"/>
  </si>
  <si>
    <t>初期設定マスタ更新(UpdateFlatDisposaldayMachine),フラットテーブルリカバリ(FlatTableRecoveryMachine)のステートマシンから呼び出し</t>
    <rPh sb="0" eb="2">
      <t>ショキ</t>
    </rPh>
    <rPh sb="2" eb="4">
      <t>セッテイ</t>
    </rPh>
    <rPh sb="7" eb="9">
      <t>コウシン</t>
    </rPh>
    <rPh sb="88" eb="89">
      <t>ヨ</t>
    </rPh>
    <rPh sb="90" eb="91">
      <t>ダ</t>
    </rPh>
    <phoneticPr fontId="2"/>
  </si>
  <si>
    <t>https://vscode.dev/github/team-agile-div/taxi-cloud/blob/develop/backend/duel/api/functions/bi_report_analysis_geisya/bi_report_analysis_geisya.py#L26</t>
  </si>
  <si>
    <t>bi_report_analysis_geisya.py</t>
    <phoneticPr fontId="2"/>
  </si>
  <si>
    <t>分析レポート取得(迎車)</t>
    <phoneticPr fontId="2"/>
  </si>
  <si>
    <t>bi_utils.py</t>
    <phoneticPr fontId="2"/>
  </si>
  <si>
    <t>分析レポート作成時に呼ばれる。
共通関数を呼んでいる処理は以下
・bi_report_analysis_comment.py
・bi_report_analysis_detail.py
・bi_report_analysis_diff.py
・bi_report_analysis_geisya.py
・bi_report_analysis_hour.py
・bi_report_analysis_sohyo.py</t>
    <rPh sb="0" eb="2">
      <t>ブンセキ</t>
    </rPh>
    <rPh sb="6" eb="8">
      <t>サクセイ</t>
    </rPh>
    <rPh sb="8" eb="9">
      <t>ジ</t>
    </rPh>
    <rPh sb="10" eb="11">
      <t>ヨ</t>
    </rPh>
    <phoneticPr fontId="2"/>
  </si>
  <si>
    <t>https://vscode.dev/github/team-agile-div/taxi-cloud/blob/develop/backend/duel/api/layers/bi_utils.py#L420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</si>
</sst>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3" fillId="0" borderId="3" xfId="1" applyBorder="1">
      <alignment vertical="center"/>
    </xf>
    <xf numFmtId="0" fontId="3" fillId="0" borderId="0" xfId="1">
      <alignment vertical="center"/>
    </xf>
    <xf numFmtId="0" fontId="3" fillId="0" borderId="2" xfId="1" applyBorder="1">
      <alignment vertical="center"/>
    </xf>
    <xf numFmtId="0" fontId="1" fillId="0" borderId="6" xfId="0" applyFont="1" applyBorder="1">
      <alignment vertical="center"/>
    </xf>
    <xf numFmtId="0" fontId="3" fillId="0" borderId="6" xfId="1" applyBorder="1">
      <alignment vertical="center"/>
    </xf>
    <xf numFmtId="0" fontId="1" fillId="0" borderId="4" xfId="0" applyFont="1" applyBorder="1" applyAlignment="1">
      <alignment vertical="center" wrapText="1"/>
    </xf>
    <xf numFmtId="0" fontId="3" fillId="0" borderId="4" xfId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scode.dev/github/team-agile-div/taxi-cloud/blob/develop/backend/duel/api/functions/bi_report_comparison_sohyo/bi_report_comparison_sohyo.py" TargetMode="External"/><Relationship Id="rId13" Type="http://schemas.openxmlformats.org/officeDocument/2006/relationships/hyperlink" Target="https://vscode.dev/github/team-agile-div/taxi-cloud/blob/develop/backend/duel/api/functions/bi_report_analysis_detail/bi_report_analysis_detail.py" TargetMode="External"/><Relationship Id="rId3" Type="http://schemas.openxmlformats.org/officeDocument/2006/relationships/hyperlink" Target="https://vscode.dev/github/team-agile-div/taxi-cloud/blob/develop/backend/duel/api/functions/bi_mart_workflows/creation_eigyo_flat_ave/creation_eigyo_flat_ave.py" TargetMode="External"/><Relationship Id="rId7" Type="http://schemas.openxmlformats.org/officeDocument/2006/relationships/hyperlink" Target="https://vscode.dev/github/team-agile-div/taxi-cloud/blob/develop/backend/duel/api/functions/bi_report_analysis_hour/bi_report_analysis_hour.py" TargetMode="External"/><Relationship Id="rId12" Type="http://schemas.openxmlformats.org/officeDocument/2006/relationships/hyperlink" Target="https://vscode.dev/github/team-agile-div/taxi-cloud/blob/develop/backend/duel/api/functions/bi_mart_workflows/creation_eigyo_flat_ave/eigyo_flat_ave_dao.py" TargetMode="External"/><Relationship Id="rId17" Type="http://schemas.openxmlformats.org/officeDocument/2006/relationships/hyperlink" Target="https://vscode.dev/github/team-agile-div/taxi-cloud/blob/develop/backend/duel/api/layers/bi_utils.py" TargetMode="External"/><Relationship Id="rId2" Type="http://schemas.openxmlformats.org/officeDocument/2006/relationships/hyperlink" Target="https://vscode.dev/github/team-agile-div/taxi-cloud/blob/develop/backend/duel/api/fargate/bi_registration/app/bi_registration.py" TargetMode="External"/><Relationship Id="rId16" Type="http://schemas.openxmlformats.org/officeDocument/2006/relationships/hyperlink" Target="https://vscode.dev/github/team-agile-div/taxi-cloud/blob/develop/backend/duel/api/functions/update_flat_disposalday/delete_eigyo_flat_sum/delete_eigyo_flat_sum.py" TargetMode="External"/><Relationship Id="rId1" Type="http://schemas.openxmlformats.org/officeDocument/2006/relationships/hyperlink" Target="https://vscode.dev/github/team-agile-div/taxi-cloud/blob/develop/backend/duel/api/functions/update_flat_disposalday/set_eigyo_flat_sum_by_disposalday/set_eigyo_flat_sum_by_disposalday.py" TargetMode="External"/><Relationship Id="rId6" Type="http://schemas.openxmlformats.org/officeDocument/2006/relationships/hyperlink" Target="https://vscode.dev/github/team-agile-div/taxi-cloud/blob/develop/backend/duel/api/functions/bi_report_analysis_diff/bi_report_analysis_diff.py" TargetMode="External"/><Relationship Id="rId11" Type="http://schemas.openxmlformats.org/officeDocument/2006/relationships/hyperlink" Target="https://vscode.dev/github/team-agile-div/taxi-cloud/blob/develop/backend/duel/api/functions/bi_mart_workflows/creation_eigyo_flat_ave/creation_eigyo_flat_ave.py" TargetMode="External"/><Relationship Id="rId5" Type="http://schemas.openxmlformats.org/officeDocument/2006/relationships/hyperlink" Target="https://vscode.dev/github/team-agile-div/taxi-cloud/blob/develop/backend/duel/api/functions/bi_mart_workflows/creation_eigyo_flat_sum/eigyo_flat_sum_dao.py" TargetMode="External"/><Relationship Id="rId15" Type="http://schemas.openxmlformats.org/officeDocument/2006/relationships/hyperlink" Target="https://vscode.dev/github/team-agile-div/taxi-cloud/blob/develop/backend/duel/api/functions/update_flat_disposalday/set_eigyo_flat_ave_by_disposalday/set_eigyo_flat_ave_by_disposalday.py" TargetMode="External"/><Relationship Id="rId10" Type="http://schemas.openxmlformats.org/officeDocument/2006/relationships/hyperlink" Target="https://vscode.dev/github/team-agile-div/taxi-cloud/blob/develop/backend/duel/api/fargate/bi_registration/app/bi_registration.py" TargetMode="External"/><Relationship Id="rId4" Type="http://schemas.openxmlformats.org/officeDocument/2006/relationships/hyperlink" Target="https://vscode.dev/github/team-agile-div/taxi-cloud/blob/develop/backend/duel/api/functions/bi_mart_workflows/creation_eigyo_flat_sum/creation_eigyo_flat_sum.py" TargetMode="External"/><Relationship Id="rId9" Type="http://schemas.openxmlformats.org/officeDocument/2006/relationships/hyperlink" Target="https://vscode.dev/github/team-agile-div/taxi-cloud/blob/develop/backend/duel/api/functions/bi_report_comparison_sohyo/bi_report_comparison_sohyo.py" TargetMode="External"/><Relationship Id="rId14" Type="http://schemas.openxmlformats.org/officeDocument/2006/relationships/hyperlink" Target="https://vscode.dev/github/team-agile-div/taxi-cloud/blob/develop/backend/duel/api/functions/update_flat_disposalday/delete_eigyo_flat_ave/delete_eigyo_flat_ave.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CB935-E5EB-4C5D-A8F2-C2C74DA0313F}">
  <dimension ref="B2:H20"/>
  <sheetViews>
    <sheetView tabSelected="1" topLeftCell="B1" workbookViewId="0">
      <selection activeCell="F17" sqref="F17"/>
    </sheetView>
  </sheetViews>
  <sheetFormatPr defaultRowHeight="15.75" x14ac:dyDescent="0.4"/>
  <cols>
    <col min="1" max="1" width="2.25" style="1" customWidth="1"/>
    <col min="2" max="2" width="4.25" style="1" bestFit="1" customWidth="1"/>
    <col min="3" max="3" width="10.125" style="1" bestFit="1" customWidth="1"/>
    <col min="4" max="4" width="36.125" style="1" customWidth="1"/>
    <col min="5" max="5" width="9.5" style="1" customWidth="1"/>
    <col min="6" max="6" width="54.125" style="1" customWidth="1"/>
    <col min="7" max="7" width="74.125" style="1" bestFit="1" customWidth="1"/>
    <col min="8" max="8" width="37.125" style="1" customWidth="1"/>
    <col min="9" max="16384" width="9" style="1"/>
  </cols>
  <sheetData>
    <row r="2" spans="2:8" ht="16.5" thickBot="1" x14ac:dyDescent="0.45">
      <c r="B2" s="2" t="s">
        <v>0</v>
      </c>
      <c r="C2" s="2" t="s">
        <v>29</v>
      </c>
      <c r="D2" s="2" t="s">
        <v>1</v>
      </c>
      <c r="E2" s="2" t="s">
        <v>14</v>
      </c>
      <c r="F2" s="2" t="s">
        <v>2</v>
      </c>
      <c r="G2" s="2" t="s">
        <v>24</v>
      </c>
      <c r="H2" s="2" t="s">
        <v>25</v>
      </c>
    </row>
    <row r="3" spans="2:8" ht="19.5" thickTop="1" x14ac:dyDescent="0.4">
      <c r="B3" s="6">
        <f>ROW()-2</f>
        <v>1</v>
      </c>
      <c r="C3" s="3" t="s">
        <v>3</v>
      </c>
      <c r="D3" s="3" t="s">
        <v>4</v>
      </c>
      <c r="E3" s="3" t="s">
        <v>7</v>
      </c>
      <c r="F3" s="3" t="s">
        <v>9</v>
      </c>
      <c r="G3" s="3" t="s">
        <v>5</v>
      </c>
      <c r="H3" s="9" t="s">
        <v>31</v>
      </c>
    </row>
    <row r="4" spans="2:8" ht="18.75" x14ac:dyDescent="0.4">
      <c r="B4" s="4">
        <f t="shared" ref="B4:B20" si="0">ROW()-2</f>
        <v>2</v>
      </c>
      <c r="C4" s="4" t="s">
        <v>3</v>
      </c>
      <c r="D4" s="4" t="s">
        <v>6</v>
      </c>
      <c r="E4" s="4" t="s">
        <v>7</v>
      </c>
      <c r="F4" s="4" t="s">
        <v>9</v>
      </c>
      <c r="G4" s="4" t="s">
        <v>10</v>
      </c>
      <c r="H4" s="7" t="s">
        <v>32</v>
      </c>
    </row>
    <row r="5" spans="2:8" ht="18.75" x14ac:dyDescent="0.4">
      <c r="B5" s="4">
        <f t="shared" si="0"/>
        <v>3</v>
      </c>
      <c r="C5" s="4" t="s">
        <v>3</v>
      </c>
      <c r="D5" s="4" t="s">
        <v>11</v>
      </c>
      <c r="E5" s="4" t="s">
        <v>7</v>
      </c>
      <c r="F5" s="4" t="s">
        <v>9</v>
      </c>
      <c r="G5" s="4" t="s">
        <v>12</v>
      </c>
      <c r="H5" s="7" t="s">
        <v>33</v>
      </c>
    </row>
    <row r="6" spans="2:8" ht="18.75" x14ac:dyDescent="0.4">
      <c r="B6" s="4">
        <f t="shared" si="0"/>
        <v>4</v>
      </c>
      <c r="C6" s="4" t="s">
        <v>3</v>
      </c>
      <c r="D6" s="4" t="s">
        <v>13</v>
      </c>
      <c r="E6" s="4" t="s">
        <v>9</v>
      </c>
      <c r="F6" s="4" t="s">
        <v>9</v>
      </c>
      <c r="G6" s="4" t="s">
        <v>9</v>
      </c>
      <c r="H6" s="7" t="s">
        <v>34</v>
      </c>
    </row>
    <row r="7" spans="2:8" ht="18.75" x14ac:dyDescent="0.4">
      <c r="B7" s="4">
        <f t="shared" si="0"/>
        <v>5</v>
      </c>
      <c r="C7" s="4" t="s">
        <v>3</v>
      </c>
      <c r="D7" s="4" t="s">
        <v>15</v>
      </c>
      <c r="E7" s="4" t="s">
        <v>8</v>
      </c>
      <c r="F7" s="4" t="s">
        <v>17</v>
      </c>
      <c r="G7" s="4" t="s">
        <v>16</v>
      </c>
      <c r="H7" s="7" t="s">
        <v>35</v>
      </c>
    </row>
    <row r="8" spans="2:8" ht="18.75" x14ac:dyDescent="0.4">
      <c r="B8" s="4">
        <f t="shared" si="0"/>
        <v>6</v>
      </c>
      <c r="C8" s="4" t="s">
        <v>3</v>
      </c>
      <c r="D8" s="4" t="s">
        <v>19</v>
      </c>
      <c r="E8" s="4" t="s">
        <v>8</v>
      </c>
      <c r="F8" s="4" t="s">
        <v>17</v>
      </c>
      <c r="G8" s="4" t="s">
        <v>18</v>
      </c>
      <c r="H8" s="7" t="s">
        <v>36</v>
      </c>
    </row>
    <row r="9" spans="2:8" ht="18.75" x14ac:dyDescent="0.4">
      <c r="B9" s="4">
        <f t="shared" si="0"/>
        <v>7</v>
      </c>
      <c r="C9" s="4" t="s">
        <v>3</v>
      </c>
      <c r="D9" s="4" t="s">
        <v>53</v>
      </c>
      <c r="E9" s="4" t="s">
        <v>8</v>
      </c>
      <c r="F9" s="4" t="s">
        <v>17</v>
      </c>
      <c r="G9" s="4" t="s">
        <v>54</v>
      </c>
      <c r="H9" s="7" t="s">
        <v>52</v>
      </c>
    </row>
    <row r="10" spans="2:8" ht="18.75" x14ac:dyDescent="0.4">
      <c r="B10" s="4">
        <f t="shared" si="0"/>
        <v>8</v>
      </c>
      <c r="C10" s="4" t="s">
        <v>3</v>
      </c>
      <c r="D10" s="4" t="s">
        <v>22</v>
      </c>
      <c r="E10" s="4" t="s">
        <v>8</v>
      </c>
      <c r="F10" s="4" t="s">
        <v>17</v>
      </c>
      <c r="G10" s="4" t="s">
        <v>21</v>
      </c>
      <c r="H10" s="7" t="s">
        <v>37</v>
      </c>
    </row>
    <row r="11" spans="2:8" ht="18.75" x14ac:dyDescent="0.4">
      <c r="B11" s="4">
        <f t="shared" si="0"/>
        <v>9</v>
      </c>
      <c r="C11" s="4" t="s">
        <v>3</v>
      </c>
      <c r="D11" s="4" t="s">
        <v>23</v>
      </c>
      <c r="E11" s="4" t="s">
        <v>8</v>
      </c>
      <c r="F11" s="4" t="s">
        <v>17</v>
      </c>
      <c r="G11" s="4" t="s">
        <v>20</v>
      </c>
      <c r="H11" s="7" t="s">
        <v>37</v>
      </c>
    </row>
    <row r="12" spans="2:8" ht="18.75" x14ac:dyDescent="0.4">
      <c r="B12" s="4">
        <f t="shared" si="0"/>
        <v>10</v>
      </c>
      <c r="C12" s="4" t="s">
        <v>3</v>
      </c>
      <c r="D12" s="4" t="s">
        <v>50</v>
      </c>
      <c r="E12" s="4" t="s">
        <v>8</v>
      </c>
      <c r="F12" s="10" t="s">
        <v>26</v>
      </c>
      <c r="G12" s="10" t="s">
        <v>51</v>
      </c>
      <c r="H12" s="8" t="s">
        <v>49</v>
      </c>
    </row>
    <row r="13" spans="2:8" ht="18.75" x14ac:dyDescent="0.4">
      <c r="B13" s="4">
        <f t="shared" si="0"/>
        <v>11</v>
      </c>
      <c r="C13" s="4" t="s">
        <v>3</v>
      </c>
      <c r="D13" s="10" t="s">
        <v>28</v>
      </c>
      <c r="E13" s="10" t="s">
        <v>8</v>
      </c>
      <c r="F13" s="10" t="s">
        <v>26</v>
      </c>
      <c r="G13" s="10" t="s">
        <v>51</v>
      </c>
      <c r="H13" s="11" t="s">
        <v>27</v>
      </c>
    </row>
    <row r="14" spans="2:8" ht="18.75" x14ac:dyDescent="0.4">
      <c r="B14" s="4">
        <f t="shared" si="0"/>
        <v>12</v>
      </c>
      <c r="C14" s="4" t="s">
        <v>30</v>
      </c>
      <c r="D14" s="4" t="s">
        <v>4</v>
      </c>
      <c r="E14" s="4" t="s">
        <v>7</v>
      </c>
      <c r="F14" s="4" t="s">
        <v>9</v>
      </c>
      <c r="G14" s="4" t="s">
        <v>5</v>
      </c>
      <c r="H14" s="7" t="s">
        <v>31</v>
      </c>
    </row>
    <row r="15" spans="2:8" ht="18.75" x14ac:dyDescent="0.4">
      <c r="B15" s="4">
        <f t="shared" si="0"/>
        <v>13</v>
      </c>
      <c r="C15" s="4" t="s">
        <v>30</v>
      </c>
      <c r="D15" s="4" t="s">
        <v>6</v>
      </c>
      <c r="E15" s="4" t="s">
        <v>7</v>
      </c>
      <c r="F15" s="4" t="s">
        <v>9</v>
      </c>
      <c r="G15" s="4" t="s">
        <v>39</v>
      </c>
      <c r="H15" s="7" t="s">
        <v>38</v>
      </c>
    </row>
    <row r="16" spans="2:8" ht="18.75" x14ac:dyDescent="0.4">
      <c r="B16" s="4">
        <f t="shared" si="0"/>
        <v>14</v>
      </c>
      <c r="C16" s="4" t="s">
        <v>30</v>
      </c>
      <c r="D16" s="4" t="s">
        <v>40</v>
      </c>
      <c r="E16" s="4" t="s">
        <v>9</v>
      </c>
      <c r="F16" s="4" t="s">
        <v>9</v>
      </c>
      <c r="G16" s="4" t="s">
        <v>9</v>
      </c>
      <c r="H16" s="7" t="s">
        <v>41</v>
      </c>
    </row>
    <row r="17" spans="2:8" ht="18.75" x14ac:dyDescent="0.4">
      <c r="B17" s="4">
        <f t="shared" si="0"/>
        <v>15</v>
      </c>
      <c r="C17" s="4" t="s">
        <v>30</v>
      </c>
      <c r="D17" s="4" t="s">
        <v>42</v>
      </c>
      <c r="E17" s="4" t="s">
        <v>8</v>
      </c>
      <c r="F17" s="4" t="s">
        <v>17</v>
      </c>
      <c r="G17" s="4" t="s">
        <v>43</v>
      </c>
      <c r="H17" s="7" t="s">
        <v>44</v>
      </c>
    </row>
    <row r="18" spans="2:8" ht="18.75" x14ac:dyDescent="0.4">
      <c r="B18" s="4">
        <f t="shared" si="0"/>
        <v>16</v>
      </c>
      <c r="C18" s="4" t="s">
        <v>30</v>
      </c>
      <c r="D18" s="4" t="s">
        <v>46</v>
      </c>
      <c r="E18" s="4" t="s">
        <v>8</v>
      </c>
      <c r="F18" s="10" t="s">
        <v>26</v>
      </c>
      <c r="G18" s="10" t="s">
        <v>51</v>
      </c>
      <c r="H18" s="7" t="s">
        <v>45</v>
      </c>
    </row>
    <row r="19" spans="2:8" ht="18.75" x14ac:dyDescent="0.4">
      <c r="B19" s="4">
        <f t="shared" si="0"/>
        <v>17</v>
      </c>
      <c r="C19" s="4" t="s">
        <v>30</v>
      </c>
      <c r="D19" s="4" t="s">
        <v>47</v>
      </c>
      <c r="E19" s="10" t="s">
        <v>8</v>
      </c>
      <c r="F19" s="10" t="s">
        <v>26</v>
      </c>
      <c r="G19" s="10" t="s">
        <v>51</v>
      </c>
      <c r="H19" s="7" t="s">
        <v>48</v>
      </c>
    </row>
    <row r="20" spans="2:8" ht="126" x14ac:dyDescent="0.4">
      <c r="B20" s="4">
        <f t="shared" si="0"/>
        <v>18</v>
      </c>
      <c r="C20" s="5" t="s">
        <v>30</v>
      </c>
      <c r="D20" s="5" t="s">
        <v>55</v>
      </c>
      <c r="E20" s="5" t="s">
        <v>8</v>
      </c>
      <c r="F20" s="5"/>
      <c r="G20" s="12" t="s">
        <v>56</v>
      </c>
      <c r="H20" s="13" t="s">
        <v>57</v>
      </c>
    </row>
  </sheetData>
  <phoneticPr fontId="2"/>
  <hyperlinks>
    <hyperlink ref="H13" r:id="rId1" location="L46" xr:uid="{E2325B01-89E4-4756-A601-E9E3B24F630E}"/>
    <hyperlink ref="H3" r:id="rId2" location="L88" xr:uid="{7F2AAF58-A7B2-46C8-9F38-A68575D3453D}"/>
    <hyperlink ref="H4" r:id="rId3" location="L396" xr:uid="{2263EA98-75A1-4B7C-8D27-06F2BB0C106F}"/>
    <hyperlink ref="H5" r:id="rId4" location="L55" xr:uid="{9DC84E4C-0D6C-4694-9CF5-13A52D50A7DD}"/>
    <hyperlink ref="H6" r:id="rId5" location="L12" xr:uid="{F7C2A73C-E577-4305-9026-BFA7C81FBFCE}"/>
    <hyperlink ref="H7" r:id="rId6" location="L195" xr:uid="{005B1E14-1BA6-433B-BCEC-213C458A53F2}"/>
    <hyperlink ref="H8" r:id="rId7" location="L169" xr:uid="{3C3B372B-EE5A-43E4-948B-E947A4E35030}"/>
    <hyperlink ref="H10" r:id="rId8" location="L260" xr:uid="{53615B22-3B38-42E0-B5A9-549278B7F735}"/>
    <hyperlink ref="H11" r:id="rId9" location="L260" xr:uid="{A6DB7149-CB7C-4A6D-9055-36DE6ABE76F2}"/>
    <hyperlink ref="H14" r:id="rId10" location="L88" xr:uid="{A93C1786-3730-432C-8F23-EB8C96255614}"/>
    <hyperlink ref="H15" r:id="rId11" location="L44" xr:uid="{B9787712-D2AA-4059-9170-07F051905BB2}"/>
    <hyperlink ref="H16" r:id="rId12" location="L12" xr:uid="{3F6F5A76-1AA6-475A-B529-8881944AA3ED}"/>
    <hyperlink ref="H17" r:id="rId13" location="L30" xr:uid="{928A9AD7-18A2-4C9A-846B-BF973209F684}"/>
    <hyperlink ref="H18" r:id="rId14" location="L12" xr:uid="{4ED9B105-42F3-41A4-8C51-108ACE1FFA06}"/>
    <hyperlink ref="H19" r:id="rId15" location="L47" xr:uid="{3C27B86F-8E75-4530-8011-262614F73BE8}"/>
    <hyperlink ref="H12" r:id="rId16" location="L12" xr:uid="{1A9CA900-3216-484F-88DF-67A6404AB11E}"/>
    <hyperlink ref="H20" r:id="rId17" location="L420" xr:uid="{5F32C0EF-D84E-439C-8F89-C225FD6FDE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金子 拓海</dc:creator>
  <cp:lastModifiedBy>金子 拓海</cp:lastModifiedBy>
  <dcterms:created xsi:type="dcterms:W3CDTF">2025-12-16T05:21:36Z</dcterms:created>
  <dcterms:modified xsi:type="dcterms:W3CDTF">2025-12-16T07:52:03Z</dcterms:modified>
</cp:coreProperties>
</file>